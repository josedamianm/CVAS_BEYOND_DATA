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onmobile11-my.sharepoint.com/personal/cvas_data_onmobile_com/Documents/ATLASPROYECT/"/>
    </mc:Choice>
  </mc:AlternateContent>
  <xr:revisionPtr revIDLastSave="119" documentId="13_ncr:1_{6B0988DF-409F-4552-B5E7-DF6A963C89D8}" xr6:coauthVersionLast="47" xr6:coauthVersionMax="47" xr10:uidLastSave="{61C86BAE-3447-4057-AA8B-8F8FE95C6CA3}"/>
  <bookViews>
    <workbookView xWindow="-120" yWindow="-120" windowWidth="38640" windowHeight="21120" firstSheet="3" activeTab="3" xr2:uid="{00000000-000D-0000-FFFF-FFFF00000000}"/>
  </bookViews>
  <sheets>
    <sheet name="Mapping Categories" sheetId="36" state="hidden" r:id="rId1"/>
    <sheet name="Hoja3" sheetId="39" state="hidden" r:id="rId2"/>
    <sheet name="MAPPING" sheetId="40" r:id="rId3"/>
    <sheet name="MASTER CPC" sheetId="35" r:id="rId4"/>
    <sheet name="Hoja1" sheetId="37" state="hidden" r:id="rId5"/>
    <sheet name="Hoja2" sheetId="38" state="hidden" r:id="rId6"/>
  </sheets>
  <externalReferences>
    <externalReference r:id="rId7"/>
  </externalReferences>
  <definedNames>
    <definedName name="_xlnm._FilterDatabase" localSheetId="3" hidden="1">'MASTER CPC'!$B$1:$AE$659</definedName>
    <definedName name="_xlcn.WorksheetConnection_MASTER_CPC_2019_07.xlsxTabla11" hidden="1">Tabla1[]</definedName>
  </definedNames>
  <calcPr calcId="191028"/>
  <pivotCaches>
    <pivotCache cacheId="0" r:id="rId8"/>
    <pivotCache cacheId="1" r:id="rId9"/>
    <pivotCache cacheId="2" r:id="rId10"/>
    <pivotCache cacheId="3" r:id="rId11"/>
    <pivotCache cacheId="4" r:id="rId12"/>
    <pivotCache cacheId="5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1" name="Tabla1" connection="WorksheetConnection_MASTER_CPC_2019_07.xlsx!Tabla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" i="35" l="1"/>
  <c r="AJ95" i="35"/>
  <c r="AJ98" i="35"/>
  <c r="AJ99" i="35"/>
  <c r="AJ102" i="35"/>
  <c r="AJ105" i="35"/>
  <c r="AJ117" i="35"/>
  <c r="AJ143" i="35"/>
  <c r="AJ147" i="35"/>
  <c r="AJ153" i="35"/>
  <c r="AJ164" i="35"/>
  <c r="AJ169" i="35"/>
  <c r="AJ213" i="35"/>
  <c r="AJ247" i="35"/>
  <c r="AJ250" i="35"/>
  <c r="AJ251" i="35"/>
  <c r="AJ252" i="35"/>
  <c r="AJ253" i="35"/>
  <c r="AJ263" i="35"/>
  <c r="AJ264" i="35"/>
  <c r="AJ265" i="35"/>
  <c r="AJ266" i="35"/>
  <c r="AJ267" i="35"/>
  <c r="AJ273" i="35"/>
  <c r="AJ274" i="35"/>
  <c r="AJ279" i="35"/>
  <c r="AJ283" i="35"/>
  <c r="AJ290" i="35"/>
  <c r="AJ291" i="35"/>
  <c r="AJ292" i="35"/>
  <c r="AJ297" i="35"/>
  <c r="AJ304" i="35"/>
  <c r="AJ305" i="35"/>
  <c r="AJ309" i="35"/>
  <c r="AJ310" i="35"/>
  <c r="AJ311" i="35"/>
  <c r="AJ314" i="35"/>
  <c r="AJ315" i="35"/>
  <c r="AJ316" i="35"/>
  <c r="AJ317" i="35"/>
  <c r="AJ318" i="35"/>
  <c r="AJ334" i="35"/>
  <c r="AJ336" i="35"/>
  <c r="AJ337" i="35"/>
  <c r="AJ339" i="35"/>
  <c r="AJ340" i="35"/>
  <c r="AJ347" i="35"/>
  <c r="AJ349" i="35"/>
  <c r="AJ353" i="35"/>
  <c r="AJ355" i="35"/>
  <c r="AJ356" i="35"/>
  <c r="AJ358" i="35"/>
  <c r="AJ361" i="35"/>
  <c r="AJ362" i="35"/>
  <c r="AJ363" i="35"/>
  <c r="AJ366" i="35"/>
  <c r="AJ367" i="35"/>
  <c r="AJ368" i="35"/>
  <c r="AJ369" i="35"/>
  <c r="AJ371" i="35"/>
  <c r="AJ373" i="35"/>
  <c r="AJ374" i="35"/>
  <c r="AJ376" i="35"/>
  <c r="AJ377" i="35"/>
  <c r="AJ379" i="35"/>
  <c r="AJ381" i="35"/>
  <c r="AJ388" i="35"/>
  <c r="AJ389" i="35"/>
  <c r="AJ390" i="35"/>
  <c r="AJ392" i="35"/>
  <c r="AJ394" i="35"/>
  <c r="AJ395" i="35"/>
  <c r="AJ403" i="35"/>
  <c r="AJ417" i="35"/>
  <c r="AJ419" i="35"/>
  <c r="AJ421" i="35"/>
  <c r="AJ422" i="35"/>
  <c r="AJ424" i="35"/>
  <c r="AJ433" i="35"/>
  <c r="AJ434" i="35"/>
  <c r="AJ436" i="35"/>
  <c r="AJ437" i="35"/>
  <c r="AJ438" i="35"/>
  <c r="AJ439" i="35"/>
  <c r="AJ440" i="35"/>
  <c r="AJ441" i="35"/>
  <c r="AJ444" i="35"/>
  <c r="AJ445" i="35"/>
  <c r="AJ452" i="35"/>
  <c r="AJ454" i="35"/>
  <c r="AJ457" i="35"/>
  <c r="AJ462" i="35"/>
  <c r="AJ465" i="35"/>
  <c r="AJ467" i="35"/>
  <c r="AJ469" i="35"/>
  <c r="AJ471" i="35"/>
  <c r="AJ472" i="35"/>
  <c r="AJ473" i="35"/>
  <c r="AJ474" i="35"/>
  <c r="AJ475" i="35"/>
  <c r="AJ476" i="35"/>
  <c r="AJ480" i="35"/>
  <c r="AJ481" i="35"/>
  <c r="AJ484" i="35"/>
  <c r="AJ485" i="35"/>
  <c r="AJ489" i="35"/>
  <c r="AJ492" i="35"/>
  <c r="AJ496" i="35"/>
  <c r="AJ498" i="35"/>
  <c r="AJ499" i="35"/>
  <c r="AJ500" i="35"/>
  <c r="AJ535" i="35"/>
  <c r="AJ538" i="35"/>
  <c r="AJ543" i="35"/>
  <c r="AJ544" i="35"/>
  <c r="AJ576" i="35"/>
  <c r="AJ577" i="35"/>
  <c r="AJ578" i="35"/>
  <c r="AJ580" i="35"/>
  <c r="AJ581" i="35"/>
  <c r="AJ582" i="35"/>
  <c r="AJ583" i="35"/>
  <c r="AJ584" i="35"/>
  <c r="AJ585" i="35"/>
  <c r="AJ586" i="35"/>
  <c r="AJ587" i="35"/>
  <c r="AJ588" i="35"/>
  <c r="AJ589" i="35"/>
  <c r="AJ590" i="35"/>
  <c r="AJ591" i="35"/>
  <c r="AJ592" i="35"/>
  <c r="AJ593" i="35"/>
  <c r="AJ594" i="35"/>
  <c r="AJ599" i="35"/>
  <c r="AJ600" i="35"/>
  <c r="AJ605" i="35"/>
  <c r="AJ607" i="35"/>
  <c r="AJ609" i="35"/>
  <c r="AJ611" i="35"/>
  <c r="AJ615" i="35"/>
  <c r="AJ617" i="35"/>
  <c r="AJ618" i="35"/>
  <c r="AJ620" i="35"/>
  <c r="AJ621" i="35"/>
  <c r="AJ622" i="35"/>
  <c r="AJ623" i="35"/>
  <c r="AJ624" i="35"/>
  <c r="AJ625" i="35"/>
  <c r="AJ631" i="35"/>
  <c r="AJ643" i="35"/>
  <c r="AJ644" i="35"/>
  <c r="AJ645" i="35"/>
  <c r="AJ654" i="35"/>
  <c r="AJ655" i="35"/>
  <c r="AJ656" i="35"/>
  <c r="AJ657" i="35"/>
  <c r="AJ658" i="3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Modelo de dat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MASTER_CPC_2019_07.xlsx!Tabla1" type="102" refreshedVersion="6" minRefreshableVersion="5">
    <extLst>
      <ext xmlns:x15="http://schemas.microsoft.com/office/spreadsheetml/2010/11/main" uri="{DE250136-89BD-433C-8126-D09CA5730AF9}">
        <x15:connection id="Tabla1" autoDelete="1">
          <x15:rangePr sourceName="_xlcn.WorksheetConnection_MASTER_CPC_2019_07.xlsxTabla11"/>
        </x15:connection>
      </ext>
    </extLst>
  </connection>
</connections>
</file>

<file path=xl/sharedStrings.xml><?xml version="1.0" encoding="utf-8"?>
<sst xmlns="http://schemas.openxmlformats.org/spreadsheetml/2006/main" count="16595" uniqueCount="1547">
  <si>
    <t>TME Category</t>
  </si>
  <si>
    <t>Old TME Category</t>
  </si>
  <si>
    <t>Billing Description</t>
  </si>
  <si>
    <t>Short Description</t>
  </si>
  <si>
    <t>Suma de CPC</t>
  </si>
  <si>
    <t>Beauty and Health</t>
  </si>
  <si>
    <t>Video</t>
  </si>
  <si>
    <t>Natural Beauty</t>
  </si>
  <si>
    <t>Natural Beauty Destacado Estrella</t>
  </si>
  <si>
    <t>Mujer</t>
  </si>
  <si>
    <t>Natural Beauty Susc. Semanal</t>
  </si>
  <si>
    <t>Slow Life</t>
  </si>
  <si>
    <t>Women</t>
  </si>
  <si>
    <t>Cuidatemejor.com</t>
  </si>
  <si>
    <t>Fomento 39321  Cuidate Mejor</t>
  </si>
  <si>
    <t>Suscripcion  Cuidate Mejor</t>
  </si>
  <si>
    <t>Daily Diva Mujer</t>
  </si>
  <si>
    <t>Daily Diva Destacado Estrella</t>
  </si>
  <si>
    <t>Daily Diva. Susc. Semanal</t>
  </si>
  <si>
    <t>Portal Eurosalud</t>
  </si>
  <si>
    <t>Eurosalud  Destacado Estrella</t>
  </si>
  <si>
    <t>Fomento Eurosalud  Destacado Estrella</t>
  </si>
  <si>
    <t>PortalEurosalud</t>
  </si>
  <si>
    <t>PortalEurosalud Fomento</t>
  </si>
  <si>
    <t>Revista de Moda</t>
  </si>
  <si>
    <t>Fashion Bip Destacado Estrella</t>
  </si>
  <si>
    <t>Fashion Bip Fomento 40061</t>
  </si>
  <si>
    <t>Fashion Bip susc 7 dias</t>
  </si>
  <si>
    <t>Fomento Fashion Bip Destacado Estrella</t>
  </si>
  <si>
    <t>Sexducate con LB</t>
  </si>
  <si>
    <t>Estrella SexDucatedel CPC 42911</t>
  </si>
  <si>
    <t>SexDucate . Susc 7 dias</t>
  </si>
  <si>
    <t>YoMujerymas.com</t>
  </si>
  <si>
    <t>Fomento 39301 Yo Mujer y +</t>
  </si>
  <si>
    <t>Suscripcion Yo Mujer y +</t>
  </si>
  <si>
    <t>Terra</t>
  </si>
  <si>
    <t>Free Time</t>
  </si>
  <si>
    <t>Abaco</t>
  </si>
  <si>
    <t>Abaco. Susc Semanal</t>
  </si>
  <si>
    <t>Bloomberg English</t>
  </si>
  <si>
    <t>Bloomberg English. Susc Semanal</t>
  </si>
  <si>
    <t>Tunenglish</t>
  </si>
  <si>
    <t>Tunenglish. Susc Semanal</t>
  </si>
  <si>
    <t>More Fun</t>
  </si>
  <si>
    <t>AstroFuturo</t>
  </si>
  <si>
    <t>Astro Futuro Destacado Estrella</t>
  </si>
  <si>
    <t>Astro Futuro Suscripción Semanal</t>
  </si>
  <si>
    <t>Tap To Stars</t>
  </si>
  <si>
    <t>Suscripción 7 autorenovable</t>
  </si>
  <si>
    <t>Tap the stars Destacado Estrella</t>
  </si>
  <si>
    <t>News</t>
  </si>
  <si>
    <t>Parece MundoToday</t>
  </si>
  <si>
    <t>Estrella Parece del MundoToday</t>
  </si>
  <si>
    <t>Parece del MundoToday . Susc 7 dias</t>
  </si>
  <si>
    <t>Comedy Factory</t>
  </si>
  <si>
    <t>Comedy Factory. Susc. Semanal</t>
  </si>
  <si>
    <t>Estrella Comedy Factory. Susc. Semanal</t>
  </si>
  <si>
    <t>Fashion TV</t>
  </si>
  <si>
    <t>Fashion TV Destacado Estrella</t>
  </si>
  <si>
    <t>Gladiadores MMA</t>
  </si>
  <si>
    <t>Gladiadores MMA. Susc Semanal</t>
  </si>
  <si>
    <t>Multimedia</t>
  </si>
  <si>
    <t>Suscripcisn 7 autorenovable (Multimedia)</t>
  </si>
  <si>
    <t>The Tourist Video</t>
  </si>
  <si>
    <t>The Tourist, Susc Semanal</t>
  </si>
  <si>
    <t>TopVideo</t>
  </si>
  <si>
    <t>Top Videos Destacado Estrella</t>
  </si>
  <si>
    <t>Top Videos suscripcion 7 dias</t>
  </si>
  <si>
    <t>Video Coto D Caza</t>
  </si>
  <si>
    <t>Coto de Caza Destacado Estrella</t>
  </si>
  <si>
    <t>Coto de Caza. Susc Semanal</t>
  </si>
  <si>
    <t>Video Golazos</t>
  </si>
  <si>
    <t>Fomento del 40341 Golazos Susc 7 dias</t>
  </si>
  <si>
    <t>Golazos Susc 7 dias</t>
  </si>
  <si>
    <t>Video Horoscopo</t>
  </si>
  <si>
    <t>Video Horoscopo Susc 7 dias</t>
  </si>
  <si>
    <t>Videos Lo + Mejor</t>
  </si>
  <si>
    <t>Video Lo + Mejor. Susc. Semanal</t>
  </si>
  <si>
    <t>Videos Tribuu</t>
  </si>
  <si>
    <t>Estrella Videos Tribuu. Susc Semanal</t>
  </si>
  <si>
    <t>Videos Tribuu. Susc Semanal</t>
  </si>
  <si>
    <t>Zaaass Videos</t>
  </si>
  <si>
    <t>Zaaass Videos , Susc Semanal</t>
  </si>
  <si>
    <t>Zaaass Videos Destacado Estrella</t>
  </si>
  <si>
    <t>Znack video</t>
  </si>
  <si>
    <t>ZnackVideo suscripcion 7 dias</t>
  </si>
  <si>
    <t>OnMobile Global Spain, S.L.</t>
  </si>
  <si>
    <t>Chef Book Recetas</t>
  </si>
  <si>
    <t>Chef Book Recetas .Susc Semanal</t>
  </si>
  <si>
    <t>Chef Book Recetas Destacado Estrella</t>
  </si>
  <si>
    <t>Fomento 41177 Chef Book Recetas .Susc Semanal</t>
  </si>
  <si>
    <t>Fomento Chef Book Recetas Destacado Estrella</t>
  </si>
  <si>
    <t>English Pills</t>
  </si>
  <si>
    <t>EnglishPills</t>
  </si>
  <si>
    <t>EnglishPills Destacado Estrella</t>
  </si>
  <si>
    <t>EnglishPills Nuevo precio</t>
  </si>
  <si>
    <t>Estrella EnglishPills Nuevo precio del cpc 43571</t>
  </si>
  <si>
    <t>Fomento del CPC 43571 EnglishPills Nuevo precio</t>
  </si>
  <si>
    <t>Fomento del CPC 43575 Estrella EnglishPills Nuevo precio</t>
  </si>
  <si>
    <t>Hazlo Tú Mism@</t>
  </si>
  <si>
    <t>Fomento de  40771 Hazlo tu Mism@</t>
  </si>
  <si>
    <t>Fomento Hazlo tu Mism@ Destacado Estrella</t>
  </si>
  <si>
    <t>Hazlo tu Mism@ Destacado Estrella</t>
  </si>
  <si>
    <t>Hazlo tu Mism@. Susc Semanal</t>
  </si>
  <si>
    <t>I Trip Viajes y +</t>
  </si>
  <si>
    <t xml:space="preserve"> I Trip Viajes y + . Destacado Estrella</t>
  </si>
  <si>
    <t xml:space="preserve"> I Trip Viajes y + .Susc Semanal</t>
  </si>
  <si>
    <t>Fomento  I Trip Viajes y + . Destacado Estrella</t>
  </si>
  <si>
    <t>Fomento 41181  I Trip Viajes y + .Susc Semanal</t>
  </si>
  <si>
    <t>Mascotas</t>
  </si>
  <si>
    <t>Fomento de 41758 Mascotas</t>
  </si>
  <si>
    <t>Mascotas. Susc. Semanal</t>
  </si>
  <si>
    <t>Portal Taromancia</t>
  </si>
  <si>
    <t>PortalTaromancia</t>
  </si>
  <si>
    <t>PortalTaromancia Fomento</t>
  </si>
  <si>
    <t>Taromancia</t>
  </si>
  <si>
    <t>Fomento Taromancia Destacado Estrella</t>
  </si>
  <si>
    <t>Taromancia Destacado Estrella</t>
  </si>
  <si>
    <t>Chats</t>
  </si>
  <si>
    <t>Mister-i</t>
  </si>
  <si>
    <t>Parmenion Inversiones</t>
  </si>
  <si>
    <t>Humor</t>
  </si>
  <si>
    <t>Buongiorno</t>
  </si>
  <si>
    <t>Games</t>
  </si>
  <si>
    <t>Amigo Games</t>
  </si>
  <si>
    <t>Amigo Games Destacado Estrella</t>
  </si>
  <si>
    <t>Fomento Amigo Games Destacado Estrella</t>
  </si>
  <si>
    <t>Demo Juego 0,99 e</t>
  </si>
  <si>
    <t>Descarga (Demo Juego 0,99 e)</t>
  </si>
  <si>
    <t>Demo Juego 1,99 e</t>
  </si>
  <si>
    <t>JuegoCompletoXHTML1.99</t>
  </si>
  <si>
    <t>Demo Juego 2,99 e</t>
  </si>
  <si>
    <t>Descarga (Demo Juego 2,99 e)</t>
  </si>
  <si>
    <t>Demo Juego 3,99 e</t>
  </si>
  <si>
    <t>JuegoCompletoXHTML3.99</t>
  </si>
  <si>
    <t>Desc. Gamel5</t>
  </si>
  <si>
    <t>Descarga (Desc. Gamel5)</t>
  </si>
  <si>
    <t>Desc. Gameloft</t>
  </si>
  <si>
    <t>Descarga (Desc. Gameloft)</t>
  </si>
  <si>
    <t>Desc.Play2Me1</t>
  </si>
  <si>
    <t>Descarga (Desc.Play2Me1)</t>
  </si>
  <si>
    <t>Desc.Play2Me1.5</t>
  </si>
  <si>
    <t>Descarga (Desc.Play2Me1.5)</t>
  </si>
  <si>
    <t>Desc.Play2Me2</t>
  </si>
  <si>
    <t>Descarga (Desc.Play2Me2)</t>
  </si>
  <si>
    <t>Desc.Play2Me3</t>
  </si>
  <si>
    <t>Descarga (Desc.Play2Me3)</t>
  </si>
  <si>
    <t>Desc.Play2Me4</t>
  </si>
  <si>
    <t>Descarga (Desc.Play2Me4)</t>
  </si>
  <si>
    <t>Desc.Play2Me5</t>
  </si>
  <si>
    <t>Descarga (Desc.Play2Me5)</t>
  </si>
  <si>
    <t>Descarga 0,99 eur</t>
  </si>
  <si>
    <t>Descarga (Descarga 0,99 eur)</t>
  </si>
  <si>
    <t>Descarga 1,49 eur</t>
  </si>
  <si>
    <t>Descarga (Descarga 1,50 eur)</t>
  </si>
  <si>
    <t>Descarga 1,99 eur</t>
  </si>
  <si>
    <t>Descarga (Descarga 1,99 eur)</t>
  </si>
  <si>
    <t>Descarga 2,99 eur</t>
  </si>
  <si>
    <t>Descarga (Descarga 2,99 eur)</t>
  </si>
  <si>
    <t>Descarga 3,99 eur</t>
  </si>
  <si>
    <t>Descarga (Descarga 3,99 eur)</t>
  </si>
  <si>
    <t>Extra Demo Juego</t>
  </si>
  <si>
    <t>Descarga Micropago Demo Gameloft 0,75</t>
  </si>
  <si>
    <t>Descarga Micropago Demo Gameloft 0,99</t>
  </si>
  <si>
    <t>Descarga Micropago Demo Gameloft 1,99</t>
  </si>
  <si>
    <t>Descarga Micropago Demo Gameloft 14,99</t>
  </si>
  <si>
    <t>Descarga Micropago Demo Gameloft 3,99</t>
  </si>
  <si>
    <t>Descarga Micropago Demo Gameloft 6,99</t>
  </si>
  <si>
    <t>Descarga Micropago Demo Gameloft 7,99</t>
  </si>
  <si>
    <t>Descarga Micropago Demo Gameloft 9,99</t>
  </si>
  <si>
    <t>Extra Juego Gloft</t>
  </si>
  <si>
    <t>Descarga (Extra Juego )</t>
  </si>
  <si>
    <t>Descarga (Extra Juego Gloft)</t>
  </si>
  <si>
    <t>Descarga (Extra Juego)</t>
  </si>
  <si>
    <t>Extra Juego Play2</t>
  </si>
  <si>
    <t>Extra Juego Play2Me Fremium</t>
  </si>
  <si>
    <t>Fun@tic Games</t>
  </si>
  <si>
    <t>Funatic Games Descarga</t>
  </si>
  <si>
    <t>Funatic Games Suscripcion Semanal</t>
  </si>
  <si>
    <t>Games Club</t>
  </si>
  <si>
    <t>Games Club Destacado Estrella</t>
  </si>
  <si>
    <t>Games Club Susc 7 dias</t>
  </si>
  <si>
    <t xml:space="preserve">Go Play Juegos </t>
  </si>
  <si>
    <t>Fomento 39681 Juegos GoPlay</t>
  </si>
  <si>
    <t>Juegos GoPlay Susc. Semanal</t>
  </si>
  <si>
    <t>Juego En Tu Movil</t>
  </si>
  <si>
    <t>Juegos en tu movil Destacado Estrella</t>
  </si>
  <si>
    <t>Suscripcisn 7 autorenovable Juegos en tu Movil</t>
  </si>
  <si>
    <t>Juego GoPlay 0.75</t>
  </si>
  <si>
    <t>Juego GoPlay 0.99</t>
  </si>
  <si>
    <t>Juego GoPlay 1.99</t>
  </si>
  <si>
    <t>Juego GoPlay 2.49</t>
  </si>
  <si>
    <t>Juego GoPlay 2.99</t>
  </si>
  <si>
    <t>Juego GoPlay 3.99</t>
  </si>
  <si>
    <t>Juego GoPlay 3,99</t>
  </si>
  <si>
    <t>Juegos 2,99 euros</t>
  </si>
  <si>
    <t>Descarga (Juegos 2,99 euros)</t>
  </si>
  <si>
    <t>Juegos Fun Planet</t>
  </si>
  <si>
    <t>Juegos Fun Planet  Destacado Estrella</t>
  </si>
  <si>
    <t>Juegos Fun Planet Susc Semanal</t>
  </si>
  <si>
    <t>Juegos Gamedroid</t>
  </si>
  <si>
    <t>Juegos Gamedroid Destacado Estrella</t>
  </si>
  <si>
    <t>Juegos Gamedroid Susc. Semanal</t>
  </si>
  <si>
    <t xml:space="preserve">Juegos Gameloft </t>
  </si>
  <si>
    <t>Fomento Juegos Gameloft 1 semana</t>
  </si>
  <si>
    <t>Suscripcisn 7 autorenovable (Juegos Gameloft )</t>
  </si>
  <si>
    <t>Juegos GameShaker</t>
  </si>
  <si>
    <t>Juegos Game Shaker</t>
  </si>
  <si>
    <t>Juegos Game Shaker Destacado Estrella</t>
  </si>
  <si>
    <t xml:space="preserve">Juegos GoPlay </t>
  </si>
  <si>
    <t>Juegos Go Play 1.49 Susc Semanal</t>
  </si>
  <si>
    <t>Juegos HD 4,99</t>
  </si>
  <si>
    <t>Descarga (Juegos HD 4,99)</t>
  </si>
  <si>
    <t>Juegos P2M 1,99</t>
  </si>
  <si>
    <t>Descarga (Juegos P2M 1,99)</t>
  </si>
  <si>
    <t>Juegos P2M 2,99</t>
  </si>
  <si>
    <t>Descarga (Juegos P2M 2,99)</t>
  </si>
  <si>
    <t>Juegos P2M 3,99</t>
  </si>
  <si>
    <t>Descarga (Juegos P2M 3,99)</t>
  </si>
  <si>
    <t>Juegos Play On</t>
  </si>
  <si>
    <t>Fomento de 41235.Juegos Play On</t>
  </si>
  <si>
    <t>Juegos Play On. Descarga (PPD)</t>
  </si>
  <si>
    <t>Juegos Play On. Susc Semanal</t>
  </si>
  <si>
    <t xml:space="preserve">Juegos Sexy 0,99 </t>
  </si>
  <si>
    <t>Descarga (Juegos Sexy 0,99 )</t>
  </si>
  <si>
    <t>Juegos Sexy 3,99</t>
  </si>
  <si>
    <t>Descarga (Juegos Sexy 3,99)</t>
  </si>
  <si>
    <t>Juegos Tap To Fun</t>
  </si>
  <si>
    <t>Movistar Juegos</t>
  </si>
  <si>
    <t>Fomento del CPC 43551 Ugames. Movistar Juegos</t>
  </si>
  <si>
    <t>Promo Movistar Juegos 1 mes gratis</t>
  </si>
  <si>
    <t>Ugames. Movistar Juegos</t>
  </si>
  <si>
    <t>Susc gameloft 3e</t>
  </si>
  <si>
    <t>Suscripción 30 autorenovable (Susc gameloft 3e)</t>
  </si>
  <si>
    <t>Susc Juegos Sexy</t>
  </si>
  <si>
    <t>Fomento suscripcion Semanal Juegos Sexy</t>
  </si>
  <si>
    <t>Suscripcisn 7 autorenovable (Susc Juegos Sexy)</t>
  </si>
  <si>
    <t>Susc Real Network</t>
  </si>
  <si>
    <t>Suscripcion  GameHouse 1 mes gratis</t>
  </si>
  <si>
    <t>Suscripción 30 autorenovable (Susc Real Network)</t>
  </si>
  <si>
    <t>Susc Sem EA 0,99e</t>
  </si>
  <si>
    <t>Suscripcisn 7 autorenovable (Susc Sem EA 0,99e)</t>
  </si>
  <si>
    <t>Susc Sem Play2Me</t>
  </si>
  <si>
    <t>Susc Sem 2,99 Play2Me</t>
  </si>
  <si>
    <t>Susc Sem Play2Me Destacado Estrella</t>
  </si>
  <si>
    <t>Suscripcisn 7 autorenovable (Susc Sem Play2Me)</t>
  </si>
  <si>
    <t>Susc Semanal 0,99</t>
  </si>
  <si>
    <t>Fomento 32680 Juegos Connect2media</t>
  </si>
  <si>
    <t>Suscripcisn 7 autorenovable (Susc Semanal 0,99)</t>
  </si>
  <si>
    <t>Tap To Fun Basico</t>
  </si>
  <si>
    <t>Tap To Fun Destacado Estrella</t>
  </si>
  <si>
    <t>Tap To Fun Promo</t>
  </si>
  <si>
    <t>TP Seman EA 0,99e</t>
  </si>
  <si>
    <t>Suscripcisn 7 autorenovable (TP Seman EA 0,99e)</t>
  </si>
  <si>
    <t>VR Games</t>
  </si>
  <si>
    <t>VR Games Susc 7 dias</t>
  </si>
  <si>
    <t>Images</t>
  </si>
  <si>
    <t>Kids</t>
  </si>
  <si>
    <t>Kids Tube</t>
  </si>
  <si>
    <t>KidsTube , Susc Semanal</t>
  </si>
  <si>
    <t>KidsTube Destacado Estrella</t>
  </si>
  <si>
    <t>NEOMOBILE</t>
  </si>
  <si>
    <t>Caillou y Amigos</t>
  </si>
  <si>
    <t>Caillou y Amigos Susc. 7 dias</t>
  </si>
  <si>
    <t>Estrella.Caillou y Amigos</t>
  </si>
  <si>
    <t>Fomento del 42689.Caillou y Amigos</t>
  </si>
  <si>
    <t>Fomento Estrella del 42709.Caillou y Amigos</t>
  </si>
  <si>
    <t>Edukidz</t>
  </si>
  <si>
    <t>Edukidz .Susc Semanal</t>
  </si>
  <si>
    <t>Edukidz Destacado Estrella</t>
  </si>
  <si>
    <t>L. Smart Planet</t>
  </si>
  <si>
    <t>Fomento de 40161 LittleSmartPlanet</t>
  </si>
  <si>
    <t>LittleSmartPlanet  Susc 7 dias</t>
  </si>
  <si>
    <t>LittleSmartPlanet Nuevo precio susc 7 dias</t>
  </si>
  <si>
    <t>Pocoyo House</t>
  </si>
  <si>
    <t>Pocoyo House Estrella</t>
  </si>
  <si>
    <t>Videos Clap</t>
  </si>
  <si>
    <t>Estrella Videos Clap. Susc Semanal</t>
  </si>
  <si>
    <t>Videos Clap. Susc Semanal</t>
  </si>
  <si>
    <t>Light</t>
  </si>
  <si>
    <t>Music</t>
  </si>
  <si>
    <t>Noticias Emocion</t>
  </si>
  <si>
    <t>Estrella Noticias . Susc. 7 dias</t>
  </si>
  <si>
    <t>Noticias Emocion. Susc Semanal</t>
  </si>
  <si>
    <t>Noticias nuevo precio. Susc. 7 dias</t>
  </si>
  <si>
    <t>Sports</t>
  </si>
  <si>
    <t>Content Provider</t>
  </si>
  <si>
    <t>Unique_ID</t>
  </si>
  <si>
    <t>Medianetpay</t>
  </si>
  <si>
    <t>SLOW LIFE</t>
  </si>
  <si>
    <t>PSM</t>
  </si>
  <si>
    <t>NATURAL BEAUTY</t>
  </si>
  <si>
    <t>SoniQ</t>
  </si>
  <si>
    <t>SoniQ Gym Fitness</t>
  </si>
  <si>
    <t>SoniQ Gym susc. Semanal</t>
  </si>
  <si>
    <t>SONIQ GYM FITNESS</t>
  </si>
  <si>
    <t>Aire Fresco</t>
  </si>
  <si>
    <t>Aire Fresco Susc. Semanal</t>
  </si>
  <si>
    <t>AIRE FRESCO</t>
  </si>
  <si>
    <t>Bennu</t>
  </si>
  <si>
    <t>Soy Mujer</t>
  </si>
  <si>
    <t>Soy Mujer Susc 7 dias</t>
  </si>
  <si>
    <t>SOY MUJER</t>
  </si>
  <si>
    <t>(blank)</t>
  </si>
  <si>
    <t>DAILY DIVA MUJER</t>
  </si>
  <si>
    <t>Genexies</t>
  </si>
  <si>
    <t>REVISTA DE MODA</t>
  </si>
  <si>
    <t>JET MULTIMEDIA</t>
  </si>
  <si>
    <t>PORTAL EUROSALUD</t>
  </si>
  <si>
    <t>CUIDATEMEJOR.COM</t>
  </si>
  <si>
    <t>SEXDUCATE CON LB</t>
  </si>
  <si>
    <t>YOMUJERYMAS.COM</t>
  </si>
  <si>
    <t>EDMUNDO</t>
  </si>
  <si>
    <t>Mobile Cash Out</t>
  </si>
  <si>
    <t>Life R Style</t>
  </si>
  <si>
    <t>Life R Style Susc. 7 dias</t>
  </si>
  <si>
    <t>CONTACTOS</t>
  </si>
  <si>
    <t>MOVIMESSENGER</t>
  </si>
  <si>
    <t>¿QUEDAMOS?</t>
  </si>
  <si>
    <t>Agile</t>
  </si>
  <si>
    <t>BLOOMBERG ENGLISH</t>
  </si>
  <si>
    <t>TUNENGLISH</t>
  </si>
  <si>
    <t>ABACO</t>
  </si>
  <si>
    <t>Tinder Emoción Susc.30 dias</t>
  </si>
  <si>
    <t xml:space="preserve">SUSC CAM OCULTA </t>
  </si>
  <si>
    <t>Mobiground</t>
  </si>
  <si>
    <t>Zona Z</t>
  </si>
  <si>
    <t>Zona Z Susc. 7 dias</t>
  </si>
  <si>
    <t>Alchimie</t>
  </si>
  <si>
    <t>Humanity</t>
  </si>
  <si>
    <t>Humanity Susc. 7 dias</t>
  </si>
  <si>
    <t>ASTROFUTURO</t>
  </si>
  <si>
    <t>TAP TO STARS</t>
  </si>
  <si>
    <t>PARECE MUNDOTODAY</t>
  </si>
  <si>
    <t>AirTouch New Media SL</t>
  </si>
  <si>
    <t>VIDEO GOLAZOS</t>
  </si>
  <si>
    <t>FASHION TV</t>
  </si>
  <si>
    <t>TOPVIDEO</t>
  </si>
  <si>
    <t>ZNACK VIDEO</t>
  </si>
  <si>
    <t>COMEDY FACTORY</t>
  </si>
  <si>
    <t>VIDEOS TRIBUU</t>
  </si>
  <si>
    <t>ZAAASS VIDEOS</t>
  </si>
  <si>
    <t>VIDEO SERIES</t>
  </si>
  <si>
    <t>THE TOURIST VIDEO</t>
  </si>
  <si>
    <t>VIDEO HOROSCOPO</t>
  </si>
  <si>
    <t>VIDEOS LO + MEJOR</t>
  </si>
  <si>
    <t>Thagson</t>
  </si>
  <si>
    <t>GLADIADORES MMA</t>
  </si>
  <si>
    <t>VIDEO COTO D CAZA</t>
  </si>
  <si>
    <t>HAZLO TÚ MISM@</t>
  </si>
  <si>
    <t>CHEF BOOK RECETAS</t>
  </si>
  <si>
    <t>I TRIP VIAJES Y +</t>
  </si>
  <si>
    <t>MASCOTAS</t>
  </si>
  <si>
    <t>ENGLISH PILLS</t>
  </si>
  <si>
    <t>PORTAL TAROMANCIA</t>
  </si>
  <si>
    <t>TAROMANCIA</t>
  </si>
  <si>
    <t>JUEGOS FUN PLANET</t>
  </si>
  <si>
    <t>JUEGOS GAMEDROID</t>
  </si>
  <si>
    <t>JUEGOS GAMESHAKER</t>
  </si>
  <si>
    <t>TAP TO FUN</t>
  </si>
  <si>
    <t>Connect2media</t>
  </si>
  <si>
    <t>AMIGO GAMES</t>
  </si>
  <si>
    <t>CONNECT2MEDIA</t>
  </si>
  <si>
    <t>EA</t>
  </si>
  <si>
    <t>Gameloft</t>
  </si>
  <si>
    <t>FUN@TIC GAMES</t>
  </si>
  <si>
    <t>EMBEBIDO IN APP GAMELOFT</t>
  </si>
  <si>
    <t>GAMELOFT GAMES</t>
  </si>
  <si>
    <t>GAMES CLUB</t>
  </si>
  <si>
    <t>EMBEBIDO MOBIG</t>
  </si>
  <si>
    <t>PLAY2ME</t>
  </si>
  <si>
    <t>EMBEBIDO IN APP MOBIG</t>
  </si>
  <si>
    <t>JUEGO GOPLAY</t>
  </si>
  <si>
    <t>JUEGO EN TU MOVIL</t>
  </si>
  <si>
    <t>JUEGOS SEXY</t>
  </si>
  <si>
    <t>SUSC REAL NETWORK</t>
  </si>
  <si>
    <t>JUEGOS PLAY ON</t>
  </si>
  <si>
    <t>MOVISTAR JUEGOS</t>
  </si>
  <si>
    <t>Pacific Media Entertainment, Inc.</t>
  </si>
  <si>
    <t>VR GAMES</t>
  </si>
  <si>
    <t>Animaciones</t>
  </si>
  <si>
    <t>Descarga (Animaciones)</t>
  </si>
  <si>
    <t>ANIMACIONES</t>
  </si>
  <si>
    <t>Animaciones Brand</t>
  </si>
  <si>
    <t>Descarga (Fondos)</t>
  </si>
  <si>
    <t>ANIMACIONES BRAND</t>
  </si>
  <si>
    <t>Fondo Avatares</t>
  </si>
  <si>
    <t>Suscripción 30 autorenovable (Fondo Avatares)</t>
  </si>
  <si>
    <t>FONDO AVATARES</t>
  </si>
  <si>
    <t>Fondos</t>
  </si>
  <si>
    <t>FONDOS</t>
  </si>
  <si>
    <t>Fondos Branded</t>
  </si>
  <si>
    <t>Descarga (Fondos Branded)</t>
  </si>
  <si>
    <t>FONDOS BRANDED</t>
  </si>
  <si>
    <t>Fondos Dinamicos</t>
  </si>
  <si>
    <t>Descarga (Fondos Dinamicos)</t>
  </si>
  <si>
    <t>FONDOS DINAMICOS</t>
  </si>
  <si>
    <t>Susc Fond MB Xhtm</t>
  </si>
  <si>
    <t>Suscripción 30 autorenovable (Susc Fond MB Xhtm)</t>
  </si>
  <si>
    <t>SUSC FOND MB XHTM</t>
  </si>
  <si>
    <t>Temas Movistar</t>
  </si>
  <si>
    <t>Descarga (Temas Movistar)</t>
  </si>
  <si>
    <t>TEMAS MOVISTAR</t>
  </si>
  <si>
    <t xml:space="preserve">Tf Plana Videos </t>
  </si>
  <si>
    <t>Suscripcisn 7 autorenovable (Tf Plana Videos )</t>
  </si>
  <si>
    <t xml:space="preserve">TF PLANA VIDEOS </t>
  </si>
  <si>
    <t>TP Fondos Semanal</t>
  </si>
  <si>
    <t>Suscripcisn 7 autorenovable (TP Fondos Semanal)</t>
  </si>
  <si>
    <t>TP FONDOS SEMANAL</t>
  </si>
  <si>
    <t>Videos</t>
  </si>
  <si>
    <t>Descarga (Videos)</t>
  </si>
  <si>
    <t>VIDEOS</t>
  </si>
  <si>
    <t>Videos Branded</t>
  </si>
  <si>
    <t>Descarga (Videos Branded)</t>
  </si>
  <si>
    <t>VIDEOS BRANDED</t>
  </si>
  <si>
    <t>Gofresh</t>
  </si>
  <si>
    <t>Animaciones&amp;Logos</t>
  </si>
  <si>
    <t>Suscripción 30 autorenovable (Animaciones&amp;Logos)</t>
  </si>
  <si>
    <t>ANIMACIONES&amp;LOGOS</t>
  </si>
  <si>
    <t>Gofresh logos</t>
  </si>
  <si>
    <t>Suscripción 30 autorenovable para contenido: Gofresh logos</t>
  </si>
  <si>
    <t>GOFRESH LOGOS</t>
  </si>
  <si>
    <t>Club</t>
  </si>
  <si>
    <t>Suscripción 30 autorenovable (Club)</t>
  </si>
  <si>
    <t>CLUB</t>
  </si>
  <si>
    <t>Baby TV</t>
  </si>
  <si>
    <t>Baby TV Suc. 7 dias</t>
  </si>
  <si>
    <t>Hello Kitty House</t>
  </si>
  <si>
    <t>Estrella del CPC 43869 Hello Kitty House Susc 7 dias</t>
  </si>
  <si>
    <t>HELLO KITTY HOUSE</t>
  </si>
  <si>
    <t>Hello Kitty House Susc 7 dias</t>
  </si>
  <si>
    <t>Fomento de 42389 LittleSmartPlanet</t>
  </si>
  <si>
    <t>L. SMART PLANET</t>
  </si>
  <si>
    <t>Competir</t>
  </si>
  <si>
    <t>Aula 365</t>
  </si>
  <si>
    <t>Aula 365. Susc Semanal</t>
  </si>
  <si>
    <t>AULA 365</t>
  </si>
  <si>
    <t>Kids Play</t>
  </si>
  <si>
    <t>Fomento de Kids Play Sus. 7 dias</t>
  </si>
  <si>
    <t>KIDS PLAY</t>
  </si>
  <si>
    <t>Kids Play Sus. 7 dias</t>
  </si>
  <si>
    <t>KIDS TUBE</t>
  </si>
  <si>
    <t>TELEDIBUJITOS</t>
  </si>
  <si>
    <t>Cuaderno Mágico</t>
  </si>
  <si>
    <t>Cuaderno Magico</t>
  </si>
  <si>
    <t>CUADERNO MÁGICO</t>
  </si>
  <si>
    <t>EDUKIDZ</t>
  </si>
  <si>
    <t>POCOYO HOUSE</t>
  </si>
  <si>
    <t>CAILLOU Y AMIGOS</t>
  </si>
  <si>
    <t>VIDEOS CLAP</t>
  </si>
  <si>
    <t>2dayuk</t>
  </si>
  <si>
    <t>LIFESELECTOR</t>
  </si>
  <si>
    <t>21 Naturals Susc 7 dias</t>
  </si>
  <si>
    <t>21 NATURALS</t>
  </si>
  <si>
    <t>IntimaX.Susc 7 dias</t>
  </si>
  <si>
    <t>INTIMAX</t>
  </si>
  <si>
    <t>Relatos XXX Suscripcion Semanal</t>
  </si>
  <si>
    <t>RELATOS XXX</t>
  </si>
  <si>
    <t>Viciosas XXX . Susc Semanal</t>
  </si>
  <si>
    <t>VICIOSAS XXX</t>
  </si>
  <si>
    <t>Viciosas XXX 7 dias</t>
  </si>
  <si>
    <t>Addictive Entertainment</t>
  </si>
  <si>
    <t>PASSION HD</t>
  </si>
  <si>
    <t>Suscripcion Mensual Sport Illustrated</t>
  </si>
  <si>
    <t>TOP MODELS</t>
  </si>
  <si>
    <t>Pink Crush Susc. Semanal</t>
  </si>
  <si>
    <t>PINK CRUSH</t>
  </si>
  <si>
    <t>WORLDSEX</t>
  </si>
  <si>
    <t>Suscripción 30 autorenovable (Multimedia)</t>
  </si>
  <si>
    <t>MEGAZORRONES</t>
  </si>
  <si>
    <t>MOVISEXY</t>
  </si>
  <si>
    <t>XVIDEOS CLUB</t>
  </si>
  <si>
    <t>Suscripción 7 (Multimedia)</t>
  </si>
  <si>
    <t>CLUB SEXY</t>
  </si>
  <si>
    <t>Claxson . Contribution</t>
  </si>
  <si>
    <t>Canal GChannel</t>
  </si>
  <si>
    <t>Suscripción 30 autorenovable (Canal GChannel)</t>
  </si>
  <si>
    <t>FORMAN TV</t>
  </si>
  <si>
    <t>Canal Venus</t>
  </si>
  <si>
    <t>Suscripción 30 autorenovable (Canal Venus)</t>
  </si>
  <si>
    <t>CANAL VENUS</t>
  </si>
  <si>
    <t>Descarga (Multimedia)</t>
  </si>
  <si>
    <t>PLAYBOY</t>
  </si>
  <si>
    <t>PENTHOUSE</t>
  </si>
  <si>
    <t>Penthouse Destacado Estrella</t>
  </si>
  <si>
    <t>Playboy (nuevo agregador Bennu)</t>
  </si>
  <si>
    <t>Playboy Destacado Estrella</t>
  </si>
  <si>
    <t>Playboy Susc semanal</t>
  </si>
  <si>
    <t>CANAL PENTHOUSE</t>
  </si>
  <si>
    <t>Playboy Tv</t>
  </si>
  <si>
    <t>Suscripción 30 autorenovable (Playboy Tv)</t>
  </si>
  <si>
    <t>G-Mobile Content</t>
  </si>
  <si>
    <t>GAY MOBILE</t>
  </si>
  <si>
    <t>Gay Mobile XXX Destacado Estrella</t>
  </si>
  <si>
    <t>Gay Mobile.Susc Semanal</t>
  </si>
  <si>
    <t>Suscripción 30 autorenovable (Sueños Calientes)</t>
  </si>
  <si>
    <t>JCS NIGHTCLUB</t>
  </si>
  <si>
    <t xml:space="preserve">JET MULTIMEDIA </t>
  </si>
  <si>
    <t>XTREME MOVIES</t>
  </si>
  <si>
    <t>Xtreme Movies Destacado Estrella</t>
  </si>
  <si>
    <t>Casadas Imágenes</t>
  </si>
  <si>
    <t>CASADAS</t>
  </si>
  <si>
    <t>CHICAS MALAS</t>
  </si>
  <si>
    <t>FOLLAMIGOS</t>
  </si>
  <si>
    <t>GAY</t>
  </si>
  <si>
    <t>JOVENCITAS</t>
  </si>
  <si>
    <t>LATINAS</t>
  </si>
  <si>
    <t>MACIZOS</t>
  </si>
  <si>
    <t>MADURAS</t>
  </si>
  <si>
    <t>MAMADAS</t>
  </si>
  <si>
    <t>PUTAS</t>
  </si>
  <si>
    <t>VECINITAS</t>
  </si>
  <si>
    <t>Estrella de Mr.69 del CPC 30088</t>
  </si>
  <si>
    <t>PUTA LOCURA / MR 69</t>
  </si>
  <si>
    <t>Ibericas Imágenes</t>
  </si>
  <si>
    <t>IBERICAS</t>
  </si>
  <si>
    <t>Jovencitas Imágenes</t>
  </si>
  <si>
    <t>Mamadas Imágenes</t>
  </si>
  <si>
    <t>Orgasmatron</t>
  </si>
  <si>
    <t>ORGASMATRON</t>
  </si>
  <si>
    <t>Orgasmatron Destacado Estrella</t>
  </si>
  <si>
    <t>Orgasmatron. Susc Semanal</t>
  </si>
  <si>
    <t>Sexo en publico Imágenes</t>
  </si>
  <si>
    <t>SEXO EN PUBLICO</t>
  </si>
  <si>
    <t>EXCITAME</t>
  </si>
  <si>
    <t>PORNSTARS</t>
  </si>
  <si>
    <t>Vicious Cam Destacado Estrella</t>
  </si>
  <si>
    <t>VICIOUS CAM</t>
  </si>
  <si>
    <t>Vicious Cam suscripcion 7 dias</t>
  </si>
  <si>
    <t>Videos Multimedia</t>
  </si>
  <si>
    <t>Rincon Prohibido. Susc Semanal</t>
  </si>
  <si>
    <t>RINCON PROHIBIDO</t>
  </si>
  <si>
    <t>Private</t>
  </si>
  <si>
    <t>Descarga (DescFondosPrivate)</t>
  </si>
  <si>
    <t>PRIVATE</t>
  </si>
  <si>
    <t>PROVEEDOR 
PAQUETES</t>
  </si>
  <si>
    <t>Paquete TV Ad</t>
  </si>
  <si>
    <t>Paquete de Suscripciones 30 dias Autorenovable (Paquete TV Ad)</t>
  </si>
  <si>
    <t>PAQUETE TV AD</t>
  </si>
  <si>
    <t>ABUELOS CACHONDOS</t>
  </si>
  <si>
    <t>AFICIONADOS ESPAÑOLES</t>
  </si>
  <si>
    <t>COCHINAS LATINAS</t>
  </si>
  <si>
    <t>CORRIDAS</t>
  </si>
  <si>
    <t>DIVINAS MAMAS</t>
  </si>
  <si>
    <t>EN FAMILIA</t>
  </si>
  <si>
    <t>GRANDES POLLAS</t>
  </si>
  <si>
    <t>HARDCORE</t>
  </si>
  <si>
    <t>HENTAI</t>
  </si>
  <si>
    <t>LENCERÍA</t>
  </si>
  <si>
    <t>LESBIANAS</t>
  </si>
  <si>
    <t>MORENAZAS</t>
  </si>
  <si>
    <t>MULATAS</t>
  </si>
  <si>
    <t>MUNDO DVD PORNO</t>
  </si>
  <si>
    <t>PORNO PROFESIONAL</t>
  </si>
  <si>
    <t>RUBIAS</t>
  </si>
  <si>
    <t>SUPERTANGAS</t>
  </si>
  <si>
    <t>TATTOO</t>
  </si>
  <si>
    <t>VIDEOCLUB X</t>
  </si>
  <si>
    <t>Descarga para contenido: clips</t>
  </si>
  <si>
    <t>LA GRUTA DEL SEXO</t>
  </si>
  <si>
    <t>Divinas Mamas Suscripcisn 7 autorenovable</t>
  </si>
  <si>
    <t>eXoticas . Susc Semanal</t>
  </si>
  <si>
    <t>EXOTICAS</t>
  </si>
  <si>
    <t>La Gruta del Sexo . Susc. 7 dias</t>
  </si>
  <si>
    <t>Mi Sex Video Descarga</t>
  </si>
  <si>
    <t>MI SEX VIDEO</t>
  </si>
  <si>
    <t>Mi Sex Video Destacado Estrella</t>
  </si>
  <si>
    <t>Mi Sex Video suscripcion</t>
  </si>
  <si>
    <t>Pack Taquillas de X1 a X9</t>
  </si>
  <si>
    <t>TAQUILLAS</t>
  </si>
  <si>
    <t>Porno Interactivo susc. Semanal</t>
  </si>
  <si>
    <t>PORNO INTERACTIVO</t>
  </si>
  <si>
    <t>Suscripcion Cam Girls</t>
  </si>
  <si>
    <t>CAM GIRLS</t>
  </si>
  <si>
    <t>VIDEO X PORN</t>
  </si>
  <si>
    <t>Taquilla X3 Destacado Estrella</t>
  </si>
  <si>
    <t>Taquilla X4 Destacado Estrella</t>
  </si>
  <si>
    <t>Bellezas Salvajes</t>
  </si>
  <si>
    <t>Bellezas Salvajes , susc . Semanal</t>
  </si>
  <si>
    <t>BELLEZAS SALVAJES</t>
  </si>
  <si>
    <t>Porno Gafas suscripcion 7 dias</t>
  </si>
  <si>
    <t>PORNO GAFAS</t>
  </si>
  <si>
    <t>MANSION DE NACHO VIDAL</t>
  </si>
  <si>
    <t>PORNO CALLEJEROS</t>
  </si>
  <si>
    <t>SUPERESCENAS XXX</t>
  </si>
  <si>
    <t>Taquilla X10 Destacado Estrella</t>
  </si>
  <si>
    <t>Taquilla X8 Destacado Estrella</t>
  </si>
  <si>
    <t>Taquilla X9 Destacado Estrella</t>
  </si>
  <si>
    <t>Multimedias</t>
  </si>
  <si>
    <t>Suscripcisn 7 autorenovable (Multimedias)</t>
  </si>
  <si>
    <t>LA CALLE DEL SEXO</t>
  </si>
  <si>
    <t>Sex 360</t>
  </si>
  <si>
    <t>Sex 360 . Susc 7 dias</t>
  </si>
  <si>
    <t>SEX 360</t>
  </si>
  <si>
    <t>Waat Media</t>
  </si>
  <si>
    <t>PORNO TRAVIESO</t>
  </si>
  <si>
    <t>YOU PORN XXX/TU PORNO</t>
  </si>
  <si>
    <t>Suscripción 30 autorenovable (Subsc.Vivid)</t>
  </si>
  <si>
    <t>EUROTEENS</t>
  </si>
  <si>
    <t>Tu Porno Suscripcion 7 dias</t>
  </si>
  <si>
    <t>TU PORNO</t>
  </si>
  <si>
    <t>Yiam Uno S.L.</t>
  </si>
  <si>
    <t>Amateur Destacado Estrella</t>
  </si>
  <si>
    <t>AMATEUR</t>
  </si>
  <si>
    <t>Descarga (Amateur)</t>
  </si>
  <si>
    <t>SEXO CASERO</t>
  </si>
  <si>
    <t>CHICAS HUMEDAS</t>
  </si>
  <si>
    <t>CLUB DE INTERCAMBIOS</t>
  </si>
  <si>
    <t>CULAZOS</t>
  </si>
  <si>
    <t>ENFERMERAS</t>
  </si>
  <si>
    <t>ESPECIAL COÑOS</t>
  </si>
  <si>
    <t>EX NOVIAS</t>
  </si>
  <si>
    <t>GORDAS</t>
  </si>
  <si>
    <t>ORGASMOS FEMENINOS</t>
  </si>
  <si>
    <t>ORGIAS</t>
  </si>
  <si>
    <t>ORIENTAL</t>
  </si>
  <si>
    <t>POR CULO</t>
  </si>
  <si>
    <t>PORN STARS</t>
  </si>
  <si>
    <t>SEXO DE LUJO</t>
  </si>
  <si>
    <t>SEXO ORIENTAL</t>
  </si>
  <si>
    <t>STRIPERS</t>
  </si>
  <si>
    <t>TERA PATRICK</t>
  </si>
  <si>
    <t>TETONAS</t>
  </si>
  <si>
    <t>TRAVESTIS</t>
  </si>
  <si>
    <t>TRÍOS</t>
  </si>
  <si>
    <t>UNIVERSITARIAS</t>
  </si>
  <si>
    <t>WEBCAMS</t>
  </si>
  <si>
    <t>WICKED</t>
  </si>
  <si>
    <t>Digital Sin (Fomento 31568)</t>
  </si>
  <si>
    <t>DIGITAL SIN</t>
  </si>
  <si>
    <t>Digital Sin Destacado Estrella</t>
  </si>
  <si>
    <t>Enfermeras Destacado Estrella</t>
  </si>
  <si>
    <t>Fomento Digital Sin Destacado Estrella</t>
  </si>
  <si>
    <t>Maduras Fomento 31876</t>
  </si>
  <si>
    <t>New Sensations  Destacado Estrella</t>
  </si>
  <si>
    <t>NEW SENSATIONS</t>
  </si>
  <si>
    <t>Orgias  Destacado Estrella</t>
  </si>
  <si>
    <t>Playhouse Destacado Estrella</t>
  </si>
  <si>
    <t>PLAYHOUSE</t>
  </si>
  <si>
    <t>Por Culo  Destacado Estrella</t>
  </si>
  <si>
    <t>FANTASY MANSION</t>
  </si>
  <si>
    <t>NECTAR</t>
  </si>
  <si>
    <t>Tetonas Destacado Estrella</t>
  </si>
  <si>
    <t>CHEAP &amp; NASTY</t>
  </si>
  <si>
    <t>Spotify Spain SL</t>
  </si>
  <si>
    <t>Spotify</t>
  </si>
  <si>
    <t>Spotify Susc. 30 dias</t>
  </si>
  <si>
    <t>ALLUCANEAT-30</t>
  </si>
  <si>
    <t>Suscripción 30 autorenovable (ALLUCANEAT-30)</t>
  </si>
  <si>
    <t>GNFTwar199</t>
  </si>
  <si>
    <t>Descarga (GNFTwar199)</t>
  </si>
  <si>
    <t>GNFTWAR199</t>
  </si>
  <si>
    <t>MOVIHUMOR-20</t>
  </si>
  <si>
    <t>Descarga (MOVIHUMOR-20)</t>
  </si>
  <si>
    <t>Musica Clasica</t>
  </si>
  <si>
    <t>Fomento 39581 Musica Clasica Jazz suscripcion Semanal</t>
  </si>
  <si>
    <t>MUSICA CLASICA</t>
  </si>
  <si>
    <t>Musica Clasica Jazz suscripcion Semanal</t>
  </si>
  <si>
    <t>Musica Dance</t>
  </si>
  <si>
    <t>Fomento 35008 Musica Dance</t>
  </si>
  <si>
    <t>MUSICA DANCE</t>
  </si>
  <si>
    <t>Suscripción 30 autorenovable (DANCE_SUSC)</t>
  </si>
  <si>
    <t>Musica Espanola</t>
  </si>
  <si>
    <t>Fomento 35020 Musica Española</t>
  </si>
  <si>
    <t>MUSICA ESPANOLA</t>
  </si>
  <si>
    <t>Musica Española .Susc. 7 dias</t>
  </si>
  <si>
    <t>Musica Flamenco</t>
  </si>
  <si>
    <t>Fomento 35014 Musica Flamenco</t>
  </si>
  <si>
    <t>MUSICA FLAMENCO</t>
  </si>
  <si>
    <t>Musica Flamenco .Susc. 7 dias</t>
  </si>
  <si>
    <t>Musica Latina</t>
  </si>
  <si>
    <t>Fomento 35357 Musica Latina</t>
  </si>
  <si>
    <t>MUSICA LATINA</t>
  </si>
  <si>
    <t>Musica Latina. Susc 7 dias</t>
  </si>
  <si>
    <t>Musica x Generos</t>
  </si>
  <si>
    <t>Fomento 40562 Musica x Generos</t>
  </si>
  <si>
    <t>MUSICA X GENEROS</t>
  </si>
  <si>
    <t>Musica x Generos Susc Semanal</t>
  </si>
  <si>
    <t>Musica.fvalt199</t>
  </si>
  <si>
    <t>Descarga (GNFValt199)</t>
  </si>
  <si>
    <t>MUSICA.FVALT199</t>
  </si>
  <si>
    <t>Musica.fvgen199</t>
  </si>
  <si>
    <t>Descarga (GNFVgen199)</t>
  </si>
  <si>
    <t>MUSICA.FVGEN199</t>
  </si>
  <si>
    <t>Musica.fvorc199</t>
  </si>
  <si>
    <t>Descarga (GNFVorc199)</t>
  </si>
  <si>
    <t>MUSICA.FVORC199</t>
  </si>
  <si>
    <t>Musica.fvson199</t>
  </si>
  <si>
    <t>Descarga (GNFVson199)</t>
  </si>
  <si>
    <t>MUSICA.FVSON199</t>
  </si>
  <si>
    <t>Musica.fvuni199</t>
  </si>
  <si>
    <t>Descarga (GNFVuni199)</t>
  </si>
  <si>
    <t>MUSICA.FVUNI199</t>
  </si>
  <si>
    <t>Musica.fvwar199</t>
  </si>
  <si>
    <t>Descarga (GNFVwar199)</t>
  </si>
  <si>
    <t>MUSICA.FVWAR199</t>
  </si>
  <si>
    <t>Musica.MP3.alt149</t>
  </si>
  <si>
    <t>Descarga (GNFTalt149)</t>
  </si>
  <si>
    <t>MUSICA.MP3.ALT149</t>
  </si>
  <si>
    <t>Musica.MP3.alt99</t>
  </si>
  <si>
    <t>Descarga (GNFTalt99)</t>
  </si>
  <si>
    <t>MUSICA.MP3.ALT99</t>
  </si>
  <si>
    <t>Musica.MP3.gen149</t>
  </si>
  <si>
    <t>Descarga (GNFTgen149)</t>
  </si>
  <si>
    <t>MUSICA.MP3.GEN149</t>
  </si>
  <si>
    <t>Musica.MP3.gen99</t>
  </si>
  <si>
    <t>Descarga (GNFTgen99)</t>
  </si>
  <si>
    <t>MUSICA.MP3.GEN99</t>
  </si>
  <si>
    <t>Musica.MP3.orc149</t>
  </si>
  <si>
    <t>Descarga (GNFTorc149)</t>
  </si>
  <si>
    <t>MUSICA.MP3.ORC149</t>
  </si>
  <si>
    <t>Musica.MP3.orc99</t>
  </si>
  <si>
    <t>Descarga (GNFTorc99)</t>
  </si>
  <si>
    <t>MUSICA.MP3.ORC99</t>
  </si>
  <si>
    <t>Musica.MP3.son149</t>
  </si>
  <si>
    <t>Descarga (GNFTson149)</t>
  </si>
  <si>
    <t>MUSICA.MP3.SON149</t>
  </si>
  <si>
    <t>Musica.MP3.son99</t>
  </si>
  <si>
    <t>Descarga (GNFTson99)</t>
  </si>
  <si>
    <t>MUSICA.MP3.SON99</t>
  </si>
  <si>
    <t>Musica.MP3.uni149</t>
  </si>
  <si>
    <t>Descarga (GNFTuni149)</t>
  </si>
  <si>
    <t>MUSICA.MP3.UNI149</t>
  </si>
  <si>
    <t>Musica.MP3.uni99</t>
  </si>
  <si>
    <t>Descarga (GNFTuni99)</t>
  </si>
  <si>
    <t>MUSICA.MP3.UNI99</t>
  </si>
  <si>
    <t>Musica.MP3.war149</t>
  </si>
  <si>
    <t>Descarga (GNFTwar149)</t>
  </si>
  <si>
    <t>MUSICA.MP3.WAR149</t>
  </si>
  <si>
    <t>Musica.MP3.war99</t>
  </si>
  <si>
    <t>Descarga (GNFTwar99)</t>
  </si>
  <si>
    <t>MUSICA.MP3.WAR99</t>
  </si>
  <si>
    <t>Musica.tralt199</t>
  </si>
  <si>
    <t>Descarga (GNTRalt199)</t>
  </si>
  <si>
    <t>MUSICA.TRALT199</t>
  </si>
  <si>
    <t>Musica.trgen199</t>
  </si>
  <si>
    <t>Descarga (GNTRgen199)</t>
  </si>
  <si>
    <t>MUSICA.TRGEN199</t>
  </si>
  <si>
    <t>Descarga (MOVIREAL-20-GENX)</t>
  </si>
  <si>
    <t>Musica.trorc199</t>
  </si>
  <si>
    <t>Descarga (GNTRorc199)</t>
  </si>
  <si>
    <t>MUSICA.TRORC199</t>
  </si>
  <si>
    <t>Descarga (GNTTorc199)</t>
  </si>
  <si>
    <t>Musica.trson199</t>
  </si>
  <si>
    <t>Descarga (GNTRson199)</t>
  </si>
  <si>
    <t>MUSICA.TRSON199</t>
  </si>
  <si>
    <t>Descarga (MOVIREAL-20-SONY)</t>
  </si>
  <si>
    <t>Musica.truni199</t>
  </si>
  <si>
    <t>Descarga (GNTRuni199)</t>
  </si>
  <si>
    <t>MUSICA.TRUNI199</t>
  </si>
  <si>
    <t>Descarga (MOVIREAL-20-UNIVE)</t>
  </si>
  <si>
    <t>Musica.trwar199</t>
  </si>
  <si>
    <t>Descarga (GNTRwar199)</t>
  </si>
  <si>
    <t>MUSICA.TRWAR199</t>
  </si>
  <si>
    <t>Descarga (MOVIREAL-20-WARNE)</t>
  </si>
  <si>
    <t>Tarifa plana mp3</t>
  </si>
  <si>
    <t>Fomento del 34409 GRATIS el 1a Semana</t>
  </si>
  <si>
    <t>TARIFA PLANA MP3</t>
  </si>
  <si>
    <t>Suscripción 7 dias autorenovable</t>
  </si>
  <si>
    <t>tarifa plana tono</t>
  </si>
  <si>
    <t>Suscripción 30 autorenovable (ALLUCANEAT-40)</t>
  </si>
  <si>
    <t>TARIFA PLANA TONO</t>
  </si>
  <si>
    <t>Gigigo</t>
  </si>
  <si>
    <t>Bandas Sonoras.Susc Semanal</t>
  </si>
  <si>
    <t>BANDAS SONORAS</t>
  </si>
  <si>
    <t>Musica x Paises.Susc Semanal</t>
  </si>
  <si>
    <t>MUSICA X PAISES</t>
  </si>
  <si>
    <t>MusicInfatilSUSC</t>
  </si>
  <si>
    <t>Musica Infantil. Susc Semanal</t>
  </si>
  <si>
    <t>MUSICINFATILSUSC</t>
  </si>
  <si>
    <t>Club música</t>
  </si>
  <si>
    <t>Suscripcion 7 (Club música)</t>
  </si>
  <si>
    <t>CLUB MÚSICA</t>
  </si>
  <si>
    <t>MobileMusic tonos</t>
  </si>
  <si>
    <t>Suscripción 30 autorenovable (MobileMusic tonos)</t>
  </si>
  <si>
    <t>MOBILEMUSIC TONOS</t>
  </si>
  <si>
    <t>CHAT MUSICA</t>
  </si>
  <si>
    <t>Novedades 3,99</t>
  </si>
  <si>
    <t>Novedades Suscripción 7 auto</t>
  </si>
  <si>
    <t>NOVEDADES 3,99</t>
  </si>
  <si>
    <t>NOTICIAS EMOCION</t>
  </si>
  <si>
    <t>Diario La Razón</t>
  </si>
  <si>
    <t>Diario La Razón Susc. 30 dias</t>
  </si>
  <si>
    <t>Diario As</t>
  </si>
  <si>
    <t>Diario As Susc. 30 dias</t>
  </si>
  <si>
    <t>Period Catalunya</t>
  </si>
  <si>
    <t>Period Catalunya en Castellano Susc. 30 dias</t>
  </si>
  <si>
    <t>Period Catalunya en Catalan Susc. 30 dias</t>
  </si>
  <si>
    <t>Diario Sport</t>
  </si>
  <si>
    <t>Diario Sport Susc. 30 dias</t>
  </si>
  <si>
    <t>Diario El Pais</t>
  </si>
  <si>
    <t>Diario El Pais Susc. 30 dias</t>
  </si>
  <si>
    <t>Periódico Ibiza</t>
  </si>
  <si>
    <t>Periódico Ibiza Susc. 30 dias</t>
  </si>
  <si>
    <t>Diario Ara</t>
  </si>
  <si>
    <t>Diario Ara Susc. 30 dias</t>
  </si>
  <si>
    <t>La Voz de Galicia</t>
  </si>
  <si>
    <t>La Voz de Galicia Susc. 30 dias</t>
  </si>
  <si>
    <t>Diario ABC</t>
  </si>
  <si>
    <t>Diario ABC Susc. 30 dias</t>
  </si>
  <si>
    <t>Diario Pontevedra</t>
  </si>
  <si>
    <t>Diario Pontevedra Susc. 30 dias</t>
  </si>
  <si>
    <t>El Progreso</t>
  </si>
  <si>
    <t>El Progreso Susc. 30 dias</t>
  </si>
  <si>
    <t>Diario Córdoba</t>
  </si>
  <si>
    <t>Diario Córdoba Susc. 30 dias</t>
  </si>
  <si>
    <t>Periódico Aragón</t>
  </si>
  <si>
    <t>Periódico Aragón Susc. 30 dias</t>
  </si>
  <si>
    <t>Period Extremadur</t>
  </si>
  <si>
    <t>Period Extremadur Susc. 30 dias</t>
  </si>
  <si>
    <t>Period Mediterran</t>
  </si>
  <si>
    <t>Period Mediterran Susc. 30 dias</t>
  </si>
  <si>
    <t>Diario Ideal</t>
  </si>
  <si>
    <t>Diario Ideal Susc. 30 dias</t>
  </si>
  <si>
    <t>Las Provincias</t>
  </si>
  <si>
    <t>Las Provincias Susc. 30 dias</t>
  </si>
  <si>
    <t>Diario de Burgos</t>
  </si>
  <si>
    <t>Diario de Burgos Susc. 30 dias</t>
  </si>
  <si>
    <t>Diario de Ávila</t>
  </si>
  <si>
    <t>Diario de Ávila Susc. 30 dias</t>
  </si>
  <si>
    <t>Diario Palentino</t>
  </si>
  <si>
    <t>Diario Palentino Susc. 30 dias</t>
  </si>
  <si>
    <t>Tribuna Albacete</t>
  </si>
  <si>
    <t>Tribuna Albacete Susc. 30 dias</t>
  </si>
  <si>
    <t>Tribuna C. Real</t>
  </si>
  <si>
    <t>Tribuna C. Real Susc. 30 dias</t>
  </si>
  <si>
    <t>Tribuna de Toledo</t>
  </si>
  <si>
    <t>Tribuna de Toledo Susc. 30 dias</t>
  </si>
  <si>
    <t>Última Hora</t>
  </si>
  <si>
    <t>Última Hora Susc. 30 dias</t>
  </si>
  <si>
    <t>Diario Sur</t>
  </si>
  <si>
    <t>Diario Sur Susc. 30 dias</t>
  </si>
  <si>
    <t>Alerta Cantabria</t>
  </si>
  <si>
    <t>Alerta Cantabria Susc. 30 dias</t>
  </si>
  <si>
    <t>Adelantad Segovia</t>
  </si>
  <si>
    <t>Adelantad Segovia Susc. 30 dias</t>
  </si>
  <si>
    <t>Gaceta Salamanca</t>
  </si>
  <si>
    <t>Gaceta Salamanca Susc. 30 dias</t>
  </si>
  <si>
    <t>Nubico</t>
  </si>
  <si>
    <t>Digicirtel</t>
  </si>
  <si>
    <t>Nubico eBooks</t>
  </si>
  <si>
    <t>NUBICO EBOOKS</t>
  </si>
  <si>
    <t>Nubico Promo</t>
  </si>
  <si>
    <t>Nubico Promos</t>
  </si>
  <si>
    <t>NUBICO PROMO</t>
  </si>
  <si>
    <t>Deportes Emocion</t>
  </si>
  <si>
    <t>Deportes nuevo precio. Susc. 7 dias</t>
  </si>
  <si>
    <t>DEPORTES EMOCION</t>
  </si>
  <si>
    <t>Estrella Deportes emocion. Susc Semanal</t>
  </si>
  <si>
    <t>Suscripción 7 dias Deportes</t>
  </si>
  <si>
    <t>Futbolitis</t>
  </si>
  <si>
    <t>Futbolitis. Susc Semanal</t>
  </si>
  <si>
    <t>FUTBOLITIS</t>
  </si>
  <si>
    <t>FUNNEL CATEORIES</t>
  </si>
  <si>
    <t>UNIQUE_ID</t>
  </si>
  <si>
    <t>NEW_CATEGORIES</t>
  </si>
  <si>
    <t>UNIQUE_ ID</t>
  </si>
  <si>
    <t>OLD_CATEGORIES</t>
  </si>
  <si>
    <t>Grand Total</t>
  </si>
  <si>
    <t>SUSC CAM OCULTA</t>
  </si>
  <si>
    <t>TF PLANA VIDEOS</t>
  </si>
  <si>
    <t>News &amp; Sports</t>
  </si>
  <si>
    <t>Woman &amp; Kids</t>
  </si>
  <si>
    <t>Nº</t>
  </si>
  <si>
    <t>CPC</t>
  </si>
  <si>
    <t>CPC to upgrade</t>
  </si>
  <si>
    <t>APP_ID</t>
  </si>
  <si>
    <t>PACK_ID</t>
  </si>
  <si>
    <t>Service_id</t>
  </si>
  <si>
    <t>Is a CVAS CPC?</t>
  </si>
  <si>
    <t>TME SubCategory</t>
  </si>
  <si>
    <t>OM Category</t>
  </si>
  <si>
    <t>OM SubCategory</t>
  </si>
  <si>
    <t>Estado</t>
  </si>
  <si>
    <t>New Billing OM</t>
  </si>
  <si>
    <t>Code of Content</t>
  </si>
  <si>
    <t>Service Name</t>
  </si>
  <si>
    <t>Description Level of Pricing</t>
  </si>
  <si>
    <t>Cod Level  of  Pricing</t>
  </si>
  <si>
    <t>Subscription Model</t>
  </si>
  <si>
    <t>Cod of Profile</t>
  </si>
  <si>
    <t>Price</t>
  </si>
  <si>
    <t>% Margin CP</t>
  </si>
  <si>
    <t>% Margin TME</t>
  </si>
  <si>
    <t>% Margin Recording Company</t>
  </si>
  <si>
    <t>% Margin SGAE/AIE</t>
  </si>
  <si>
    <t>Recording Company</t>
  </si>
  <si>
    <t>Nº Renewals</t>
  </si>
  <si>
    <t>FUNNEL CAT</t>
  </si>
  <si>
    <t>Rol CP</t>
  </si>
  <si>
    <t>Tipo_Servicio</t>
  </si>
  <si>
    <t>Rol</t>
  </si>
  <si>
    <t>%COGS</t>
  </si>
  <si>
    <t>Finance Category</t>
  </si>
  <si>
    <t>CVAS</t>
  </si>
  <si>
    <t>Light Hard</t>
  </si>
  <si>
    <t>ACTIVE</t>
  </si>
  <si>
    <t>YES</t>
  </si>
  <si>
    <t>La Gruta del Sexo</t>
  </si>
  <si>
    <t>NIVEL 58 (2.99 Euros)</t>
  </si>
  <si>
    <t>Weekly subscription</t>
  </si>
  <si>
    <t/>
  </si>
  <si>
    <t>Passthrough</t>
  </si>
  <si>
    <t>No Premium</t>
  </si>
  <si>
    <t>2DayUK</t>
  </si>
  <si>
    <t>Others</t>
  </si>
  <si>
    <t>NIVEL 9 (2 E)</t>
  </si>
  <si>
    <t>Monthly subscription</t>
  </si>
  <si>
    <t>CVAS-Content</t>
  </si>
  <si>
    <t>INACTIVE</t>
  </si>
  <si>
    <t>MoviMessenger</t>
  </si>
  <si>
    <t>Contactos</t>
  </si>
  <si>
    <t>NIVEL 10 (2.5)</t>
  </si>
  <si>
    <t>PPD</t>
  </si>
  <si>
    <t>¿Quedamos?</t>
  </si>
  <si>
    <t>NIVEL 11 (3 E)</t>
  </si>
  <si>
    <t>JCs NightClub</t>
  </si>
  <si>
    <t>NIVEL 54 (0.99 Euros)</t>
  </si>
  <si>
    <t>SolodeLogos Club</t>
  </si>
  <si>
    <t>Euroteens</t>
  </si>
  <si>
    <t>NIVEL 20 (10 E)</t>
  </si>
  <si>
    <t>Melodias y Tonos</t>
  </si>
  <si>
    <t>Light TV</t>
  </si>
  <si>
    <t>Top Models</t>
  </si>
  <si>
    <t>NIVEL 12 (5 E)</t>
  </si>
  <si>
    <t>Light Soft</t>
  </si>
  <si>
    <t>DescFondosPrivate</t>
  </si>
  <si>
    <t>NIVEL 7 (1 E)</t>
  </si>
  <si>
    <t>NIVEL 8 (1.5)</t>
  </si>
  <si>
    <t>NIVEL 22 (4 E)</t>
  </si>
  <si>
    <t>Mundo DV Porno</t>
  </si>
  <si>
    <t>Porno Profesional</t>
  </si>
  <si>
    <t>NIVEL 28 (6 E)</t>
  </si>
  <si>
    <t>Forman TV</t>
  </si>
  <si>
    <t>Fantasy Mansion</t>
  </si>
  <si>
    <t>Wicked TV</t>
  </si>
  <si>
    <t>Divinas mamás</t>
  </si>
  <si>
    <t>Corridas</t>
  </si>
  <si>
    <t>Hardcore</t>
  </si>
  <si>
    <t>Hentai</t>
  </si>
  <si>
    <t>Lesbianas</t>
  </si>
  <si>
    <t>Cochinas Latinas</t>
  </si>
  <si>
    <t>Casadas</t>
  </si>
  <si>
    <t>NIVEL 9 (2 Euros)</t>
  </si>
  <si>
    <t>Jovencitas</t>
  </si>
  <si>
    <t>Mamadas</t>
  </si>
  <si>
    <t>Ibericas</t>
  </si>
  <si>
    <t>Putas</t>
  </si>
  <si>
    <t>Sexo en publico</t>
  </si>
  <si>
    <t>Follamigos</t>
  </si>
  <si>
    <t>MoviSexy</t>
  </si>
  <si>
    <t>Paquete TV Adultos</t>
  </si>
  <si>
    <t>NIVEL 38 (20 Euros)</t>
  </si>
  <si>
    <t>Gay</t>
  </si>
  <si>
    <t>Maduras</t>
  </si>
  <si>
    <t>Abuelos Cachondos</t>
  </si>
  <si>
    <t>Webcams</t>
  </si>
  <si>
    <t>Oriental</t>
  </si>
  <si>
    <t>Culazos</t>
  </si>
  <si>
    <t>Chicas humedas</t>
  </si>
  <si>
    <t>Porn Stars</t>
  </si>
  <si>
    <t>Stripers</t>
  </si>
  <si>
    <t>Chicas Malas</t>
  </si>
  <si>
    <t>Macizos</t>
  </si>
  <si>
    <t xml:space="preserve"> Private XXX</t>
  </si>
  <si>
    <t>Wicked</t>
  </si>
  <si>
    <t>Latinas</t>
  </si>
  <si>
    <t>webcams</t>
  </si>
  <si>
    <t>Tattoo</t>
  </si>
  <si>
    <t>Lencería</t>
  </si>
  <si>
    <t>MOVIREAL-20-UNIVE</t>
  </si>
  <si>
    <t>NIVEL 56 (1.99 Euros)</t>
  </si>
  <si>
    <t>UNIVERSAL</t>
  </si>
  <si>
    <t>MOVIREAL-20-SONY</t>
  </si>
  <si>
    <t>SONY</t>
  </si>
  <si>
    <t>MOVIREAL-20-WARNE</t>
  </si>
  <si>
    <t>WARNER</t>
  </si>
  <si>
    <t>MOVIREAL-20-GENX</t>
  </si>
  <si>
    <t>GENEXIES</t>
  </si>
  <si>
    <t>Morenazas</t>
  </si>
  <si>
    <t>Tonos de Humor</t>
  </si>
  <si>
    <t>Mulatas</t>
  </si>
  <si>
    <t>Rubias</t>
  </si>
  <si>
    <t>Supertangas</t>
  </si>
  <si>
    <t>Vecinitas</t>
  </si>
  <si>
    <t>Tonos Reales</t>
  </si>
  <si>
    <t>NIVEL 60 (3.99 Euros)</t>
  </si>
  <si>
    <t>TODOS</t>
  </si>
  <si>
    <t>OnMobile Music Aggregator</t>
  </si>
  <si>
    <t>Porno Travieso</t>
  </si>
  <si>
    <t>You Porn XXX/Tu Porno</t>
  </si>
  <si>
    <t>Cheap &amp; Nasty</t>
  </si>
  <si>
    <t>Playhouse</t>
  </si>
  <si>
    <t>Video X Porn</t>
  </si>
  <si>
    <t>Mundo DVD Porno</t>
  </si>
  <si>
    <t>Mundo DVD Porno Legacy</t>
  </si>
  <si>
    <t>Tera Patrick Soft</t>
  </si>
  <si>
    <t>excitame</t>
  </si>
  <si>
    <t>MoviSexy XXX</t>
  </si>
  <si>
    <t>En Familia!</t>
  </si>
  <si>
    <t>Grandes Pollas</t>
  </si>
  <si>
    <t>Videoclub X</t>
  </si>
  <si>
    <t>Puta Locura / Mr 69</t>
  </si>
  <si>
    <t>Megazorrones</t>
  </si>
  <si>
    <t>Por Culo</t>
  </si>
  <si>
    <t>Enfermeras</t>
  </si>
  <si>
    <t>Ex Novias</t>
  </si>
  <si>
    <t>Sexo de Lujo</t>
  </si>
  <si>
    <t>Tetonas</t>
  </si>
  <si>
    <t>Universitarias</t>
  </si>
  <si>
    <t>Orgias</t>
  </si>
  <si>
    <t>Orgasmos Femeninos</t>
  </si>
  <si>
    <t>Travestis</t>
  </si>
  <si>
    <t>Sexo Oriental</t>
  </si>
  <si>
    <t>Tríos</t>
  </si>
  <si>
    <t>Gordas</t>
  </si>
  <si>
    <t>Especial Coños</t>
  </si>
  <si>
    <t>Club de Intercambios</t>
  </si>
  <si>
    <t>Sexo Casero</t>
  </si>
  <si>
    <t>Movistar Juegos – EA 0,99e</t>
  </si>
  <si>
    <t>X</t>
  </si>
  <si>
    <t>Aficionados Españoles</t>
  </si>
  <si>
    <t>Play2me</t>
  </si>
  <si>
    <t>La Calle del Sexo</t>
  </si>
  <si>
    <t>Chat Musica</t>
  </si>
  <si>
    <t>Xvideos Club</t>
  </si>
  <si>
    <t>Musica x Paises</t>
  </si>
  <si>
    <t>Bandas Sonoras</t>
  </si>
  <si>
    <t>GayMobile+18</t>
  </si>
  <si>
    <t>Digital Sin</t>
  </si>
  <si>
    <t>Nectar</t>
  </si>
  <si>
    <t>New Sensations</t>
  </si>
  <si>
    <t>Tera Patrick</t>
  </si>
  <si>
    <t>Passion HD</t>
  </si>
  <si>
    <t>Canal Penthouse</t>
  </si>
  <si>
    <t>Divinas Mamas</t>
  </si>
  <si>
    <t>En Familia</t>
  </si>
  <si>
    <t>Amateur</t>
  </si>
  <si>
    <t>PornStars</t>
  </si>
  <si>
    <t>Worldsex</t>
  </si>
  <si>
    <t>Onmobile Publisher</t>
  </si>
  <si>
    <t>Tu Porno</t>
  </si>
  <si>
    <t>NIVEL 55 (1.49 Euros)</t>
  </si>
  <si>
    <t>Juegos Sexy</t>
  </si>
  <si>
    <t>Juegos HD Android</t>
  </si>
  <si>
    <t>NIVEL 62 (4.99 Euros)</t>
  </si>
  <si>
    <t>Club Sexy</t>
  </si>
  <si>
    <t xml:space="preserve">Susc Cam Oculta </t>
  </si>
  <si>
    <t>GNTRalt199</t>
  </si>
  <si>
    <t>ALTAFONTE</t>
  </si>
  <si>
    <t>GNTTorc199</t>
  </si>
  <si>
    <t>THE ORCHARD</t>
  </si>
  <si>
    <t>GNFTwar149</t>
  </si>
  <si>
    <t>GNFTson149</t>
  </si>
  <si>
    <t>GNFTson99</t>
  </si>
  <si>
    <t>GNFTuni149</t>
  </si>
  <si>
    <t>GNFTuni99</t>
  </si>
  <si>
    <t>GNFTorc149</t>
  </si>
  <si>
    <t>GNFTorc099</t>
  </si>
  <si>
    <t>GNFTalt149</t>
  </si>
  <si>
    <t>GNFTalt99</t>
  </si>
  <si>
    <t>GNFTgen149</t>
  </si>
  <si>
    <t>GNFTgen99</t>
  </si>
  <si>
    <t>GNFVwar199</t>
  </si>
  <si>
    <t>GNFVson199</t>
  </si>
  <si>
    <t>GNFVuni199</t>
  </si>
  <si>
    <t>GNFVorc199</t>
  </si>
  <si>
    <t>GNFValt199</t>
  </si>
  <si>
    <t>GNFVgen199</t>
  </si>
  <si>
    <t>GNTRwar199</t>
  </si>
  <si>
    <t>GNTRson199</t>
  </si>
  <si>
    <t>GNTRuni199</t>
  </si>
  <si>
    <t>GNTRorc199</t>
  </si>
  <si>
    <t>GNTRgen199</t>
  </si>
  <si>
    <t>Deportes emocion</t>
  </si>
  <si>
    <t>Onmobile Content Provider</t>
  </si>
  <si>
    <t>Onmo</t>
  </si>
  <si>
    <t>Tarifa Plana Musica</t>
  </si>
  <si>
    <t>NIVEL 105 (1,48 Euros)</t>
  </si>
  <si>
    <t>NIVEL 0 (0 E)</t>
  </si>
  <si>
    <t>Novedades</t>
  </si>
  <si>
    <t>Pack Taquillas X</t>
  </si>
  <si>
    <t>Musica Flamenca</t>
  </si>
  <si>
    <t>Musica Española</t>
  </si>
  <si>
    <t>Taquilla X2</t>
  </si>
  <si>
    <t>Taquilla X4</t>
  </si>
  <si>
    <t>Taquilla X5</t>
  </si>
  <si>
    <t>Taquilla X6</t>
  </si>
  <si>
    <t>Taquilla X7</t>
  </si>
  <si>
    <t>Taquilla X3</t>
  </si>
  <si>
    <t>NIVEL 0 (0 Euros)</t>
  </si>
  <si>
    <t>Porno Callejeros</t>
  </si>
  <si>
    <t>Superescenas XXX</t>
  </si>
  <si>
    <t>Musica Infantil</t>
  </si>
  <si>
    <t>Mansion de Nacho Vidal</t>
  </si>
  <si>
    <t>Playboy</t>
  </si>
  <si>
    <t>Penthouse</t>
  </si>
  <si>
    <t>Juegos en tu movil</t>
  </si>
  <si>
    <t>JuegoCompletoXHTML0.99</t>
  </si>
  <si>
    <t>Juego Play2me</t>
  </si>
  <si>
    <t>JuegoCompletoXHTML2.99</t>
  </si>
  <si>
    <t>NIVEL 72 (9.99 Euros)</t>
  </si>
  <si>
    <t>NIVEL 82 (14.99 Euros)</t>
  </si>
  <si>
    <t>Taquilla X8</t>
  </si>
  <si>
    <t>Taquilla X9</t>
  </si>
  <si>
    <t>Taquilla X10</t>
  </si>
  <si>
    <t>Tap to fun</t>
  </si>
  <si>
    <t>Tap the stars</t>
  </si>
  <si>
    <t>Xtreme Movies</t>
  </si>
  <si>
    <t>Go Play</t>
  </si>
  <si>
    <t>NIVEL 15 (0.75)</t>
  </si>
  <si>
    <t>NIVEL 57 (2.49 Euros)</t>
  </si>
  <si>
    <t>Juegos Go Play</t>
  </si>
  <si>
    <t>Extra juegos</t>
  </si>
  <si>
    <t>NIVEL 66 (6.99 Euros)</t>
  </si>
  <si>
    <t>NIVEL 68 (7.99 Euros)</t>
  </si>
  <si>
    <t>Tap To Fun Basic</t>
  </si>
  <si>
    <t>Rincon Prohibido</t>
  </si>
  <si>
    <t>NIVEL 135 (1.23 Euros)</t>
  </si>
  <si>
    <t>Education</t>
  </si>
  <si>
    <t>NIVEL 128 (1.64 Euros)</t>
  </si>
  <si>
    <t>Eurosalud</t>
  </si>
  <si>
    <t>Teledibujitos</t>
  </si>
  <si>
    <t>Mi Sex Video</t>
  </si>
  <si>
    <t>Yo Mujer y +</t>
  </si>
  <si>
    <t>NIVEL 130 (0.82 Euros)</t>
  </si>
  <si>
    <t>Cuidate Mejor</t>
  </si>
  <si>
    <t>NIVEL 130 (0,82 Euros)</t>
  </si>
  <si>
    <t>Cam Girls</t>
  </si>
  <si>
    <t>NIVEL 12 (5 Euros)</t>
  </si>
  <si>
    <t>Relatos XXX</t>
  </si>
  <si>
    <t>NIVEL 137 (2.47 Euros)</t>
  </si>
  <si>
    <t>Vicious Cam</t>
  </si>
  <si>
    <t>NIVEL 59 (3.49 Euros)</t>
  </si>
  <si>
    <t>Musica Clasica y Jazz</t>
  </si>
  <si>
    <t>Porno Gafas</t>
  </si>
  <si>
    <t>Juegos GoPlay</t>
  </si>
  <si>
    <t>Game Shaker</t>
  </si>
  <si>
    <t>Znack Video</t>
  </si>
  <si>
    <t>Extra Juego Play2Me</t>
  </si>
  <si>
    <t>Fashion Bip</t>
  </si>
  <si>
    <t>Funatic Games</t>
  </si>
  <si>
    <t>Little Smart Planet</t>
  </si>
  <si>
    <t>NIVEL 136 (2.06 Euros)</t>
  </si>
  <si>
    <t>Jet Multimedia</t>
  </si>
  <si>
    <t>Golazos</t>
  </si>
  <si>
    <t>21Naturals</t>
  </si>
  <si>
    <t>2dayuk Content Provider</t>
  </si>
  <si>
    <t>Viciosas XXX</t>
  </si>
  <si>
    <t>Hazlo tu Mism@</t>
  </si>
  <si>
    <t>Daily Diva</t>
  </si>
  <si>
    <t>NIVEL 138 (3.30 Euros)</t>
  </si>
  <si>
    <t>IntimaX</t>
  </si>
  <si>
    <t xml:space="preserve"> iTrip Viajes y +</t>
  </si>
  <si>
    <t>Coto de Caza</t>
  </si>
  <si>
    <t>Gay Mobile XXX</t>
  </si>
  <si>
    <t>Tap To Fun</t>
  </si>
  <si>
    <t>Top Video</t>
  </si>
  <si>
    <t>The Tourist</t>
  </si>
  <si>
    <t>eXoticas</t>
  </si>
  <si>
    <t>Fun Planet</t>
  </si>
  <si>
    <t>Astro Futuro</t>
  </si>
  <si>
    <t>Gamedroid</t>
  </si>
  <si>
    <t>Edmundo</t>
  </si>
  <si>
    <t>Video Series</t>
  </si>
  <si>
    <t>Porno Interactivo</t>
  </si>
  <si>
    <t>Parece De El Mundo Today</t>
  </si>
  <si>
    <t>Lifeselector</t>
  </si>
  <si>
    <t>Noticias emocion</t>
  </si>
  <si>
    <t>Onmobile Ugames</t>
  </si>
  <si>
    <t>Ugames-Content</t>
  </si>
  <si>
    <t>Hello Kitty</t>
  </si>
  <si>
    <t>Pink Crush</t>
  </si>
  <si>
    <t>02</t>
  </si>
  <si>
    <t>NIVEL 64 (5.99 Euros)</t>
  </si>
  <si>
    <t>Premium</t>
  </si>
  <si>
    <t>01</t>
  </si>
  <si>
    <t>Mondia Media</t>
  </si>
  <si>
    <t>NIVEL 144 (4.95 Euros)</t>
  </si>
  <si>
    <t>DocHuman Susc. 7 dias</t>
  </si>
  <si>
    <t>DocHuman</t>
  </si>
  <si>
    <t>Tinder Emoción</t>
  </si>
  <si>
    <t>NIVEL 99 (9.91 Euros)</t>
  </si>
  <si>
    <t>NIVEL 122 (8.26 Euros)</t>
  </si>
  <si>
    <t>El Kiosko y Más</t>
  </si>
  <si>
    <t>NIVEL 148 (3.43 Euros)</t>
  </si>
  <si>
    <t>NIVEL 150 (6.60 Euros)</t>
  </si>
  <si>
    <t>NIVEL 151 (9.08 Euros)</t>
  </si>
  <si>
    <t>NIVEL 152 (9.67 Euros)</t>
  </si>
  <si>
    <t>NIVEL 153 (10.54 Euros)</t>
  </si>
  <si>
    <t>NIVEL 154 (11.16 Euros)</t>
  </si>
  <si>
    <t>NIVEL 155 (14.87 Euros)</t>
  </si>
  <si>
    <t>NIVEL 156 (15.21 Euros)</t>
  </si>
  <si>
    <t>NIVEL 157 (15.87 Euros)</t>
  </si>
  <si>
    <t>NIVEL 158 (16.16 Euros)</t>
  </si>
  <si>
    <t>NIVEL 159 (16.86 Euros)</t>
  </si>
  <si>
    <t>NIVEL 160 (17.18 Euros)</t>
  </si>
  <si>
    <t>NIVEL 161 (20.83 Euros)</t>
  </si>
  <si>
    <t>Match Group LLC</t>
  </si>
  <si>
    <t>NBA . Susc 30 dias</t>
  </si>
  <si>
    <t>NBA League Pass</t>
  </si>
  <si>
    <t>NBA Properties, Inc</t>
  </si>
  <si>
    <t>NIVEL 147 (9.91 Euros)</t>
  </si>
  <si>
    <t>Curso Miriadax. Pago por descarga</t>
  </si>
  <si>
    <t>Curso Miriadax</t>
  </si>
  <si>
    <t>Telefonica Educacion Digital SLU</t>
  </si>
  <si>
    <t>Cursos Miriadax</t>
  </si>
  <si>
    <t>NIVEL 165 (29.76 Euros)</t>
  </si>
  <si>
    <t>Cocina Peruana. Pago por descarga</t>
  </si>
  <si>
    <t>Cocina Peruana</t>
  </si>
  <si>
    <t>NIVEL 164 (32.93 Euros)</t>
  </si>
  <si>
    <t>Go Music Susc. 30 dias</t>
  </si>
  <si>
    <t>GoMusic</t>
  </si>
  <si>
    <t>Gomusic Entertainment Holding Espaqa S.L.</t>
  </si>
  <si>
    <t>Go Music</t>
  </si>
  <si>
    <t>NIVEL 149 (5.78 Euros)</t>
  </si>
  <si>
    <t>E-Komics  Susc. 7 dias</t>
  </si>
  <si>
    <t>E- Komics</t>
  </si>
  <si>
    <t>E-Komics</t>
  </si>
  <si>
    <t>eKomics</t>
  </si>
  <si>
    <t>Fomento del CPC 44169.Tuneglish. Susc Semanal</t>
  </si>
  <si>
    <t>Tuneglish</t>
  </si>
  <si>
    <t>Nubico Promo 2 Meses Gratis</t>
  </si>
  <si>
    <t>Storytel Audiolibros Susc 30 dias</t>
  </si>
  <si>
    <t>Storytel</t>
  </si>
  <si>
    <t>Storytel S.L.U.</t>
  </si>
  <si>
    <t>Storytel Audiolibros</t>
  </si>
  <si>
    <t>Decrash Susc. Semanal</t>
  </si>
  <si>
    <t>Decrash</t>
  </si>
  <si>
    <t>Nubico eBooks con 4% IVA</t>
  </si>
  <si>
    <t>Nubico Promos con 4% IVA 1 month</t>
  </si>
  <si>
    <t>Nubico Promos con 4% IVA 2 months</t>
  </si>
  <si>
    <t>Diario La Razón con 4% IVA Susc. 30 dias</t>
  </si>
  <si>
    <t>NIVEL 148 (3.99 Euros)</t>
  </si>
  <si>
    <t>Diario As con 4% IVA Susc. 30 dias</t>
  </si>
  <si>
    <t>NIVEL 150 (7.68 Euros)</t>
  </si>
  <si>
    <t>Period Catalunya en Castellano con 4% IVA Susc. 30 dias</t>
  </si>
  <si>
    <t>Period Catalunya en Catalan con 4% IVA Susc. 30 dias</t>
  </si>
  <si>
    <t>Diario Sport con 4% IVA Susc. 30 dias</t>
  </si>
  <si>
    <t>Diario El Pais con 4% IVA Susc. 30 dias</t>
  </si>
  <si>
    <t>NIVEL 122 (9.61 Euros)</t>
  </si>
  <si>
    <t>Periódico Ibiza con 4% IVA Susc. 30 dias</t>
  </si>
  <si>
    <t>NIVEL 151 (10.57 Euros)</t>
  </si>
  <si>
    <t>Diario Ara con 4% IVA Susc. 30 dias</t>
  </si>
  <si>
    <t>NIVEL 152 (11.25 Euros)</t>
  </si>
  <si>
    <t>La Voz de Galicia con 4% IVA Susc. 30 dias</t>
  </si>
  <si>
    <t>NIVEL 153 (12.26 Euros)</t>
  </si>
  <si>
    <t>Diario ABC con 4% IVA Susc. 30 dias</t>
  </si>
  <si>
    <t>NIVEL 154 (12.98 Euros)</t>
  </si>
  <si>
    <t>Diario Pontevedra con 4% IVA Susc. 30 dias</t>
  </si>
  <si>
    <t>NIVEL 155 (17.30 Euros)</t>
  </si>
  <si>
    <t>El Progreso con 4% IVA Susc. 30 dias</t>
  </si>
  <si>
    <t>Diario Córdoba con 4% IVA Susc. 30 dias</t>
  </si>
  <si>
    <t>NIVEL 155 (17.69 Euros)</t>
  </si>
  <si>
    <t>Periódico Aragón con 4% IVA Susc. 30 dias</t>
  </si>
  <si>
    <t>Period Extremadur con 4% IVA Susc. 30 dias</t>
  </si>
  <si>
    <t>Period Mediterran con 4% IVA Susc. 30 dias</t>
  </si>
  <si>
    <t>Diario Ideal con 4% IVA Susc. 30 dias</t>
  </si>
  <si>
    <t>NIVEL 155 (18.46 Euros)</t>
  </si>
  <si>
    <t>Las Provincias con 4% IVA Susc. 30 dias</t>
  </si>
  <si>
    <t>Diario de Burgos con 4% IVA Susc. 30 dias</t>
  </si>
  <si>
    <t>Diario de Ávila con 4% IVA Susc. 30 dias</t>
  </si>
  <si>
    <t>Diario Palentino con 4% IVA Susc. 30 dias</t>
  </si>
  <si>
    <t>Tribuna Albacete con 4% IVA Susc. 30 dias</t>
  </si>
  <si>
    <t>Tribuna C. Real con 4% IVA Susc. 30 dias</t>
  </si>
  <si>
    <t>Tribuna de Toledo con 4% IVA Susc. 30 dias</t>
  </si>
  <si>
    <t>Última Hora con 4% IVA Susc. 30 dias</t>
  </si>
  <si>
    <t>NIVEL 155 (18.80 Euros)</t>
  </si>
  <si>
    <t>Diario Sur con 4% IVA Susc. 30 dias</t>
  </si>
  <si>
    <t>NIVEL 159 (19.62 Euros)</t>
  </si>
  <si>
    <t>Alerta Cantabria con 4% IVA Susc. 30 dias</t>
  </si>
  <si>
    <t>Adelantad Segovia con 4% IVA Susc. 30 dias</t>
  </si>
  <si>
    <t>NIVEL 159 (19.99 Euros)</t>
  </si>
  <si>
    <t>Gaceta Salamanca con 4% IVA Susc. 30 dias</t>
  </si>
  <si>
    <t>NIVEL 161 (24.23 Euros)</t>
  </si>
  <si>
    <t>E-Komics  con 4% IVA Susc. 7 dias</t>
  </si>
  <si>
    <t>NIVEL 136 (1.91 Euros)</t>
  </si>
  <si>
    <t>NIVEL  (10.57 Euros)</t>
  </si>
  <si>
    <t>Noticias con Iva 4%. Susc. 7 dias</t>
  </si>
  <si>
    <t>NIVEL  (1.15 Euros)</t>
  </si>
  <si>
    <t>NIVEL  (1.43 Euros)</t>
  </si>
  <si>
    <t>NIVEL  (1.91 Euros)</t>
  </si>
  <si>
    <t xml:space="preserve">Deportes con 4% IVA. Susc. 7 dias </t>
  </si>
  <si>
    <t>Spoan &amp; Kids</t>
  </si>
  <si>
    <t>Futbolitis con 4% IVA. Susc. 7 dias</t>
  </si>
  <si>
    <t>Yo Mujer y + con 4% IVA. Susc. 7 dias</t>
  </si>
  <si>
    <t>Yo Mujer y Más</t>
  </si>
  <si>
    <t>Cuidate Mejor con 4% IVA. Susc. 7 dias</t>
  </si>
  <si>
    <t>Cuídate Mejor</t>
  </si>
  <si>
    <t>El mundo al reves/PDMT con 4% IVA. Susc. 7 dias</t>
  </si>
  <si>
    <t>El Mundo Al Revés</t>
  </si>
  <si>
    <t>Fashion Bip con 4% IVA. Susc. 7 dias</t>
  </si>
  <si>
    <t>Mascotas con 4% IVA. Susc. 7 dias</t>
  </si>
  <si>
    <t xml:space="preserve"> Vaughan Emocion. Susc. 30 dias</t>
  </si>
  <si>
    <t>Vaughan Cursos</t>
  </si>
  <si>
    <t>Vaughan Systems S.L.</t>
  </si>
  <si>
    <t>Vaughan</t>
  </si>
  <si>
    <t>Nubico Audiolibros 1 mes. 4% IVA</t>
  </si>
  <si>
    <t>NubicoAudiolibros</t>
  </si>
  <si>
    <t>Nubico Audiolibros</t>
  </si>
  <si>
    <t>NIVEL  (5.76 Euros)</t>
  </si>
  <si>
    <t>Nubico Audiolibros Promo 1 mes</t>
  </si>
  <si>
    <t>Audiolibros Promo</t>
  </si>
  <si>
    <t>Nubico Audiolibros Promo</t>
  </si>
  <si>
    <t>Nubico Audiolibros Promo 2 meses</t>
  </si>
  <si>
    <t>Música Top. Susc. 7 dias</t>
  </si>
  <si>
    <t>Música Top</t>
  </si>
  <si>
    <t>NIVEL  (2.89 Euros)</t>
  </si>
  <si>
    <t>Flix Olé. Susc. 3 meses</t>
  </si>
  <si>
    <t>Flix Olé</t>
  </si>
  <si>
    <t>Lomatena Investments SL</t>
  </si>
  <si>
    <t>NIVEL  (6.60 Euros)</t>
  </si>
  <si>
    <t>Kidjo Susc. 1 mes</t>
  </si>
  <si>
    <t>Kidjo</t>
  </si>
  <si>
    <t>NIVEL  (7.02 Euros)</t>
  </si>
  <si>
    <t>Go Music Susc. 30 dias Promo</t>
  </si>
  <si>
    <t>GoMusic Promo</t>
  </si>
  <si>
    <t>Apple Music Susc. Mensual</t>
  </si>
  <si>
    <t>Apple Music</t>
  </si>
  <si>
    <t>Apple Distribution International</t>
  </si>
  <si>
    <t>Movistar Apple Music</t>
  </si>
  <si>
    <t>Apple Music Promo 3 meses gratis</t>
  </si>
  <si>
    <t>Nubico ebooks Promo 50% 3 meses</t>
  </si>
  <si>
    <t>Nubico ebooks 50% Promo</t>
  </si>
  <si>
    <t>NIVEL  (3.84 Euros)</t>
  </si>
  <si>
    <t>Top Music Tv. Susc. 30 dias</t>
  </si>
  <si>
    <t>Top Music Tv</t>
  </si>
  <si>
    <t>Fomento Top Music Tv. Susc. 30 dias</t>
  </si>
  <si>
    <t>Movistar Musica Tarifa Plana Premium Mensual</t>
  </si>
  <si>
    <t>M. Música Premium</t>
  </si>
  <si>
    <t>Kuack Media Group Corp</t>
  </si>
  <si>
    <t xml:space="preserve"> Movistar Musica</t>
  </si>
  <si>
    <t>Promo Premium Mensual Movistar Musica Tarifa Plana</t>
  </si>
  <si>
    <t>Promo Música Prem</t>
  </si>
  <si>
    <t>Movistar Musica Tarifa Plana Premium Semanal</t>
  </si>
  <si>
    <t>NIVEL  (2.76 Euros)</t>
  </si>
  <si>
    <t>Promo Premium Semanal Movistar Musica Tarifa Plana</t>
  </si>
  <si>
    <t>Movistar Musica Tarifa Plana Lite Mensual</t>
  </si>
  <si>
    <t>M. Música Lite</t>
  </si>
  <si>
    <t>NIVEL  (4.12 Euros)</t>
  </si>
  <si>
    <t>Promo Lite Mensual Movistar Musica Tarifa Plana</t>
  </si>
  <si>
    <t>Promo Música Lite</t>
  </si>
  <si>
    <t>Movistar Musica Tarifa Plana Lite Semanal</t>
  </si>
  <si>
    <t>NIVEL  (1.38 Euros)</t>
  </si>
  <si>
    <t>Promo Lite Semanal Movistar Musica Tarifa Plana</t>
  </si>
  <si>
    <t>Podimo Podcasts Susc. 30 dias</t>
  </si>
  <si>
    <t>Podimo Podcasts</t>
  </si>
  <si>
    <t>Podimo Aps</t>
  </si>
  <si>
    <t>NIVEL  (2.88 Euros)</t>
  </si>
  <si>
    <t>Masterchef . Susc 30 dias</t>
  </si>
  <si>
    <t>Masterchef Cursos</t>
  </si>
  <si>
    <t>Shine Iberia</t>
  </si>
  <si>
    <t>Escuela Masterchef</t>
  </si>
  <si>
    <t>NIVEL  (7.40 Euros)</t>
  </si>
  <si>
    <t>Gameloft Kids . Susc 30 dias</t>
  </si>
  <si>
    <t>Gameloft Kids</t>
  </si>
  <si>
    <t>NIVEL  (7.43 Euros)</t>
  </si>
  <si>
    <t>Smile &amp; Learn.  Susc. 7 dias</t>
  </si>
  <si>
    <t>Smile &amp; Learn</t>
  </si>
  <si>
    <t>Blackpills. Susc 30 dias</t>
  </si>
  <si>
    <t>Blackpills Series</t>
  </si>
  <si>
    <t>Blackpills SAS</t>
  </si>
  <si>
    <t>TV Player Series. Susc 30 dias</t>
  </si>
  <si>
    <t>TV Player Series</t>
  </si>
  <si>
    <t>NIVEL  (5.94 Euros)</t>
  </si>
  <si>
    <t>Juegos Icaro. Susc 30 dias</t>
  </si>
  <si>
    <t>Juegos Icaro</t>
  </si>
  <si>
    <t>Telecoming S.A.</t>
  </si>
  <si>
    <t>NIVEL  (11.15 Euros)</t>
  </si>
  <si>
    <t>Revista Cuore Xtra. Susc 30 dias</t>
  </si>
  <si>
    <t>Cuore Xtra</t>
  </si>
  <si>
    <t>D-MobileLab S.A.</t>
  </si>
  <si>
    <t>NIVEL  (8.64 Euros)</t>
  </si>
  <si>
    <t>Demo Juego Precargado. Pago por descarga</t>
  </si>
  <si>
    <t>Demo Juego</t>
  </si>
  <si>
    <t>NIVEL (1.65 Euros)</t>
  </si>
  <si>
    <t>PlayJoy Susc. Mensual</t>
  </si>
  <si>
    <t>PlayJoy</t>
  </si>
  <si>
    <t>NIVEL (6.60 Euros)</t>
  </si>
  <si>
    <t>Avast CleanUp. Susc 30 dias</t>
  </si>
  <si>
    <t>Avast CleanUp</t>
  </si>
  <si>
    <t>NIVEL (5.36 Euros)</t>
  </si>
  <si>
    <t>Storytel for marketing campaigns. Susc 30 dias</t>
  </si>
  <si>
    <t>Apple Music Promo 1 mes gratis</t>
  </si>
  <si>
    <t>NBA . Susc 30 dias Promo 50% descuento</t>
  </si>
  <si>
    <t>NIVEL (6.20 Euros)</t>
  </si>
  <si>
    <t>NBA . Susc 30 dias Promo 30% descuento</t>
  </si>
  <si>
    <t>NIVEL (7.49 Euros)</t>
  </si>
  <si>
    <t>Podimo Podcasts Susc. 1 mes gratis</t>
  </si>
  <si>
    <t>NIVEL  (0 Euros)</t>
  </si>
  <si>
    <t>Pocoyo House Susc. 30 dias</t>
  </si>
  <si>
    <t>NIVEL (7,02 Euros)</t>
  </si>
  <si>
    <t>Pocoyo House 1 semana gratis</t>
  </si>
  <si>
    <t>Juego GoPlay Pagos Inapp 0,49</t>
  </si>
  <si>
    <t>Compras en Juegos</t>
  </si>
  <si>
    <t>NIVEL (0.405)</t>
  </si>
  <si>
    <t>Juego GoPlay Pagos Inapp 0,99</t>
  </si>
  <si>
    <t>NIVEL (0.82 Euros)</t>
  </si>
  <si>
    <t>Juego GoPlay Pagos Inapp 1,49</t>
  </si>
  <si>
    <t>NIVEL (1.23 Euros)</t>
  </si>
  <si>
    <t>Juego GoPlay Pagos Inapp 1,99</t>
  </si>
  <si>
    <t>NIVEL (1.645 Euros)</t>
  </si>
  <si>
    <t>Juego GoPlay Pagos Inapp 2,49</t>
  </si>
  <si>
    <t>NIVEL  (2.06 Euros)</t>
  </si>
  <si>
    <t>Juego GoPlay Pagos Inapp 2,99</t>
  </si>
  <si>
    <t>NIVEL (2.47 Euros)</t>
  </si>
  <si>
    <t>Juego GoPlay Pagos Inapp 3,99</t>
  </si>
  <si>
    <t>NIVEL (3.30 Euros)</t>
  </si>
  <si>
    <t>Juego GoPlay Pagos Inapp 4,99</t>
  </si>
  <si>
    <t>NIVEL (4.12 Euros)</t>
  </si>
  <si>
    <t>PlayJoy 1 semana gratis</t>
  </si>
  <si>
    <t>Promo Playjoy</t>
  </si>
  <si>
    <t>NIVEL (0 Euros)</t>
  </si>
  <si>
    <t>Avast CleanUp 1 semana gratis</t>
  </si>
  <si>
    <t>Avast Clean Promo</t>
  </si>
  <si>
    <t>Juegos Onmo Susc. 7 dias</t>
  </si>
  <si>
    <t>Juegos Onmo</t>
  </si>
  <si>
    <t>Juegos Onmo Pago por descarga</t>
  </si>
  <si>
    <t>Aula 365. Promo 1 Semana gratis</t>
  </si>
  <si>
    <t>Aula 365 Promo</t>
  </si>
  <si>
    <t>Qello Concerts Susc. Mensual</t>
  </si>
  <si>
    <t>Qello Concerts</t>
  </si>
  <si>
    <t>NIVEL  (7.49 Euros)</t>
  </si>
  <si>
    <t>Qello Concerts Susc. Semanal Promo</t>
  </si>
  <si>
    <t>Qello Conc Promo</t>
  </si>
  <si>
    <t>Yokee Karaoke Susc. Mensual</t>
  </si>
  <si>
    <t>Yokee Karaoke</t>
  </si>
  <si>
    <t>Yokee Karaoke Susc. Semanal Promo</t>
  </si>
  <si>
    <t>Yokee Karao Promo</t>
  </si>
  <si>
    <t>Smile &amp; Learn.  Susc. Promo 1 dia</t>
  </si>
  <si>
    <t>Smile&amp;Learn Promo</t>
  </si>
  <si>
    <t>One day subscription</t>
  </si>
  <si>
    <t>Abaco Kids. Susc Semanal</t>
  </si>
  <si>
    <t>Abaco Kids</t>
  </si>
  <si>
    <t>XR Academy Susc. Mensual</t>
  </si>
  <si>
    <t>XR Academy</t>
  </si>
  <si>
    <t>Sam Media</t>
  </si>
  <si>
    <t>Challenge Arena Susc.Mensual</t>
  </si>
  <si>
    <t>Challenge Arena</t>
  </si>
  <si>
    <t>Makers Club Susc. Mensual</t>
  </si>
  <si>
    <t>Makers Club</t>
  </si>
  <si>
    <t>NIVEL (8.18 Euros)</t>
  </si>
  <si>
    <t>Music Match Susc. Mensual</t>
  </si>
  <si>
    <t>Music Match</t>
  </si>
  <si>
    <t>Impagos</t>
  </si>
  <si>
    <t>,</t>
  </si>
  <si>
    <t>Play2Me</t>
  </si>
  <si>
    <t>Juego GoPlay</t>
  </si>
  <si>
    <t>juegos Sexy</t>
  </si>
  <si>
    <t>Sport Illustrated</t>
  </si>
  <si>
    <t>BUONGIORNO_220</t>
  </si>
  <si>
    <t>BUONGIORNO_227</t>
  </si>
  <si>
    <t>BUONGIORNO_230</t>
  </si>
  <si>
    <t>BUONGIORNO_231</t>
  </si>
  <si>
    <t>BUONGIORNO_240</t>
  </si>
  <si>
    <t>BUONGIORNO_217</t>
  </si>
  <si>
    <t>BUONGIORNO_228</t>
  </si>
  <si>
    <t>BUONGIORNO_229</t>
  </si>
  <si>
    <t>BUONGIORNO_232</t>
  </si>
  <si>
    <t>SUEÑOS CALIENTES</t>
  </si>
  <si>
    <t>SEXO PUBLICO</t>
  </si>
  <si>
    <t>Mobig_273</t>
  </si>
  <si>
    <t>Mobig_276</t>
  </si>
  <si>
    <t>Mobig_277</t>
  </si>
  <si>
    <t>Mobig_278</t>
  </si>
  <si>
    <t>Mobig_279</t>
  </si>
  <si>
    <t>MR. 69</t>
  </si>
  <si>
    <t>Mobig_281</t>
  </si>
  <si>
    <t>Mobig_282</t>
  </si>
  <si>
    <t>VICIOSOS CAM</t>
  </si>
  <si>
    <t>PSM_243</t>
  </si>
  <si>
    <t>PSM_244</t>
  </si>
  <si>
    <t>PSM_245</t>
  </si>
  <si>
    <t>PSM_246</t>
  </si>
  <si>
    <t>PSM_247</t>
  </si>
  <si>
    <t>PSM_248</t>
  </si>
  <si>
    <t>PSM_249</t>
  </si>
  <si>
    <t>PSM_250</t>
  </si>
  <si>
    <t>PSM_251</t>
  </si>
  <si>
    <t>PSM_303</t>
  </si>
  <si>
    <t>PSM_304</t>
  </si>
  <si>
    <t>PSM_305</t>
  </si>
  <si>
    <t>PSM_306</t>
  </si>
  <si>
    <t>PSM_307</t>
  </si>
  <si>
    <t>PSM_308</t>
  </si>
  <si>
    <t>PSM_309</t>
  </si>
  <si>
    <t>PSM_310</t>
  </si>
  <si>
    <t>PSM_344</t>
  </si>
  <si>
    <t>PSM_346</t>
  </si>
  <si>
    <t>CLIPS</t>
  </si>
  <si>
    <t>DIVINAS MAMADAS</t>
  </si>
  <si>
    <t>PACK TAQUILLAS</t>
  </si>
  <si>
    <t>PSM_298</t>
  </si>
  <si>
    <t>PSM_302</t>
  </si>
  <si>
    <t>PSM_591</t>
  </si>
  <si>
    <t>PSM_592</t>
  </si>
  <si>
    <t>PSM_593</t>
  </si>
  <si>
    <t>PSM_594</t>
  </si>
  <si>
    <t>PSM_595</t>
  </si>
  <si>
    <t>PSM_596</t>
  </si>
  <si>
    <t>THAGSON_380</t>
  </si>
  <si>
    <t>THAGSON_385</t>
  </si>
  <si>
    <t>THAGSON_351</t>
  </si>
  <si>
    <t>THAGSON_384</t>
  </si>
  <si>
    <t>THAGSON_588</t>
  </si>
  <si>
    <t>THAGSON_589</t>
  </si>
  <si>
    <t>THAGSON_597</t>
  </si>
  <si>
    <t>THAGSON_598</t>
  </si>
  <si>
    <t>THAGSON_383</t>
  </si>
  <si>
    <t>THAGSON_629</t>
  </si>
  <si>
    <t>WAAT_605</t>
  </si>
  <si>
    <t>WAAT_606</t>
  </si>
  <si>
    <t>WAAT_604</t>
  </si>
  <si>
    <t>WAAT_491</t>
  </si>
  <si>
    <t>YIAM_490</t>
  </si>
  <si>
    <t>YIAM_451</t>
  </si>
  <si>
    <t>YIAM_452</t>
  </si>
  <si>
    <t>YIAM_453</t>
  </si>
  <si>
    <t>YIAM_454</t>
  </si>
  <si>
    <t>YIAM_455</t>
  </si>
  <si>
    <t>YIAM_456</t>
  </si>
  <si>
    <t>YIAM_457</t>
  </si>
  <si>
    <t>YIAM_458</t>
  </si>
  <si>
    <t>YIAM_478</t>
  </si>
  <si>
    <t>YIAM_479</t>
  </si>
  <si>
    <t>YIAM_481</t>
  </si>
  <si>
    <t>YIAM_483</t>
  </si>
  <si>
    <t>YIAM_484</t>
  </si>
  <si>
    <t>YIAM_485</t>
  </si>
  <si>
    <t>YIAM_486</t>
  </si>
  <si>
    <t>YIAM_488</t>
  </si>
  <si>
    <t>YIAM_492</t>
  </si>
  <si>
    <t>YIAM_493</t>
  </si>
  <si>
    <t>YIAM_494</t>
  </si>
  <si>
    <t>YIAM_496</t>
  </si>
  <si>
    <t>YIAM_497</t>
  </si>
  <si>
    <t>YIAM_498</t>
  </si>
  <si>
    <t>YIAM_510</t>
  </si>
  <si>
    <t>ENFEREMERAS</t>
  </si>
  <si>
    <t>YIAM_580</t>
  </si>
  <si>
    <t>YIAM_601</t>
  </si>
  <si>
    <t>YIAM_500</t>
  </si>
  <si>
    <t>YIAM_502</t>
  </si>
  <si>
    <t>YIAM_504</t>
  </si>
  <si>
    <t>YIAM_505</t>
  </si>
  <si>
    <t>YIAM_507</t>
  </si>
  <si>
    <t>YIAM_509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</si>
</sst>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#,##0.00\ &quot;€&quot;;\-#,##0.00\ &quot;€&quot;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theme="0"/>
      <name val="Calibri"/>
      <family val="2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9"/>
      <color rgb="FF000000"/>
      <name val="Verdana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0"/>
      <color indexed="8"/>
      <name val="Arial"/>
      <family val="2"/>
    </font>
    <font>
      <sz val="11"/>
      <color theme="0"/>
      <name val="Calibri"/>
    </font>
    <font>
      <sz val="11"/>
      <color indexed="8"/>
      <name val="Calibri"/>
    </font>
    <font>
      <sz val="10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0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8"/>
      </left>
      <right style="thin">
        <color indexed="8"/>
      </right>
      <top style="thin">
        <color theme="1"/>
      </top>
      <bottom style="thin">
        <color theme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indexed="22"/>
      </left>
      <right style="thin">
        <color indexed="22"/>
      </right>
      <top/>
      <bottom style="thin">
        <color theme="1"/>
      </bottom>
      <diagonal/>
    </border>
  </borders>
  <cellStyleXfs count="10">
    <xf numFmtId="0" fontId="0" fillId="0" borderId="0"/>
    <xf numFmtId="0" fontId="2" fillId="0" borderId="0"/>
    <xf numFmtId="0" fontId="6" fillId="0" borderId="0"/>
    <xf numFmtId="0" fontId="6" fillId="0" borderId="0"/>
    <xf numFmtId="9" fontId="8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</cellStyleXfs>
  <cellXfs count="141">
    <xf numFmtId="0" fontId="0" fillId="0" borderId="0" xfId="0"/>
    <xf numFmtId="0" fontId="3" fillId="0" borderId="2" xfId="1" applyFont="1" applyBorder="1" applyAlignment="1">
      <alignment horizontal="right"/>
    </xf>
    <xf numFmtId="0" fontId="5" fillId="3" borderId="0" xfId="0" applyFont="1" applyFill="1"/>
    <xf numFmtId="0" fontId="0" fillId="0" borderId="3" xfId="0" pivotButton="1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0" xfId="0" pivotButton="1"/>
    <xf numFmtId="0" fontId="0" fillId="0" borderId="2" xfId="0" applyBorder="1"/>
    <xf numFmtId="0" fontId="4" fillId="2" borderId="7" xfId="1" applyFont="1" applyFill="1" applyBorder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0" fillId="4" borderId="0" xfId="0" applyFill="1"/>
    <xf numFmtId="0" fontId="3" fillId="0" borderId="2" xfId="3" applyFont="1" applyBorder="1" applyAlignment="1">
      <alignment horizontal="right"/>
    </xf>
    <xf numFmtId="0" fontId="3" fillId="0" borderId="8" xfId="1" applyFont="1" applyBorder="1" applyAlignment="1">
      <alignment horizontal="right"/>
    </xf>
    <xf numFmtId="9" fontId="0" fillId="0" borderId="0" xfId="4" applyFont="1"/>
    <xf numFmtId="0" fontId="9" fillId="3" borderId="9" xfId="0" applyFont="1" applyFill="1" applyBorder="1"/>
    <xf numFmtId="0" fontId="0" fillId="5" borderId="0" xfId="0" applyFill="1"/>
    <xf numFmtId="0" fontId="0" fillId="5" borderId="2" xfId="0" applyFill="1" applyBorder="1"/>
    <xf numFmtId="0" fontId="10" fillId="2" borderId="1" xfId="1" applyFont="1" applyFill="1" applyBorder="1" applyAlignment="1">
      <alignment horizontal="center"/>
    </xf>
    <xf numFmtId="0" fontId="10" fillId="2" borderId="10" xfId="1" applyFont="1" applyFill="1" applyBorder="1" applyAlignment="1">
      <alignment horizontal="center"/>
    </xf>
    <xf numFmtId="0" fontId="3" fillId="5" borderId="2" xfId="1" applyFont="1" applyFill="1" applyBorder="1" applyAlignment="1">
      <alignment horizontal="right"/>
    </xf>
    <xf numFmtId="0" fontId="2" fillId="5" borderId="0" xfId="1" applyFill="1"/>
    <xf numFmtId="0" fontId="3" fillId="5" borderId="2" xfId="1" applyFont="1" applyFill="1" applyBorder="1"/>
    <xf numFmtId="7" fontId="3" fillId="5" borderId="2" xfId="1" applyNumberFormat="1" applyFont="1" applyFill="1" applyBorder="1" applyAlignment="1">
      <alignment horizontal="right"/>
    </xf>
    <xf numFmtId="10" fontId="3" fillId="5" borderId="2" xfId="1" applyNumberFormat="1" applyFont="1" applyFill="1" applyBorder="1" applyAlignment="1">
      <alignment horizontal="right"/>
    </xf>
    <xf numFmtId="0" fontId="2" fillId="0" borderId="0" xfId="1"/>
    <xf numFmtId="0" fontId="3" fillId="0" borderId="2" xfId="1" applyFont="1" applyBorder="1"/>
    <xf numFmtId="7" fontId="3" fillId="0" borderId="2" xfId="1" applyNumberFormat="1" applyFont="1" applyBorder="1" applyAlignment="1">
      <alignment horizontal="right"/>
    </xf>
    <xf numFmtId="10" fontId="3" fillId="0" borderId="2" xfId="1" applyNumberFormat="1" applyFont="1" applyBorder="1" applyAlignment="1">
      <alignment horizontal="right"/>
    </xf>
    <xf numFmtId="0" fontId="2" fillId="0" borderId="2" xfId="1" applyBorder="1"/>
    <xf numFmtId="0" fontId="2" fillId="5" borderId="2" xfId="1" applyFill="1" applyBorder="1"/>
    <xf numFmtId="10" fontId="3" fillId="0" borderId="0" xfId="1" applyNumberFormat="1" applyFont="1" applyAlignment="1">
      <alignment horizontal="right"/>
    </xf>
    <xf numFmtId="10" fontId="3" fillId="5" borderId="0" xfId="1" applyNumberFormat="1" applyFont="1" applyFill="1" applyAlignment="1">
      <alignment horizontal="right"/>
    </xf>
    <xf numFmtId="0" fontId="3" fillId="5" borderId="0" xfId="1" applyFont="1" applyFill="1" applyAlignment="1">
      <alignment horizontal="right"/>
    </xf>
    <xf numFmtId="0" fontId="3" fillId="0" borderId="0" xfId="1" applyFont="1" applyAlignment="1">
      <alignment horizontal="right"/>
    </xf>
    <xf numFmtId="7" fontId="3" fillId="0" borderId="0" xfId="1" applyNumberFormat="1" applyFont="1" applyAlignment="1">
      <alignment horizontal="right"/>
    </xf>
    <xf numFmtId="0" fontId="2" fillId="0" borderId="4" xfId="1" applyBorder="1"/>
    <xf numFmtId="0" fontId="3" fillId="0" borderId="0" xfId="1" applyFont="1"/>
    <xf numFmtId="0" fontId="3" fillId="0" borderId="4" xfId="1" applyFont="1" applyBorder="1"/>
    <xf numFmtId="0" fontId="3" fillId="5" borderId="0" xfId="1" applyFont="1" applyFill="1"/>
    <xf numFmtId="0" fontId="3" fillId="5" borderId="4" xfId="1" applyFont="1" applyFill="1" applyBorder="1"/>
    <xf numFmtId="7" fontId="3" fillId="5" borderId="0" xfId="1" applyNumberFormat="1" applyFont="1" applyFill="1" applyAlignment="1">
      <alignment horizontal="right"/>
    </xf>
    <xf numFmtId="49" fontId="0" fillId="5" borderId="0" xfId="0" applyNumberFormat="1" applyFill="1"/>
    <xf numFmtId="49" fontId="3" fillId="0" borderId="0" xfId="1" applyNumberFormat="1" applyFont="1" applyAlignment="1">
      <alignment horizontal="right"/>
    </xf>
    <xf numFmtId="0" fontId="3" fillId="4" borderId="8" xfId="2" applyFont="1" applyFill="1" applyBorder="1" applyAlignment="1">
      <alignment horizontal="right"/>
    </xf>
    <xf numFmtId="0" fontId="2" fillId="4" borderId="0" xfId="2" applyFont="1" applyFill="1"/>
    <xf numFmtId="0" fontId="3" fillId="4" borderId="8" xfId="2" applyFont="1" applyFill="1" applyBorder="1"/>
    <xf numFmtId="0" fontId="3" fillId="4" borderId="8" xfId="1" applyFont="1" applyFill="1" applyBorder="1"/>
    <xf numFmtId="0" fontId="3" fillId="4" borderId="4" xfId="1" applyFont="1" applyFill="1" applyBorder="1"/>
    <xf numFmtId="7" fontId="3" fillId="4" borderId="8" xfId="2" applyNumberFormat="1" applyFont="1" applyFill="1" applyBorder="1" applyAlignment="1">
      <alignment horizontal="right"/>
    </xf>
    <xf numFmtId="10" fontId="3" fillId="4" borderId="8" xfId="2" applyNumberFormat="1" applyFont="1" applyFill="1" applyBorder="1" applyAlignment="1">
      <alignment horizontal="right"/>
    </xf>
    <xf numFmtId="0" fontId="3" fillId="0" borderId="2" xfId="2" applyFont="1" applyBorder="1" applyAlignment="1">
      <alignment horizontal="right"/>
    </xf>
    <xf numFmtId="0" fontId="2" fillId="0" borderId="0" xfId="2" applyFont="1"/>
    <xf numFmtId="0" fontId="3" fillId="0" borderId="2" xfId="2" applyFont="1" applyBorder="1"/>
    <xf numFmtId="7" fontId="3" fillId="0" borderId="2" xfId="2" applyNumberFormat="1" applyFont="1" applyBorder="1" applyAlignment="1">
      <alignment horizontal="right"/>
    </xf>
    <xf numFmtId="10" fontId="3" fillId="0" borderId="2" xfId="2" applyNumberFormat="1" applyFont="1" applyBorder="1" applyAlignment="1">
      <alignment horizontal="right"/>
    </xf>
    <xf numFmtId="0" fontId="2" fillId="5" borderId="0" xfId="2" applyFont="1" applyFill="1"/>
    <xf numFmtId="0" fontId="3" fillId="5" borderId="2" xfId="2" applyFont="1" applyFill="1" applyBorder="1"/>
    <xf numFmtId="0" fontId="3" fillId="5" borderId="2" xfId="2" applyFont="1" applyFill="1" applyBorder="1" applyAlignment="1">
      <alignment horizontal="right"/>
    </xf>
    <xf numFmtId="7" fontId="3" fillId="5" borderId="2" xfId="2" applyNumberFormat="1" applyFont="1" applyFill="1" applyBorder="1" applyAlignment="1">
      <alignment horizontal="right"/>
    </xf>
    <xf numFmtId="10" fontId="3" fillId="5" borderId="2" xfId="2" applyNumberFormat="1" applyFont="1" applyFill="1" applyBorder="1" applyAlignment="1">
      <alignment horizontal="right"/>
    </xf>
    <xf numFmtId="0" fontId="3" fillId="5" borderId="8" xfId="3" applyFont="1" applyFill="1" applyBorder="1" applyAlignment="1">
      <alignment horizontal="right"/>
    </xf>
    <xf numFmtId="0" fontId="2" fillId="5" borderId="0" xfId="3" applyFont="1" applyFill="1"/>
    <xf numFmtId="0" fontId="3" fillId="5" borderId="8" xfId="3" applyFont="1" applyFill="1" applyBorder="1"/>
    <xf numFmtId="0" fontId="3" fillId="5" borderId="2" xfId="3" applyFont="1" applyFill="1" applyBorder="1"/>
    <xf numFmtId="0" fontId="3" fillId="5" borderId="2" xfId="3" applyFont="1" applyFill="1" applyBorder="1" applyAlignment="1">
      <alignment horizontal="right"/>
    </xf>
    <xf numFmtId="7" fontId="3" fillId="5" borderId="2" xfId="3" applyNumberFormat="1" applyFont="1" applyFill="1" applyBorder="1" applyAlignment="1">
      <alignment horizontal="right"/>
    </xf>
    <xf numFmtId="10" fontId="3" fillId="5" borderId="2" xfId="3" applyNumberFormat="1" applyFont="1" applyFill="1" applyBorder="1" applyAlignment="1">
      <alignment horizontal="right"/>
    </xf>
    <xf numFmtId="0" fontId="3" fillId="0" borderId="2" xfId="3" applyFont="1" applyBorder="1"/>
    <xf numFmtId="0" fontId="3" fillId="0" borderId="4" xfId="3" applyFont="1" applyBorder="1" applyAlignment="1">
      <alignment horizontal="right"/>
    </xf>
    <xf numFmtId="7" fontId="3" fillId="0" borderId="2" xfId="3" applyNumberFormat="1" applyFont="1" applyBorder="1" applyAlignment="1">
      <alignment horizontal="right"/>
    </xf>
    <xf numFmtId="10" fontId="3" fillId="0" borderId="2" xfId="3" applyNumberFormat="1" applyFont="1" applyBorder="1" applyAlignment="1">
      <alignment horizontal="right"/>
    </xf>
    <xf numFmtId="0" fontId="3" fillId="5" borderId="4" xfId="3" applyFont="1" applyFill="1" applyBorder="1" applyAlignment="1">
      <alignment horizontal="right"/>
    </xf>
    <xf numFmtId="0" fontId="7" fillId="5" borderId="0" xfId="0" applyFont="1" applyFill="1" applyAlignment="1">
      <alignment vertical="center"/>
    </xf>
    <xf numFmtId="0" fontId="7" fillId="5" borderId="0" xfId="0" applyFont="1" applyFill="1" applyAlignment="1">
      <alignment vertical="center" wrapText="1"/>
    </xf>
    <xf numFmtId="0" fontId="3" fillId="0" borderId="8" xfId="1" applyFont="1" applyBorder="1"/>
    <xf numFmtId="0" fontId="3" fillId="0" borderId="8" xfId="2" applyFont="1" applyBorder="1"/>
    <xf numFmtId="0" fontId="3" fillId="0" borderId="8" xfId="3" applyFont="1" applyBorder="1"/>
    <xf numFmtId="7" fontId="3" fillId="0" borderId="8" xfId="3" applyNumberFormat="1" applyFont="1" applyBorder="1" applyAlignment="1">
      <alignment horizontal="right"/>
    </xf>
    <xf numFmtId="10" fontId="3" fillId="0" borderId="8" xfId="3" applyNumberFormat="1" applyFont="1" applyBorder="1" applyAlignment="1">
      <alignment horizontal="right"/>
    </xf>
    <xf numFmtId="0" fontId="3" fillId="5" borderId="0" xfId="2" applyFont="1" applyFill="1" applyAlignment="1">
      <alignment horizontal="right"/>
    </xf>
    <xf numFmtId="0" fontId="3" fillId="5" borderId="0" xfId="2" applyFont="1" applyFill="1"/>
    <xf numFmtId="0" fontId="3" fillId="5" borderId="4" xfId="2" applyFont="1" applyFill="1" applyBorder="1" applyAlignment="1">
      <alignment horizontal="right"/>
    </xf>
    <xf numFmtId="0" fontId="2" fillId="0" borderId="0" xfId="3" applyFont="1"/>
    <xf numFmtId="0" fontId="3" fillId="5" borderId="8" xfId="1" applyFont="1" applyFill="1" applyBorder="1"/>
    <xf numFmtId="7" fontId="3" fillId="5" borderId="8" xfId="3" applyNumberFormat="1" applyFont="1" applyFill="1" applyBorder="1" applyAlignment="1">
      <alignment horizontal="right"/>
    </xf>
    <xf numFmtId="10" fontId="3" fillId="5" borderId="8" xfId="3" applyNumberFormat="1" applyFont="1" applyFill="1" applyBorder="1" applyAlignment="1">
      <alignment horizontal="right"/>
    </xf>
    <xf numFmtId="0" fontId="3" fillId="0" borderId="8" xfId="3" applyFont="1" applyBorder="1" applyAlignment="1">
      <alignment horizontal="right"/>
    </xf>
    <xf numFmtId="7" fontId="3" fillId="0" borderId="8" xfId="1" applyNumberFormat="1" applyFont="1" applyBorder="1" applyAlignment="1">
      <alignment horizontal="right"/>
    </xf>
    <xf numFmtId="10" fontId="3" fillId="0" borderId="8" xfId="1" applyNumberFormat="1" applyFont="1" applyBorder="1" applyAlignment="1">
      <alignment horizontal="right"/>
    </xf>
    <xf numFmtId="0" fontId="3" fillId="5" borderId="8" xfId="1" applyFont="1" applyFill="1" applyBorder="1" applyAlignment="1">
      <alignment horizontal="right"/>
    </xf>
    <xf numFmtId="7" fontId="3" fillId="5" borderId="8" xfId="1" applyNumberFormat="1" applyFont="1" applyFill="1" applyBorder="1" applyAlignment="1">
      <alignment horizontal="right"/>
    </xf>
    <xf numFmtId="10" fontId="3" fillId="5" borderId="8" xfId="1" applyNumberFormat="1" applyFont="1" applyFill="1" applyBorder="1" applyAlignment="1">
      <alignment horizontal="right"/>
    </xf>
    <xf numFmtId="0" fontId="3" fillId="5" borderId="8" xfId="5" applyFont="1" applyFill="1" applyBorder="1" applyAlignment="1">
      <alignment horizontal="right"/>
    </xf>
    <xf numFmtId="0" fontId="2" fillId="5" borderId="0" xfId="5" applyFill="1"/>
    <xf numFmtId="0" fontId="3" fillId="5" borderId="8" xfId="5" applyFont="1" applyFill="1" applyBorder="1"/>
    <xf numFmtId="7" fontId="3" fillId="5" borderId="8" xfId="5" applyNumberFormat="1" applyFont="1" applyFill="1" applyBorder="1" applyAlignment="1">
      <alignment horizontal="right"/>
    </xf>
    <xf numFmtId="10" fontId="3" fillId="5" borderId="8" xfId="5" applyNumberFormat="1" applyFont="1" applyFill="1" applyBorder="1" applyAlignment="1">
      <alignment horizontal="right"/>
    </xf>
    <xf numFmtId="0" fontId="3" fillId="0" borderId="11" xfId="3" applyFont="1" applyBorder="1" applyAlignment="1">
      <alignment horizontal="right"/>
    </xf>
    <xf numFmtId="0" fontId="2" fillId="0" borderId="12" xfId="3" applyFont="1" applyBorder="1"/>
    <xf numFmtId="0" fontId="3" fillId="0" borderId="11" xfId="3" applyFont="1" applyBorder="1"/>
    <xf numFmtId="0" fontId="3" fillId="0" borderId="11" xfId="1" applyFont="1" applyBorder="1"/>
    <xf numFmtId="0" fontId="3" fillId="0" borderId="13" xfId="1" applyFont="1" applyBorder="1"/>
    <xf numFmtId="7" fontId="3" fillId="0" borderId="11" xfId="3" applyNumberFormat="1" applyFont="1" applyBorder="1" applyAlignment="1">
      <alignment horizontal="right"/>
    </xf>
    <xf numFmtId="10" fontId="3" fillId="0" borderId="11" xfId="3" applyNumberFormat="1" applyFont="1" applyBorder="1" applyAlignment="1">
      <alignment horizontal="right"/>
    </xf>
    <xf numFmtId="0" fontId="6" fillId="0" borderId="0" xfId="3"/>
    <xf numFmtId="9" fontId="0" fillId="0" borderId="0" xfId="4" applyFont="1" applyBorder="1"/>
    <xf numFmtId="10" fontId="3" fillId="0" borderId="2" xfId="5" applyNumberFormat="1" applyFont="1" applyBorder="1" applyAlignment="1">
      <alignment horizontal="right"/>
    </xf>
    <xf numFmtId="0" fontId="2" fillId="0" borderId="0" xfId="6"/>
    <xf numFmtId="0" fontId="3" fillId="0" borderId="2" xfId="6" applyFont="1" applyBorder="1"/>
    <xf numFmtId="9" fontId="2" fillId="0" borderId="0" xfId="4" applyFont="1" applyAlignment="1"/>
    <xf numFmtId="0" fontId="0" fillId="5" borderId="2" xfId="6" applyFont="1" applyFill="1" applyBorder="1"/>
    <xf numFmtId="0" fontId="3" fillId="5" borderId="2" xfId="6" applyFont="1" applyFill="1" applyBorder="1"/>
    <xf numFmtId="0" fontId="2" fillId="0" borderId="0" xfId="7"/>
    <xf numFmtId="9" fontId="2" fillId="0" borderId="0" xfId="4" applyFont="1" applyBorder="1" applyAlignment="1"/>
    <xf numFmtId="0" fontId="3" fillId="0" borderId="8" xfId="7" applyFont="1" applyBorder="1"/>
    <xf numFmtId="0" fontId="0" fillId="5" borderId="8" xfId="7" applyFont="1" applyFill="1" applyBorder="1"/>
    <xf numFmtId="0" fontId="3" fillId="5" borderId="8" xfId="7" applyFont="1" applyFill="1" applyBorder="1"/>
    <xf numFmtId="0" fontId="11" fillId="0" borderId="0" xfId="8"/>
    <xf numFmtId="10" fontId="3" fillId="0" borderId="2" xfId="6" applyNumberFormat="1" applyFont="1" applyBorder="1" applyAlignment="1">
      <alignment horizontal="right"/>
    </xf>
    <xf numFmtId="0" fontId="3" fillId="0" borderId="2" xfId="9" applyFont="1" applyBorder="1" applyAlignment="1">
      <alignment horizontal="right"/>
    </xf>
    <xf numFmtId="0" fontId="2" fillId="0" borderId="0" xfId="9"/>
    <xf numFmtId="0" fontId="3" fillId="0" borderId="2" xfId="9" applyFont="1" applyBorder="1"/>
    <xf numFmtId="0" fontId="3" fillId="0" borderId="8" xfId="9" applyFont="1" applyBorder="1" applyAlignment="1">
      <alignment horizontal="right"/>
    </xf>
    <xf numFmtId="10" fontId="3" fillId="0" borderId="2" xfId="9" applyNumberFormat="1" applyFont="1" applyBorder="1" applyAlignment="1">
      <alignment horizontal="right"/>
    </xf>
    <xf numFmtId="0" fontId="3" fillId="4" borderId="8" xfId="1" applyFont="1" applyFill="1" applyBorder="1" applyAlignment="1">
      <alignment horizontal="right"/>
    </xf>
    <xf numFmtId="10" fontId="3" fillId="0" borderId="2" xfId="8" applyNumberFormat="1" applyFont="1" applyBorder="1" applyAlignment="1">
      <alignment horizontal="right"/>
    </xf>
    <xf numFmtId="0" fontId="3" fillId="0" borderId="2" xfId="8" applyFont="1" applyBorder="1"/>
    <xf numFmtId="0" fontId="3" fillId="0" borderId="8" xfId="8" applyFont="1" applyBorder="1" applyAlignment="1">
      <alignment horizontal="right"/>
    </xf>
    <xf numFmtId="9" fontId="0" fillId="4" borderId="0" xfId="4" applyFont="1" applyFill="1"/>
    <xf numFmtId="0" fontId="12" fillId="2" borderId="7" xfId="1" applyFont="1" applyFill="1" applyBorder="1" applyAlignment="1">
      <alignment horizontal="center"/>
    </xf>
    <xf numFmtId="0" fontId="13" fillId="0" borderId="4" xfId="1" applyFont="1" applyBorder="1"/>
    <xf numFmtId="0" fontId="13" fillId="5" borderId="4" xfId="1" applyFont="1" applyFill="1" applyBorder="1"/>
    <xf numFmtId="0" fontId="13" fillId="0" borderId="8" xfId="1" applyFont="1" applyBorder="1" applyAlignment="1">
      <alignment horizontal="right"/>
    </xf>
    <xf numFmtId="0" fontId="13" fillId="5" borderId="8" xfId="1" applyFont="1" applyFill="1" applyBorder="1" applyAlignment="1">
      <alignment horizontal="right"/>
    </xf>
    <xf numFmtId="0" fontId="14" fillId="5" borderId="0" xfId="1" applyFont="1" applyFill="1"/>
    <xf numFmtId="0" fontId="13" fillId="5" borderId="8" xfId="1" applyFont="1" applyFill="1" applyBorder="1"/>
    <xf numFmtId="7" fontId="13" fillId="5" borderId="8" xfId="1" applyNumberFormat="1" applyFont="1" applyFill="1" applyBorder="1" applyAlignment="1">
      <alignment horizontal="right"/>
    </xf>
    <xf numFmtId="10" fontId="13" fillId="5" borderId="8" xfId="1" applyNumberFormat="1" applyFont="1" applyFill="1" applyBorder="1" applyAlignment="1">
      <alignment horizontal="right"/>
    </xf>
    <xf numFmtId="0" fontId="1" fillId="5" borderId="0" xfId="0" applyFont="1" applyFill="1"/>
  </cellXfs>
  <cellStyles count="10">
    <cellStyle name="Normal" xfId="0" builtinId="0"/>
    <cellStyle name="Normal_Hoja 1" xfId="7" xr:uid="{00000000-0005-0000-0000-000001000000}"/>
    <cellStyle name="Normal_Hoja1" xfId="3" xr:uid="{00000000-0005-0000-0000-000002000000}"/>
    <cellStyle name="Normal_Hoja1_1" xfId="5" xr:uid="{00000000-0005-0000-0000-000003000000}"/>
    <cellStyle name="Normal_Hoja2" xfId="1" xr:uid="{00000000-0005-0000-0000-000004000000}"/>
    <cellStyle name="Normal_Hoja4" xfId="2" xr:uid="{00000000-0005-0000-0000-000005000000}"/>
    <cellStyle name="Normal_Sheet1" xfId="6" xr:uid="{00000000-0005-0000-0000-000006000000}"/>
    <cellStyle name="Normal_Sheet1_2" xfId="8" xr:uid="{F6F8B066-02C4-49F3-9A9E-E5714C298B01}"/>
    <cellStyle name="Normal_Sheet2" xfId="9" xr:uid="{958A4918-3D24-4175-86FD-50F599B961AF}"/>
    <cellStyle name="Percent" xfId="4" builtinId="5"/>
  </cellStyles>
  <dxfs count="3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1" formatCode="#,##0.00\ &quot;€&quot;;\-#,##0.00\ &quot;€&quot;"/>
      <fill>
        <patternFill patternType="solid">
          <fgColor theme="0" tint="-0.14999847407452621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0"/>
          <bgColor rgb="FF00B0F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pivotCacheDefinition" Target="pivotCache/pivotCacheDefinition5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3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ernan.falbo\Dropbox\HERNAN\01.REPORTES_MENSUALES\06.EMOCION%20VALORADO\DATA%20GLOBAL%20EMOCION\DATO%20VALORADO_GLOBAL.xlsx" TargetMode="External"/><Relationship Id="rId1" Type="http://schemas.openxmlformats.org/officeDocument/2006/relationships/externalLinkPath" Target="file:///C:\Users\hernan.falbo\Dropbox\HERNAN\01.REPORTES_MENSUALES\06.EMOCION%20VALORADO\DATA%20GLOBAL%20EMOCION\DATO%20VALORADO_GLOB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Sheet3"/>
      <sheetName val="DATA"/>
      <sheetName val="IMPORTES"/>
      <sheetName val="Sheet1"/>
      <sheetName val="%COGS"/>
      <sheetName val="Rol Resume"/>
    </sheetNames>
    <sheetDataSet>
      <sheetData sheetId="0"/>
      <sheetData sheetId="1">
        <row r="3">
          <cell r="A3" t="str">
            <v>Row Labels</v>
          </cell>
          <cell r="B3" t="str">
            <v>Sum of Imp. P.V.P. Total</v>
          </cell>
          <cell r="C3" t="str">
            <v>Sum of Importe Liquidación</v>
          </cell>
          <cell r="D3" t="str">
            <v>Sum of %COGS</v>
          </cell>
        </row>
        <row r="4">
          <cell r="A4">
            <v>893</v>
          </cell>
          <cell r="B4">
            <v>727191.92</v>
          </cell>
          <cell r="C4">
            <v>290876.78000000009</v>
          </cell>
          <cell r="D4">
            <v>0.40000001650183359</v>
          </cell>
        </row>
        <row r="5">
          <cell r="A5">
            <v>25609</v>
          </cell>
          <cell r="B5">
            <v>784</v>
          </cell>
          <cell r="C5">
            <v>313.60000000000008</v>
          </cell>
          <cell r="D5">
            <v>0.40000000000000008</v>
          </cell>
        </row>
        <row r="6">
          <cell r="A6">
            <v>25814</v>
          </cell>
          <cell r="B6">
            <v>3842.3699999999935</v>
          </cell>
          <cell r="C6">
            <v>935.93000000000097</v>
          </cell>
          <cell r="D6">
            <v>0.24358143541616309</v>
          </cell>
        </row>
        <row r="7">
          <cell r="A7">
            <v>25828</v>
          </cell>
          <cell r="B7">
            <v>267</v>
          </cell>
          <cell r="C7">
            <v>106.80000000000015</v>
          </cell>
          <cell r="D7">
            <v>0.40000000000000058</v>
          </cell>
        </row>
        <row r="8">
          <cell r="A8">
            <v>25857</v>
          </cell>
          <cell r="B8">
            <v>822</v>
          </cell>
          <cell r="C8">
            <v>534.29999999999995</v>
          </cell>
          <cell r="D8">
            <v>0.64999999999999991</v>
          </cell>
        </row>
        <row r="9">
          <cell r="A9">
            <v>28428</v>
          </cell>
          <cell r="B9">
            <v>43507.489999999983</v>
          </cell>
          <cell r="C9">
            <v>15227.639999999998</v>
          </cell>
          <cell r="D9">
            <v>0.35000042521414138</v>
          </cell>
        </row>
        <row r="10">
          <cell r="A10">
            <v>29158</v>
          </cell>
          <cell r="B10">
            <v>6855</v>
          </cell>
          <cell r="C10">
            <v>3427.5</v>
          </cell>
          <cell r="D10">
            <v>0.5</v>
          </cell>
        </row>
        <row r="11">
          <cell r="A11">
            <v>30710</v>
          </cell>
          <cell r="B11">
            <v>7223.0399999999909</v>
          </cell>
          <cell r="C11">
            <v>3611.9399999999964</v>
          </cell>
          <cell r="D11">
            <v>0.50005814726209474</v>
          </cell>
        </row>
        <row r="12">
          <cell r="A12">
            <v>31036</v>
          </cell>
          <cell r="B12">
            <v>474.21000000000072</v>
          </cell>
          <cell r="C12">
            <v>237.37000000000015</v>
          </cell>
          <cell r="D12">
            <v>0.50055882414963793</v>
          </cell>
        </row>
        <row r="13">
          <cell r="A13">
            <v>31192</v>
          </cell>
          <cell r="B13">
            <v>392.03000000000077</v>
          </cell>
          <cell r="C13">
            <v>157.04</v>
          </cell>
          <cell r="D13">
            <v>0.40058158814376371</v>
          </cell>
        </row>
        <row r="14">
          <cell r="A14">
            <v>31581</v>
          </cell>
          <cell r="B14">
            <v>14076.919999999989</v>
          </cell>
          <cell r="C14">
            <v>4223.21</v>
          </cell>
          <cell r="D14">
            <v>0.30000951912776397</v>
          </cell>
        </row>
        <row r="15">
          <cell r="A15">
            <v>31690</v>
          </cell>
          <cell r="B15">
            <v>2541.33</v>
          </cell>
          <cell r="C15">
            <v>1016.4700000000011</v>
          </cell>
          <cell r="D15">
            <v>0.399975603325818</v>
          </cell>
        </row>
        <row r="16">
          <cell r="A16">
            <v>32680</v>
          </cell>
          <cell r="B16">
            <v>2165.1300000000037</v>
          </cell>
          <cell r="C16">
            <v>1083.0000000000023</v>
          </cell>
          <cell r="D16">
            <v>0.50020091172354564</v>
          </cell>
        </row>
        <row r="17">
          <cell r="A17">
            <v>34409</v>
          </cell>
          <cell r="B17">
            <v>92545.140000000058</v>
          </cell>
          <cell r="C17">
            <v>18196.370000000017</v>
          </cell>
          <cell r="D17">
            <v>0.19662156219116428</v>
          </cell>
        </row>
        <row r="18">
          <cell r="A18">
            <v>34828</v>
          </cell>
          <cell r="B18">
            <v>301822.56000000006</v>
          </cell>
          <cell r="C18">
            <v>120729.11999999998</v>
          </cell>
          <cell r="D18">
            <v>0.40000031806767511</v>
          </cell>
        </row>
        <row r="19">
          <cell r="A19">
            <v>35008</v>
          </cell>
          <cell r="B19">
            <v>1198.8900000000015</v>
          </cell>
          <cell r="C19">
            <v>958.97999999999968</v>
          </cell>
          <cell r="D19">
            <v>0.79988989815579281</v>
          </cell>
        </row>
        <row r="20">
          <cell r="A20">
            <v>35014</v>
          </cell>
          <cell r="B20">
            <v>1107.8100000000015</v>
          </cell>
          <cell r="C20">
            <v>886.05999999999949</v>
          </cell>
          <cell r="D20">
            <v>0.79983029580884657</v>
          </cell>
        </row>
        <row r="21">
          <cell r="A21">
            <v>35020</v>
          </cell>
          <cell r="B21">
            <v>1043.4600000000012</v>
          </cell>
          <cell r="C21">
            <v>834.73999999999978</v>
          </cell>
          <cell r="D21">
            <v>0.79997316619707404</v>
          </cell>
        </row>
        <row r="22">
          <cell r="A22">
            <v>35308</v>
          </cell>
          <cell r="B22">
            <v>20.79</v>
          </cell>
          <cell r="C22">
            <v>10.46</v>
          </cell>
          <cell r="D22">
            <v>0.5031265031265032</v>
          </cell>
        </row>
        <row r="23">
          <cell r="A23">
            <v>35313</v>
          </cell>
          <cell r="B23">
            <v>49.749999999999993</v>
          </cell>
          <cell r="C23">
            <v>24.95</v>
          </cell>
          <cell r="D23">
            <v>0.50150753768844225</v>
          </cell>
        </row>
        <row r="24">
          <cell r="A24">
            <v>35315</v>
          </cell>
          <cell r="B24">
            <v>35.88000000000001</v>
          </cell>
          <cell r="C24">
            <v>18</v>
          </cell>
          <cell r="D24">
            <v>0.50167224080267547</v>
          </cell>
        </row>
        <row r="25">
          <cell r="A25">
            <v>35317</v>
          </cell>
          <cell r="B25">
            <v>29.940000000000005</v>
          </cell>
          <cell r="C25">
            <v>15</v>
          </cell>
          <cell r="D25">
            <v>0.50100200400801598</v>
          </cell>
        </row>
        <row r="26">
          <cell r="A26">
            <v>35357</v>
          </cell>
          <cell r="B26">
            <v>1040.4900000000016</v>
          </cell>
          <cell r="C26">
            <v>832.15999999999951</v>
          </cell>
          <cell r="D26">
            <v>0.79977702813097507</v>
          </cell>
        </row>
        <row r="27">
          <cell r="A27">
            <v>35870</v>
          </cell>
          <cell r="B27">
            <v>0</v>
          </cell>
          <cell r="C27">
            <v>0</v>
          </cell>
          <cell r="D27" t="e">
            <v>#DIV/0!</v>
          </cell>
        </row>
        <row r="28">
          <cell r="A28">
            <v>35871</v>
          </cell>
          <cell r="B28">
            <v>0</v>
          </cell>
          <cell r="C28">
            <v>0</v>
          </cell>
          <cell r="D28" t="e">
            <v>#DIV/0!</v>
          </cell>
        </row>
        <row r="29">
          <cell r="A29">
            <v>35872</v>
          </cell>
          <cell r="B29">
            <v>0</v>
          </cell>
          <cell r="C29">
            <v>0</v>
          </cell>
          <cell r="D29" t="e">
            <v>#DIV/0!</v>
          </cell>
        </row>
        <row r="30">
          <cell r="A30">
            <v>35887</v>
          </cell>
          <cell r="B30">
            <v>394745.78000000009</v>
          </cell>
          <cell r="C30">
            <v>157898.30999999997</v>
          </cell>
          <cell r="D30">
            <v>0.3999999949334479</v>
          </cell>
        </row>
        <row r="31">
          <cell r="A31">
            <v>36211</v>
          </cell>
          <cell r="B31">
            <v>55918.97999999996</v>
          </cell>
          <cell r="C31">
            <v>27959.570000000003</v>
          </cell>
          <cell r="D31">
            <v>0.50000143064126035</v>
          </cell>
        </row>
        <row r="32">
          <cell r="A32">
            <v>36394</v>
          </cell>
          <cell r="B32">
            <v>12010.829999999996</v>
          </cell>
          <cell r="C32">
            <v>3603.2400000000016</v>
          </cell>
          <cell r="D32">
            <v>0.29999925067626487</v>
          </cell>
        </row>
        <row r="33">
          <cell r="A33">
            <v>36827</v>
          </cell>
          <cell r="B33">
            <v>612734.71999999986</v>
          </cell>
          <cell r="C33">
            <v>306367.29999999987</v>
          </cell>
          <cell r="D33">
            <v>0.49999990207834144</v>
          </cell>
        </row>
        <row r="34">
          <cell r="A34">
            <v>37288</v>
          </cell>
          <cell r="B34">
            <v>109.88999999999999</v>
          </cell>
          <cell r="C34">
            <v>54.970000000000006</v>
          </cell>
          <cell r="D34">
            <v>0.5002275002275004</v>
          </cell>
        </row>
        <row r="35">
          <cell r="A35">
            <v>37290</v>
          </cell>
          <cell r="B35">
            <v>74.95</v>
          </cell>
          <cell r="C35">
            <v>37.5</v>
          </cell>
          <cell r="D35">
            <v>0.50033355570380256</v>
          </cell>
        </row>
        <row r="36">
          <cell r="A36">
            <v>37448</v>
          </cell>
          <cell r="B36">
            <v>71689.859999999957</v>
          </cell>
          <cell r="C36">
            <v>35845.18</v>
          </cell>
          <cell r="D36">
            <v>0.50000348724352406</v>
          </cell>
        </row>
        <row r="37">
          <cell r="A37">
            <v>37841</v>
          </cell>
          <cell r="B37">
            <v>3205.2799999999961</v>
          </cell>
          <cell r="C37">
            <v>1762.9300000000012</v>
          </cell>
          <cell r="D37">
            <v>0.55000811161583496</v>
          </cell>
        </row>
        <row r="38">
          <cell r="A38">
            <v>37945</v>
          </cell>
          <cell r="B38">
            <v>17.940000000000001</v>
          </cell>
          <cell r="C38">
            <v>9</v>
          </cell>
          <cell r="D38">
            <v>0.50167224080267558</v>
          </cell>
        </row>
        <row r="39">
          <cell r="A39">
            <v>37947</v>
          </cell>
          <cell r="B39">
            <v>1904.2200000000032</v>
          </cell>
          <cell r="C39">
            <v>952.6300000000017</v>
          </cell>
          <cell r="D39">
            <v>0.50027307769060303</v>
          </cell>
        </row>
        <row r="40">
          <cell r="A40">
            <v>38665</v>
          </cell>
          <cell r="B40">
            <v>579.09000000000071</v>
          </cell>
          <cell r="C40">
            <v>289.86000000000018</v>
          </cell>
          <cell r="D40">
            <v>0.50054395689789122</v>
          </cell>
        </row>
        <row r="41">
          <cell r="A41">
            <v>38667</v>
          </cell>
          <cell r="B41">
            <v>586.53000000000077</v>
          </cell>
          <cell r="C41">
            <v>293.57000000000016</v>
          </cell>
          <cell r="D41">
            <v>0.50052000750174719</v>
          </cell>
        </row>
        <row r="42">
          <cell r="A42">
            <v>38681</v>
          </cell>
          <cell r="B42">
            <v>887.73000000000081</v>
          </cell>
          <cell r="C42">
            <v>444.13000000000022</v>
          </cell>
          <cell r="D42">
            <v>0.50029851418787219</v>
          </cell>
        </row>
        <row r="43">
          <cell r="A43">
            <v>38687</v>
          </cell>
          <cell r="B43">
            <v>2008.660000000001</v>
          </cell>
          <cell r="C43">
            <v>1004.5300000000003</v>
          </cell>
          <cell r="D43">
            <v>0.50009956886680662</v>
          </cell>
        </row>
        <row r="44">
          <cell r="A44">
            <v>38903</v>
          </cell>
          <cell r="B44">
            <v>44492.419999999984</v>
          </cell>
          <cell r="C44">
            <v>24470.88000000003</v>
          </cell>
          <cell r="D44">
            <v>0.55000110131119051</v>
          </cell>
        </row>
        <row r="45">
          <cell r="A45">
            <v>38904</v>
          </cell>
          <cell r="B45">
            <v>1830.8000000000018</v>
          </cell>
          <cell r="C45">
            <v>1007.0200000000006</v>
          </cell>
          <cell r="D45">
            <v>0.5500436967445923</v>
          </cell>
        </row>
        <row r="46">
          <cell r="A46">
            <v>38941</v>
          </cell>
          <cell r="B46">
            <v>29059.980000000003</v>
          </cell>
          <cell r="C46">
            <v>11623.930000000004</v>
          </cell>
          <cell r="D46">
            <v>0.39999786648167007</v>
          </cell>
        </row>
        <row r="47">
          <cell r="A47">
            <v>38967</v>
          </cell>
          <cell r="B47">
            <v>6022.079999999999</v>
          </cell>
          <cell r="C47">
            <v>3011.0399999999995</v>
          </cell>
          <cell r="D47">
            <v>0.5</v>
          </cell>
        </row>
        <row r="48">
          <cell r="A48">
            <v>39581</v>
          </cell>
          <cell r="B48">
            <v>509.85000000000082</v>
          </cell>
          <cell r="C48">
            <v>407.90999999999985</v>
          </cell>
          <cell r="D48">
            <v>0.80005884083553824</v>
          </cell>
        </row>
        <row r="49">
          <cell r="A49">
            <v>39582</v>
          </cell>
          <cell r="B49">
            <v>0</v>
          </cell>
          <cell r="C49">
            <v>0</v>
          </cell>
          <cell r="D49" t="e">
            <v>#DIV/0!</v>
          </cell>
        </row>
        <row r="50">
          <cell r="A50">
            <v>39621</v>
          </cell>
          <cell r="B50">
            <v>624963.82000000041</v>
          </cell>
          <cell r="C50">
            <v>249985.57999999973</v>
          </cell>
          <cell r="D50">
            <v>0.40000008320481584</v>
          </cell>
        </row>
        <row r="51">
          <cell r="A51">
            <v>39681</v>
          </cell>
          <cell r="B51">
            <v>19707.880000000012</v>
          </cell>
          <cell r="C51">
            <v>9853.940000000006</v>
          </cell>
          <cell r="D51">
            <v>0.5</v>
          </cell>
        </row>
        <row r="52">
          <cell r="A52">
            <v>39682</v>
          </cell>
          <cell r="B52">
            <v>0</v>
          </cell>
          <cell r="C52">
            <v>0</v>
          </cell>
          <cell r="D52" t="e">
            <v>#DIV/0!</v>
          </cell>
        </row>
        <row r="53">
          <cell r="A53">
            <v>39721</v>
          </cell>
          <cell r="B53">
            <v>11803.080000000007</v>
          </cell>
          <cell r="C53">
            <v>5311.269999999995</v>
          </cell>
          <cell r="D53">
            <v>0.44999017205678449</v>
          </cell>
        </row>
        <row r="54">
          <cell r="A54">
            <v>39923</v>
          </cell>
          <cell r="B54">
            <v>11827.679999999997</v>
          </cell>
          <cell r="C54">
            <v>5322.5199999999959</v>
          </cell>
          <cell r="D54">
            <v>0.45000541103580732</v>
          </cell>
        </row>
        <row r="55">
          <cell r="A55">
            <v>40221</v>
          </cell>
          <cell r="B55">
            <v>5967.820000000007</v>
          </cell>
          <cell r="C55">
            <v>2685.6099999999983</v>
          </cell>
          <cell r="D55">
            <v>0.45001524844918162</v>
          </cell>
        </row>
        <row r="56">
          <cell r="A56">
            <v>40341</v>
          </cell>
          <cell r="B56">
            <v>46.74</v>
          </cell>
          <cell r="C56">
            <v>20.920000000000009</v>
          </cell>
          <cell r="D56">
            <v>0.44758237056054789</v>
          </cell>
        </row>
        <row r="57">
          <cell r="A57">
            <v>40562</v>
          </cell>
          <cell r="B57">
            <v>849.52000000000055</v>
          </cell>
          <cell r="C57">
            <v>679.66000000000054</v>
          </cell>
          <cell r="D57">
            <v>0.80005179395423309</v>
          </cell>
        </row>
        <row r="58">
          <cell r="A58">
            <v>40563</v>
          </cell>
          <cell r="B58">
            <v>0</v>
          </cell>
          <cell r="C58">
            <v>0</v>
          </cell>
          <cell r="D58" t="e">
            <v>#DIV/0!</v>
          </cell>
        </row>
        <row r="59">
          <cell r="A59">
            <v>40651</v>
          </cell>
          <cell r="B59">
            <v>2097.0799999999954</v>
          </cell>
          <cell r="C59">
            <v>943.70999999999981</v>
          </cell>
          <cell r="D59">
            <v>0.45001144448471297</v>
          </cell>
        </row>
        <row r="60">
          <cell r="A60">
            <v>40675</v>
          </cell>
          <cell r="B60">
            <v>23928.960000000003</v>
          </cell>
          <cell r="C60">
            <v>10768.039999999997</v>
          </cell>
          <cell r="D60">
            <v>0.45000033432292902</v>
          </cell>
        </row>
        <row r="61">
          <cell r="A61">
            <v>40771</v>
          </cell>
          <cell r="B61">
            <v>439.52000000000015</v>
          </cell>
          <cell r="C61">
            <v>219.76000000000008</v>
          </cell>
          <cell r="D61">
            <v>0.5</v>
          </cell>
        </row>
        <row r="62">
          <cell r="A62">
            <v>40953</v>
          </cell>
          <cell r="B62">
            <v>117681.4800000001</v>
          </cell>
          <cell r="C62">
            <v>58840.740000000049</v>
          </cell>
          <cell r="D62">
            <v>0.5</v>
          </cell>
        </row>
        <row r="63">
          <cell r="A63">
            <v>40962</v>
          </cell>
          <cell r="B63">
            <v>17326.599999999995</v>
          </cell>
          <cell r="C63">
            <v>8663.2999999999975</v>
          </cell>
          <cell r="D63">
            <v>0.5</v>
          </cell>
        </row>
        <row r="64">
          <cell r="A64">
            <v>41029</v>
          </cell>
          <cell r="B64">
            <v>327393.0399999998</v>
          </cell>
          <cell r="C64">
            <v>130957.21</v>
          </cell>
          <cell r="D64">
            <v>0.39999998167340417</v>
          </cell>
        </row>
        <row r="65">
          <cell r="A65">
            <v>41051</v>
          </cell>
          <cell r="B65">
            <v>482.15999999999974</v>
          </cell>
          <cell r="C65">
            <v>217.06999999999994</v>
          </cell>
          <cell r="D65">
            <v>0.45020325203252043</v>
          </cell>
        </row>
        <row r="66">
          <cell r="A66">
            <v>41129</v>
          </cell>
          <cell r="B66">
            <v>63235.509999999995</v>
          </cell>
          <cell r="C66">
            <v>18970.68</v>
          </cell>
          <cell r="D66">
            <v>0.30000042697528656</v>
          </cell>
        </row>
        <row r="67">
          <cell r="A67">
            <v>41149</v>
          </cell>
          <cell r="B67">
            <v>11159.02000000001</v>
          </cell>
          <cell r="C67">
            <v>5579.5100000000048</v>
          </cell>
          <cell r="D67">
            <v>0.5</v>
          </cell>
        </row>
        <row r="68">
          <cell r="A68">
            <v>41177</v>
          </cell>
          <cell r="B68">
            <v>835319.42000000039</v>
          </cell>
          <cell r="C68">
            <v>417659.72000000003</v>
          </cell>
          <cell r="D68">
            <v>0.50000001197146815</v>
          </cell>
        </row>
        <row r="69">
          <cell r="A69">
            <v>41181</v>
          </cell>
          <cell r="B69">
            <v>1218772.1000000013</v>
          </cell>
          <cell r="C69">
            <v>609386.08000000019</v>
          </cell>
          <cell r="D69">
            <v>0.50000002461493787</v>
          </cell>
        </row>
        <row r="70">
          <cell r="A70">
            <v>41233</v>
          </cell>
          <cell r="B70">
            <v>8.24</v>
          </cell>
          <cell r="C70">
            <v>4.95</v>
          </cell>
          <cell r="D70">
            <v>0.60072815533980584</v>
          </cell>
        </row>
        <row r="71">
          <cell r="A71">
            <v>41235</v>
          </cell>
          <cell r="B71">
            <v>16749.319999999989</v>
          </cell>
          <cell r="C71">
            <v>10049.609999999997</v>
          </cell>
          <cell r="D71">
            <v>0.60000107467049435</v>
          </cell>
        </row>
        <row r="72">
          <cell r="A72">
            <v>41236</v>
          </cell>
          <cell r="B72">
            <v>0</v>
          </cell>
          <cell r="C72">
            <v>0</v>
          </cell>
          <cell r="D72" t="e">
            <v>#DIV/0!</v>
          </cell>
        </row>
        <row r="73">
          <cell r="A73">
            <v>41247</v>
          </cell>
          <cell r="B73">
            <v>2263.9400000000005</v>
          </cell>
          <cell r="C73">
            <v>1018.7599999999996</v>
          </cell>
          <cell r="D73">
            <v>0.44999425779835128</v>
          </cell>
        </row>
        <row r="74">
          <cell r="A74">
            <v>41329</v>
          </cell>
          <cell r="B74">
            <v>894217.15999999968</v>
          </cell>
          <cell r="C74">
            <v>402397.67999999993</v>
          </cell>
          <cell r="D74">
            <v>0.44999995303154333</v>
          </cell>
        </row>
        <row r="75">
          <cell r="A75">
            <v>41529</v>
          </cell>
          <cell r="B75">
            <v>2088.8399999999979</v>
          </cell>
          <cell r="C75">
            <v>940.03999999999974</v>
          </cell>
          <cell r="D75">
            <v>0.45002968154573864</v>
          </cell>
        </row>
        <row r="76">
          <cell r="A76">
            <v>41589</v>
          </cell>
          <cell r="B76">
            <v>988.9199999999995</v>
          </cell>
          <cell r="C76">
            <v>395.53999999999979</v>
          </cell>
          <cell r="D76">
            <v>0.39997168628402702</v>
          </cell>
        </row>
        <row r="77">
          <cell r="A77">
            <v>41633</v>
          </cell>
          <cell r="B77">
            <v>1492.0100000000011</v>
          </cell>
          <cell r="C77">
            <v>522.42999999999984</v>
          </cell>
          <cell r="D77">
            <v>0.35015180863399004</v>
          </cell>
        </row>
        <row r="78">
          <cell r="A78">
            <v>41636</v>
          </cell>
          <cell r="B78">
            <v>4772.0399999999918</v>
          </cell>
          <cell r="C78">
            <v>1670.4099999999996</v>
          </cell>
          <cell r="D78">
            <v>0.35004107258111888</v>
          </cell>
        </row>
        <row r="79">
          <cell r="A79">
            <v>41638</v>
          </cell>
          <cell r="B79">
            <v>729.56000000000029</v>
          </cell>
          <cell r="C79">
            <v>182.57999999999998</v>
          </cell>
          <cell r="D79">
            <v>0.25026043094467887</v>
          </cell>
        </row>
        <row r="80">
          <cell r="A80">
            <v>41644</v>
          </cell>
          <cell r="B80">
            <v>6727.9599999999946</v>
          </cell>
          <cell r="C80">
            <v>2691.2000000000025</v>
          </cell>
          <cell r="D80">
            <v>0.40000237813542361</v>
          </cell>
        </row>
        <row r="81">
          <cell r="A81">
            <v>41650</v>
          </cell>
          <cell r="B81">
            <v>4985.1999999999935</v>
          </cell>
          <cell r="C81">
            <v>1744.6800000000035</v>
          </cell>
          <cell r="D81">
            <v>0.34997191687394802</v>
          </cell>
        </row>
        <row r="82">
          <cell r="A82">
            <v>41652</v>
          </cell>
          <cell r="B82">
            <v>2537.9199999999992</v>
          </cell>
          <cell r="C82">
            <v>1015.23</v>
          </cell>
          <cell r="D82">
            <v>0.40002442945404126</v>
          </cell>
        </row>
        <row r="83">
          <cell r="A83">
            <v>41675</v>
          </cell>
          <cell r="B83">
            <v>316.94000000000028</v>
          </cell>
          <cell r="C83">
            <v>95.130000000000109</v>
          </cell>
          <cell r="D83">
            <v>0.3001514482236386</v>
          </cell>
        </row>
        <row r="84">
          <cell r="A84">
            <v>41794</v>
          </cell>
          <cell r="B84">
            <v>859.35999999999922</v>
          </cell>
          <cell r="C84">
            <v>343.96999999999986</v>
          </cell>
          <cell r="D84">
            <v>0.40026298640849023</v>
          </cell>
        </row>
        <row r="85">
          <cell r="A85">
            <v>41798</v>
          </cell>
          <cell r="B85">
            <v>1861.4000000000005</v>
          </cell>
          <cell r="C85">
            <v>651.59</v>
          </cell>
          <cell r="D85">
            <v>0.3500537230041903</v>
          </cell>
        </row>
        <row r="86">
          <cell r="A86">
            <v>41802</v>
          </cell>
          <cell r="B86">
            <v>347.6799999999995</v>
          </cell>
          <cell r="C86">
            <v>139.26999999999992</v>
          </cell>
          <cell r="D86">
            <v>0.40056948918545826</v>
          </cell>
        </row>
        <row r="87">
          <cell r="A87">
            <v>41804</v>
          </cell>
          <cell r="B87">
            <v>1118.9100000000017</v>
          </cell>
          <cell r="C87">
            <v>447.64999999999975</v>
          </cell>
          <cell r="D87">
            <v>0.40007686051603708</v>
          </cell>
        </row>
        <row r="88">
          <cell r="A88">
            <v>41809</v>
          </cell>
          <cell r="B88">
            <v>3075.1499999999965</v>
          </cell>
          <cell r="C88">
            <v>1230.2000000000003</v>
          </cell>
          <cell r="D88">
            <v>0.40004552623449319</v>
          </cell>
        </row>
        <row r="89">
          <cell r="A89">
            <v>41909</v>
          </cell>
          <cell r="B89">
            <v>68773.100000000035</v>
          </cell>
          <cell r="C89">
            <v>30947.920000000006</v>
          </cell>
          <cell r="D89">
            <v>0.45000036351422273</v>
          </cell>
        </row>
        <row r="90">
          <cell r="A90">
            <v>41949</v>
          </cell>
          <cell r="B90">
            <v>1634481.4000000006</v>
          </cell>
          <cell r="C90">
            <v>735516.58000000042</v>
          </cell>
          <cell r="D90">
            <v>0.44999996940925735</v>
          </cell>
        </row>
        <row r="91">
          <cell r="A91">
            <v>42049</v>
          </cell>
          <cell r="B91">
            <v>528000.72999999975</v>
          </cell>
          <cell r="C91">
            <v>290400.3499999998</v>
          </cell>
          <cell r="D91">
            <v>0.54999990246225594</v>
          </cell>
        </row>
        <row r="92">
          <cell r="A92">
            <v>42069</v>
          </cell>
          <cell r="B92">
            <v>1367.1300000000024</v>
          </cell>
          <cell r="C92">
            <v>615.3599999999999</v>
          </cell>
          <cell r="D92">
            <v>0.45011081608917869</v>
          </cell>
        </row>
        <row r="93">
          <cell r="A93">
            <v>42071</v>
          </cell>
          <cell r="B93">
            <v>418319.8899999999</v>
          </cell>
          <cell r="C93">
            <v>209159.94000000009</v>
          </cell>
          <cell r="D93">
            <v>0.49999998804742501</v>
          </cell>
        </row>
        <row r="94">
          <cell r="A94">
            <v>42073</v>
          </cell>
          <cell r="B94">
            <v>702.47000000000094</v>
          </cell>
          <cell r="C94">
            <v>281.1400000000001</v>
          </cell>
          <cell r="D94">
            <v>0.40021637934716037</v>
          </cell>
        </row>
        <row r="95">
          <cell r="A95">
            <v>42076</v>
          </cell>
          <cell r="B95">
            <v>36539.199999999975</v>
          </cell>
          <cell r="C95">
            <v>16442.620000000006</v>
          </cell>
          <cell r="D95">
            <v>0.4499994526426418</v>
          </cell>
        </row>
        <row r="96">
          <cell r="A96">
            <v>42078</v>
          </cell>
          <cell r="B96">
            <v>290.27999999999952</v>
          </cell>
          <cell r="C96">
            <v>101.38999999999989</v>
          </cell>
          <cell r="D96">
            <v>0.34928345046162346</v>
          </cell>
        </row>
        <row r="97">
          <cell r="A97">
            <v>42339</v>
          </cell>
          <cell r="B97">
            <v>95656.100000000035</v>
          </cell>
          <cell r="C97">
            <v>47828.050000000017</v>
          </cell>
          <cell r="D97">
            <v>0.5</v>
          </cell>
        </row>
        <row r="98">
          <cell r="A98">
            <v>42341</v>
          </cell>
          <cell r="B98">
            <v>247.20000000000022</v>
          </cell>
          <cell r="C98">
            <v>98.569999999999879</v>
          </cell>
          <cell r="D98">
            <v>0.3987459546925558</v>
          </cell>
        </row>
        <row r="99">
          <cell r="A99">
            <v>42689</v>
          </cell>
          <cell r="B99">
            <v>399957.24000000011</v>
          </cell>
          <cell r="C99">
            <v>199978.62000000005</v>
          </cell>
          <cell r="D99">
            <v>0.5</v>
          </cell>
        </row>
        <row r="100">
          <cell r="A100">
            <v>42709</v>
          </cell>
          <cell r="B100">
            <v>1569.7199999999991</v>
          </cell>
          <cell r="C100">
            <v>627.78</v>
          </cell>
          <cell r="D100">
            <v>0.39993119792064846</v>
          </cell>
        </row>
        <row r="101">
          <cell r="A101">
            <v>42911</v>
          </cell>
          <cell r="B101">
            <v>133258.20000000007</v>
          </cell>
          <cell r="C101">
            <v>66629.100000000035</v>
          </cell>
          <cell r="D101">
            <v>0.5</v>
          </cell>
        </row>
        <row r="102">
          <cell r="A102">
            <v>43349</v>
          </cell>
          <cell r="B102">
            <v>1990.9600000000025</v>
          </cell>
          <cell r="C102">
            <v>796.5799999999997</v>
          </cell>
          <cell r="D102">
            <v>0.40009844497126951</v>
          </cell>
        </row>
        <row r="103">
          <cell r="A103">
            <v>43551</v>
          </cell>
          <cell r="B103">
            <v>217001.52000000008</v>
          </cell>
          <cell r="C103">
            <v>108500.76000000004</v>
          </cell>
          <cell r="D103">
            <v>0.5</v>
          </cell>
        </row>
        <row r="104">
          <cell r="A104">
            <v>43553</v>
          </cell>
          <cell r="B104">
            <v>0</v>
          </cell>
          <cell r="C104">
            <v>0</v>
          </cell>
          <cell r="D104" t="e">
            <v>#DIV/0!</v>
          </cell>
        </row>
        <row r="105">
          <cell r="A105">
            <v>43571</v>
          </cell>
          <cell r="B105">
            <v>2268.0599999999981</v>
          </cell>
          <cell r="C105">
            <v>1134.0299999999991</v>
          </cell>
          <cell r="D105">
            <v>0.5</v>
          </cell>
        </row>
        <row r="106">
          <cell r="A106">
            <v>43575</v>
          </cell>
          <cell r="B106">
            <v>346.08000000000027</v>
          </cell>
          <cell r="C106">
            <v>138.25999999999988</v>
          </cell>
          <cell r="D106">
            <v>0.39950300508552872</v>
          </cell>
        </row>
        <row r="107">
          <cell r="A107">
            <v>43609</v>
          </cell>
          <cell r="B107">
            <v>902073.63999999978</v>
          </cell>
          <cell r="C107">
            <v>541244.02999999991</v>
          </cell>
          <cell r="D107">
            <v>0.59999982928223028</v>
          </cell>
        </row>
        <row r="108">
          <cell r="A108">
            <v>43611</v>
          </cell>
          <cell r="B108">
            <v>1884.6100000000006</v>
          </cell>
          <cell r="C108">
            <v>753.91</v>
          </cell>
          <cell r="D108">
            <v>0.40003502050822171</v>
          </cell>
        </row>
        <row r="109">
          <cell r="A109">
            <v>43613</v>
          </cell>
          <cell r="B109">
            <v>407848.87000000017</v>
          </cell>
          <cell r="C109">
            <v>244709.31000000006</v>
          </cell>
          <cell r="D109">
            <v>0.59999997057733656</v>
          </cell>
        </row>
        <row r="110">
          <cell r="A110">
            <v>43615</v>
          </cell>
          <cell r="B110">
            <v>661.96000000000049</v>
          </cell>
          <cell r="C110">
            <v>264.89</v>
          </cell>
          <cell r="D110">
            <v>0.40016013052148136</v>
          </cell>
        </row>
        <row r="111">
          <cell r="A111">
            <v>43617</v>
          </cell>
          <cell r="B111">
            <v>884635.43999999913</v>
          </cell>
          <cell r="C111">
            <v>530781.18000000052</v>
          </cell>
          <cell r="D111">
            <v>0.59999990504563216</v>
          </cell>
        </row>
        <row r="112">
          <cell r="A112">
            <v>43619</v>
          </cell>
          <cell r="B112">
            <v>745.94000000000074</v>
          </cell>
          <cell r="C112">
            <v>298.40999999999985</v>
          </cell>
          <cell r="D112">
            <v>0.40004558007346375</v>
          </cell>
        </row>
        <row r="113">
          <cell r="A113">
            <v>43869</v>
          </cell>
          <cell r="B113">
            <v>3943.0300000000025</v>
          </cell>
          <cell r="C113">
            <v>1971.9499999999998</v>
          </cell>
          <cell r="D113">
            <v>0.50011032125040855</v>
          </cell>
        </row>
        <row r="114">
          <cell r="A114">
            <v>44009</v>
          </cell>
          <cell r="B114">
            <v>201949.6</v>
          </cell>
          <cell r="C114">
            <v>121169.81000000007</v>
          </cell>
          <cell r="D114">
            <v>0.60000024758652692</v>
          </cell>
        </row>
        <row r="115">
          <cell r="A115">
            <v>44051</v>
          </cell>
          <cell r="B115">
            <v>38087.400000000038</v>
          </cell>
          <cell r="C115">
            <v>19043.909999999963</v>
          </cell>
          <cell r="D115">
            <v>0.5000055136344288</v>
          </cell>
        </row>
        <row r="116">
          <cell r="A116">
            <v>44169</v>
          </cell>
          <cell r="B116">
            <v>367.35999999999933</v>
          </cell>
          <cell r="C116">
            <v>202.03000000000031</v>
          </cell>
          <cell r="D116">
            <v>0.54995100174216216</v>
          </cell>
        </row>
        <row r="117">
          <cell r="A117">
            <v>44409</v>
          </cell>
          <cell r="B117">
            <v>776969.44000000029</v>
          </cell>
          <cell r="C117">
            <v>310787.74000000011</v>
          </cell>
          <cell r="D117">
            <v>0.39999995366613134</v>
          </cell>
        </row>
        <row r="118">
          <cell r="A118">
            <v>44509</v>
          </cell>
          <cell r="B118">
            <v>10656.72</v>
          </cell>
          <cell r="C118">
            <v>5328.36</v>
          </cell>
          <cell r="D118">
            <v>0.5</v>
          </cell>
        </row>
        <row r="119">
          <cell r="A119">
            <v>44613</v>
          </cell>
          <cell r="B119">
            <v>143129.36000000007</v>
          </cell>
          <cell r="C119">
            <v>85877.730000000025</v>
          </cell>
          <cell r="D119">
            <v>0.60000079648228699</v>
          </cell>
        </row>
        <row r="120">
          <cell r="A120">
            <v>44618</v>
          </cell>
          <cell r="B120">
            <v>95079.599999999919</v>
          </cell>
          <cell r="C120">
            <v>57047.759999999958</v>
          </cell>
          <cell r="D120">
            <v>0.60000000000000009</v>
          </cell>
        </row>
        <row r="121">
          <cell r="A121">
            <v>44620</v>
          </cell>
          <cell r="B121">
            <v>0</v>
          </cell>
          <cell r="C121">
            <v>0</v>
          </cell>
          <cell r="D121" t="e">
            <v>#DIV/0!</v>
          </cell>
        </row>
        <row r="122">
          <cell r="A122">
            <v>44629</v>
          </cell>
          <cell r="B122">
            <v>307652.52</v>
          </cell>
          <cell r="C122">
            <v>184591.58000000005</v>
          </cell>
          <cell r="D122">
            <v>0.6000002210285813</v>
          </cell>
        </row>
        <row r="123">
          <cell r="A123">
            <v>44649</v>
          </cell>
          <cell r="B123">
            <v>127154.12000000001</v>
          </cell>
          <cell r="C123">
            <v>76292.450000000041</v>
          </cell>
          <cell r="D123">
            <v>0.59999982698161913</v>
          </cell>
        </row>
        <row r="124">
          <cell r="A124">
            <v>44889</v>
          </cell>
          <cell r="B124">
            <v>158.55999999999997</v>
          </cell>
          <cell r="C124">
            <v>95.190000000000026</v>
          </cell>
          <cell r="D124">
            <v>0.60034056508577216</v>
          </cell>
        </row>
        <row r="125">
          <cell r="A125">
            <v>44950</v>
          </cell>
          <cell r="B125">
            <v>2323.56</v>
          </cell>
          <cell r="C125">
            <v>1394.2200000000009</v>
          </cell>
          <cell r="D125">
            <v>0.60003615142281708</v>
          </cell>
        </row>
        <row r="126">
          <cell r="A126">
            <v>45009</v>
          </cell>
          <cell r="B126">
            <v>0</v>
          </cell>
          <cell r="C126">
            <v>0</v>
          </cell>
          <cell r="D126" t="e">
            <v>#DIV/0!</v>
          </cell>
        </row>
        <row r="127">
          <cell r="A127">
            <v>45169</v>
          </cell>
          <cell r="B127">
            <v>528578.17999999982</v>
          </cell>
          <cell r="C127">
            <v>211431.35000000006</v>
          </cell>
          <cell r="D127">
            <v>0.40000014756568297</v>
          </cell>
        </row>
        <row r="128">
          <cell r="A128">
            <v>45229</v>
          </cell>
          <cell r="B128">
            <v>791189.76999999967</v>
          </cell>
          <cell r="C128">
            <v>696246.95000000007</v>
          </cell>
          <cell r="D128">
            <v>0.87999993983744296</v>
          </cell>
        </row>
        <row r="129">
          <cell r="A129">
            <v>45231</v>
          </cell>
          <cell r="B129">
            <v>0</v>
          </cell>
          <cell r="C129">
            <v>0</v>
          </cell>
          <cell r="D129" t="e">
            <v>#DIV/0!</v>
          </cell>
        </row>
        <row r="130">
          <cell r="A130">
            <v>45300</v>
          </cell>
          <cell r="B130">
            <v>99763.119999999981</v>
          </cell>
          <cell r="C130">
            <v>59857.989999999991</v>
          </cell>
          <cell r="D130">
            <v>0.60000118280182102</v>
          </cell>
        </row>
        <row r="131">
          <cell r="A131">
            <v>45309</v>
          </cell>
          <cell r="B131">
            <v>198.71999999999997</v>
          </cell>
          <cell r="C131">
            <v>168.88000000000002</v>
          </cell>
          <cell r="D131">
            <v>0.84983896940418702</v>
          </cell>
        </row>
        <row r="132">
          <cell r="A132">
            <v>45329</v>
          </cell>
          <cell r="B132">
            <v>37847.650000000009</v>
          </cell>
          <cell r="C132">
            <v>18924.199999999986</v>
          </cell>
          <cell r="D132">
            <v>0.50000990814489099</v>
          </cell>
        </row>
        <row r="133">
          <cell r="A133">
            <v>45333</v>
          </cell>
          <cell r="B133">
            <v>72273.630000000019</v>
          </cell>
          <cell r="C133">
            <v>28909.440000000006</v>
          </cell>
          <cell r="D133">
            <v>0.39999983396433803</v>
          </cell>
        </row>
        <row r="134">
          <cell r="A134">
            <v>45335</v>
          </cell>
          <cell r="B134">
            <v>872692.3699999993</v>
          </cell>
          <cell r="C134">
            <v>436346.28999999951</v>
          </cell>
          <cell r="D134">
            <v>0.50000012031731167</v>
          </cell>
        </row>
        <row r="135">
          <cell r="A135">
            <v>45337</v>
          </cell>
          <cell r="B135">
            <v>55789.950000000004</v>
          </cell>
          <cell r="C135">
            <v>27895.220000000005</v>
          </cell>
          <cell r="D135">
            <v>0.50000439147194076</v>
          </cell>
        </row>
        <row r="136">
          <cell r="A136">
            <v>45339</v>
          </cell>
          <cell r="B136">
            <v>69942.729999999981</v>
          </cell>
          <cell r="C136">
            <v>34971.539999999994</v>
          </cell>
          <cell r="D136">
            <v>0.50000250204703189</v>
          </cell>
        </row>
        <row r="137">
          <cell r="A137">
            <v>45341</v>
          </cell>
          <cell r="B137">
            <v>516.23000000000116</v>
          </cell>
          <cell r="C137">
            <v>206.28999999999968</v>
          </cell>
          <cell r="D137">
            <v>0.39960870154775818</v>
          </cell>
        </row>
        <row r="138">
          <cell r="A138">
            <v>45343</v>
          </cell>
          <cell r="B138">
            <v>439055.52000000019</v>
          </cell>
          <cell r="C138">
            <v>219527.67000000022</v>
          </cell>
          <cell r="D138">
            <v>0.49999979501453512</v>
          </cell>
        </row>
        <row r="139">
          <cell r="A139">
            <v>45345</v>
          </cell>
          <cell r="B139">
            <v>12210.700000000003</v>
          </cell>
          <cell r="C139">
            <v>6105.4300000000012</v>
          </cell>
          <cell r="D139">
            <v>0.50000655163094665</v>
          </cell>
        </row>
        <row r="140">
          <cell r="A140">
            <v>45347</v>
          </cell>
          <cell r="B140">
            <v>304053.19999999995</v>
          </cell>
          <cell r="C140">
            <v>152026.59</v>
          </cell>
          <cell r="D140">
            <v>0.49999996711101879</v>
          </cell>
        </row>
        <row r="141">
          <cell r="A141">
            <v>45349</v>
          </cell>
          <cell r="B141">
            <v>85950.29999999993</v>
          </cell>
          <cell r="C141">
            <v>42975.19999999999</v>
          </cell>
          <cell r="D141">
            <v>0.50000058173153583</v>
          </cell>
        </row>
        <row r="142">
          <cell r="A142">
            <v>45351</v>
          </cell>
          <cell r="B142">
            <v>432387.70999999996</v>
          </cell>
          <cell r="C142">
            <v>216193.92999999979</v>
          </cell>
          <cell r="D142">
            <v>0.50000017345543846</v>
          </cell>
        </row>
        <row r="143">
          <cell r="A143">
            <v>45353</v>
          </cell>
          <cell r="B143">
            <v>1762.9299999999992</v>
          </cell>
          <cell r="C143">
            <v>705.06999999999937</v>
          </cell>
          <cell r="D143">
            <v>0.39994214177533977</v>
          </cell>
        </row>
        <row r="144">
          <cell r="A144">
            <v>45355</v>
          </cell>
          <cell r="B144">
            <v>6640.9200000000037</v>
          </cell>
          <cell r="C144">
            <v>3984.5600000000081</v>
          </cell>
          <cell r="D144">
            <v>0.60000120465236828</v>
          </cell>
        </row>
        <row r="145">
          <cell r="A145">
            <v>45357</v>
          </cell>
          <cell r="B145">
            <v>4.29</v>
          </cell>
          <cell r="C145">
            <v>2.16</v>
          </cell>
          <cell r="D145">
            <v>0.50349650349650354</v>
          </cell>
        </row>
        <row r="146">
          <cell r="A146">
            <v>45359</v>
          </cell>
          <cell r="B146">
            <v>1021.0199999999996</v>
          </cell>
          <cell r="C146">
            <v>510.86999999999989</v>
          </cell>
          <cell r="D146">
            <v>0.50035258858788279</v>
          </cell>
        </row>
        <row r="147">
          <cell r="A147">
            <v>45371</v>
          </cell>
          <cell r="B147">
            <v>1102.2000000000007</v>
          </cell>
          <cell r="C147">
            <v>859.849999999999</v>
          </cell>
          <cell r="D147">
            <v>0.78012157503175328</v>
          </cell>
        </row>
        <row r="148">
          <cell r="A148">
            <v>45433</v>
          </cell>
          <cell r="B148">
            <v>59.400000000000006</v>
          </cell>
          <cell r="C148">
            <v>50.49</v>
          </cell>
          <cell r="D148">
            <v>0.85</v>
          </cell>
        </row>
        <row r="149">
          <cell r="A149">
            <v>45489</v>
          </cell>
          <cell r="B149">
            <v>41551.379999999983</v>
          </cell>
          <cell r="C149">
            <v>26800.559999999932</v>
          </cell>
          <cell r="D149">
            <v>0.64499807226619055</v>
          </cell>
        </row>
        <row r="150">
          <cell r="A150">
            <v>45589</v>
          </cell>
          <cell r="B150">
            <v>796933.06000000122</v>
          </cell>
          <cell r="C150">
            <v>637546.43999999925</v>
          </cell>
          <cell r="D150">
            <v>0.79999998996151356</v>
          </cell>
        </row>
        <row r="151">
          <cell r="A151">
            <v>45629</v>
          </cell>
          <cell r="B151">
            <v>1768854.2200000002</v>
          </cell>
          <cell r="C151">
            <v>1468148.9999999986</v>
          </cell>
          <cell r="D151">
            <v>0.82999999853012107</v>
          </cell>
        </row>
        <row r="152">
          <cell r="A152">
            <v>45631</v>
          </cell>
          <cell r="B152">
            <v>0</v>
          </cell>
          <cell r="C152">
            <v>0</v>
          </cell>
          <cell r="D152" t="e">
            <v>#DIV/0!</v>
          </cell>
        </row>
        <row r="153">
          <cell r="A153">
            <v>45633</v>
          </cell>
          <cell r="B153">
            <v>15456.000000000007</v>
          </cell>
          <cell r="C153">
            <v>12828.380000000001</v>
          </cell>
          <cell r="D153">
            <v>0.82999353002070364</v>
          </cell>
        </row>
        <row r="154">
          <cell r="A154">
            <v>45635</v>
          </cell>
          <cell r="B154">
            <v>0</v>
          </cell>
          <cell r="C154">
            <v>0</v>
          </cell>
          <cell r="D154" t="e">
            <v>#DIV/0!</v>
          </cell>
        </row>
        <row r="155">
          <cell r="A155">
            <v>45637</v>
          </cell>
          <cell r="B155">
            <v>11626.64000000001</v>
          </cell>
          <cell r="C155">
            <v>9649.94</v>
          </cell>
          <cell r="D155">
            <v>0.82998527519558463</v>
          </cell>
        </row>
        <row r="156">
          <cell r="A156">
            <v>45639</v>
          </cell>
          <cell r="B156">
            <v>0</v>
          </cell>
          <cell r="C156">
            <v>0</v>
          </cell>
          <cell r="D156" t="e">
            <v>#DIV/0!</v>
          </cell>
        </row>
        <row r="157">
          <cell r="A157">
            <v>45649</v>
          </cell>
          <cell r="B157">
            <v>17.279999999999998</v>
          </cell>
          <cell r="C157">
            <v>13.8</v>
          </cell>
          <cell r="D157">
            <v>0.79861111111111127</v>
          </cell>
        </row>
        <row r="158">
          <cell r="A158">
            <v>45749</v>
          </cell>
          <cell r="B158">
            <v>8819.4100000000162</v>
          </cell>
          <cell r="C158">
            <v>6173.4899999999934</v>
          </cell>
          <cell r="D158">
            <v>0.69998900153184651</v>
          </cell>
        </row>
        <row r="159">
          <cell r="A159">
            <v>45789</v>
          </cell>
          <cell r="B159">
            <v>6625.5999999999976</v>
          </cell>
          <cell r="C159">
            <v>5565.4499999999989</v>
          </cell>
          <cell r="D159">
            <v>0.83999184979473573</v>
          </cell>
        </row>
        <row r="160">
          <cell r="A160">
            <v>45829</v>
          </cell>
          <cell r="B160">
            <v>27110.159999999982</v>
          </cell>
          <cell r="C160">
            <v>16266.070000000023</v>
          </cell>
          <cell r="D160">
            <v>0.59999904094996248</v>
          </cell>
        </row>
        <row r="161">
          <cell r="A161">
            <v>45849</v>
          </cell>
          <cell r="B161">
            <v>123475.10000000008</v>
          </cell>
          <cell r="C161">
            <v>92606.41000000012</v>
          </cell>
          <cell r="D161">
            <v>0.75000068839790424</v>
          </cell>
        </row>
        <row r="162">
          <cell r="A162">
            <v>45889</v>
          </cell>
          <cell r="B162">
            <v>54552.960000000065</v>
          </cell>
          <cell r="C162">
            <v>43642.409999999967</v>
          </cell>
          <cell r="D162">
            <v>0.80000076989406099</v>
          </cell>
        </row>
        <row r="163">
          <cell r="A163">
            <v>46069</v>
          </cell>
          <cell r="B163">
            <v>1202.850000000001</v>
          </cell>
          <cell r="C163">
            <v>601.76000000000045</v>
          </cell>
          <cell r="D163">
            <v>0.50027850521677675</v>
          </cell>
        </row>
        <row r="164">
          <cell r="A164">
            <v>46071</v>
          </cell>
          <cell r="B164">
            <v>32518.199999999993</v>
          </cell>
          <cell r="C164">
            <v>25364.150000000012</v>
          </cell>
          <cell r="D164">
            <v>0.77999858540755695</v>
          </cell>
        </row>
        <row r="165">
          <cell r="A165">
            <v>46109</v>
          </cell>
          <cell r="B165">
            <v>196535.12000000002</v>
          </cell>
          <cell r="C165">
            <v>163124.05999999985</v>
          </cell>
          <cell r="D165">
            <v>0.82999954410183707</v>
          </cell>
        </row>
        <row r="166">
          <cell r="A166">
            <v>46173</v>
          </cell>
          <cell r="B166">
            <v>0</v>
          </cell>
          <cell r="C166">
            <v>0</v>
          </cell>
          <cell r="D166" t="e">
            <v>#DIV/0!</v>
          </cell>
        </row>
        <row r="167">
          <cell r="A167">
            <v>46189</v>
          </cell>
          <cell r="B167">
            <v>74468.160000000033</v>
          </cell>
          <cell r="C167">
            <v>55851.19999999999</v>
          </cell>
          <cell r="D167">
            <v>0.75000107428463336</v>
          </cell>
        </row>
        <row r="168">
          <cell r="A168">
            <v>46191</v>
          </cell>
          <cell r="B168">
            <v>0</v>
          </cell>
          <cell r="C168">
            <v>0</v>
          </cell>
          <cell r="D168" t="e">
            <v>#DIV/0!</v>
          </cell>
        </row>
        <row r="169">
          <cell r="A169">
            <v>46231</v>
          </cell>
          <cell r="B169">
            <v>0</v>
          </cell>
          <cell r="C169">
            <v>0</v>
          </cell>
          <cell r="D169" t="e">
            <v>#DIV/0!</v>
          </cell>
        </row>
        <row r="170">
          <cell r="A170">
            <v>46269</v>
          </cell>
          <cell r="B170">
            <v>1583.7199999999998</v>
          </cell>
          <cell r="C170">
            <v>1266.9299999999992</v>
          </cell>
          <cell r="D170">
            <v>0.79997095446164679</v>
          </cell>
        </row>
        <row r="171">
          <cell r="A171">
            <v>46271</v>
          </cell>
          <cell r="B171">
            <v>3.28</v>
          </cell>
          <cell r="C171">
            <v>2.64</v>
          </cell>
          <cell r="D171">
            <v>0.80487804878048785</v>
          </cell>
        </row>
        <row r="172">
          <cell r="A172">
            <v>46273</v>
          </cell>
          <cell r="B172">
            <v>2.4700000000000002</v>
          </cell>
          <cell r="C172">
            <v>1.98</v>
          </cell>
          <cell r="D172">
            <v>0.80161943319838047</v>
          </cell>
        </row>
        <row r="173">
          <cell r="A173">
            <v>46349</v>
          </cell>
          <cell r="B173">
            <v>0</v>
          </cell>
          <cell r="C173">
            <v>0</v>
          </cell>
          <cell r="D173" t="e">
            <v>#DIV/0!</v>
          </cell>
        </row>
        <row r="174">
          <cell r="A174">
            <v>46369</v>
          </cell>
          <cell r="B174">
            <v>21434.80000000001</v>
          </cell>
          <cell r="C174">
            <v>12860.750000000005</v>
          </cell>
          <cell r="D174">
            <v>0.59999393509619869</v>
          </cell>
        </row>
        <row r="175">
          <cell r="A175">
            <v>46389</v>
          </cell>
          <cell r="B175">
            <v>35.099999999999994</v>
          </cell>
          <cell r="C175">
            <v>26.349999999999998</v>
          </cell>
          <cell r="D175">
            <v>0.75071225071225078</v>
          </cell>
        </row>
        <row r="176">
          <cell r="A176">
            <v>46449</v>
          </cell>
          <cell r="B176">
            <v>5992.8000000000029</v>
          </cell>
          <cell r="C176">
            <v>3595.6800000000017</v>
          </cell>
          <cell r="D176">
            <v>0.6</v>
          </cell>
        </row>
        <row r="177">
          <cell r="A177">
            <v>46469</v>
          </cell>
          <cell r="B177">
            <v>1104.2999999999997</v>
          </cell>
          <cell r="C177">
            <v>839.31000000000017</v>
          </cell>
          <cell r="D177">
            <v>0.76003803314316798</v>
          </cell>
        </row>
        <row r="178">
          <cell r="A178">
            <v>46471</v>
          </cell>
          <cell r="B178">
            <v>-65.2</v>
          </cell>
          <cell r="C178">
            <v>-58.67</v>
          </cell>
          <cell r="D178">
            <v>0.89984662576687113</v>
          </cell>
        </row>
        <row r="179">
          <cell r="A179" t="str">
            <v>Grand Total</v>
          </cell>
          <cell r="B179">
            <v>21134537.680000011</v>
          </cell>
          <cell r="C179">
            <v>11634576.73</v>
          </cell>
          <cell r="D179">
            <v>0.550500649986297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ernan" refreshedDate="43770.51825601852" backgroundQuery="1" createdVersion="6" refreshedVersion="6" minRefreshableVersion="3" recordCount="0" supportSubquery="1" supportAdvancedDrill="1" xr:uid="{00000000-000A-0000-FFFF-FFFF00000000}">
  <cacheSource type="external" connectionId="1"/>
  <cacheFields count="3">
    <cacheField name="[Tabla1].[FUNNEL CAT].[FUNNEL CAT]" caption="FUNNEL CAT" numFmtId="0" hierarchy="31" level="1">
      <sharedItems count="13">
        <s v="Beauty and Health"/>
        <s v="Chats"/>
        <s v="Free Time"/>
        <s v="Games"/>
        <s v="Humor"/>
        <s v="Images"/>
        <s v="Light"/>
        <s v="More Fun"/>
        <s v="Music"/>
        <s v="News &amp; Sports"/>
        <s v="Nubico"/>
        <s v="Video"/>
        <s v="Woman &amp; Kids"/>
      </sharedItems>
    </cacheField>
    <cacheField name="[Tabla1].[TME Category].[TME Category]" caption="TME Category" numFmtId="0" hierarchy="10" level="1">
      <sharedItems count="10">
        <s v="Free Time"/>
        <s v="Kids"/>
        <s v="Games"/>
        <s v="Images"/>
        <s v="Light"/>
        <s v="Music"/>
        <s v="News"/>
        <s v="Nubico"/>
        <s v="Sports"/>
        <s v="Beauty and Health"/>
      </sharedItems>
    </cacheField>
    <cacheField name="[Tabla1].[Old TME Category].[Old TME Category]" caption="Old TME Category" numFmtId="0" hierarchy="9" level="1">
      <sharedItems count="14">
        <s v="Chats"/>
        <s v="Free Time"/>
        <s v="Games"/>
        <s v="Humor"/>
        <s v="Images"/>
        <s v="Kids"/>
        <s v="Light"/>
        <s v="More Fun"/>
        <s v="Music"/>
        <s v="News"/>
        <s v="Nubico"/>
        <s v="Sports"/>
        <s v="Video"/>
        <s v="Women"/>
      </sharedItems>
    </cacheField>
  </cacheFields>
  <cacheHierarchies count="35">
    <cacheHierarchy uniqueName="[Tabla1].[Nº]" caption="Nº" attribute="1" defaultMemberUniqueName="[Tabla1].[Nº].[All]" allUniqueName="[Tabla1].[Nº].[All]" dimensionUniqueName="[Tabla1]" displayFolder="" count="0" memberValueDatatype="20" unbalanced="0"/>
    <cacheHierarchy uniqueName="[Tabla1].[CPC]" caption="CPC" attribute="1" defaultMemberUniqueName="[Tabla1].[CPC].[All]" allUniqueName="[Tabla1].[CPC].[All]" dimensionUniqueName="[Tabla1]" displayFolder="" count="0" memberValueDatatype="20" unbalanced="0"/>
    <cacheHierarchy uniqueName="[Tabla1].[CPC to upgrade]" caption="CPC to upgrade" attribute="1" defaultMemberUniqueName="[Tabla1].[CPC to upgrade].[All]" allUniqueName="[Tabla1].[CPC to upgrade].[All]" dimensionUniqueName="[Tabla1]" displayFolder="" count="0" memberValueDatatype="20" unbalanced="0"/>
    <cacheHierarchy uniqueName="[Tabla1].[APP_ID]" caption="APP_ID" attribute="1" defaultMemberUniqueName="[Tabla1].[APP_ID].[All]" allUniqueName="[Tabla1].[APP_ID].[All]" dimensionUniqueName="[Tabla1]" displayFolder="" count="0" memberValueDatatype="20" unbalanced="0"/>
    <cacheHierarchy uniqueName="[Tabla1].[PACK_ID]" caption="PACK_ID" attribute="1" defaultMemberUniqueName="[Tabla1].[PACK_ID].[All]" allUniqueName="[Tabla1].[PACK_ID].[All]" dimensionUniqueName="[Tabla1]" displayFolder="" count="0" memberValueDatatype="130" unbalanced="0"/>
    <cacheHierarchy uniqueName="[Tabla1].[Service_id]" caption="Service_id" attribute="1" defaultMemberUniqueName="[Tabla1].[Service_id].[All]" allUniqueName="[Tabla1].[Service_id].[All]" dimensionUniqueName="[Tabla1]" displayFolder="" count="0" memberValueDatatype="130" unbalanced="0"/>
    <cacheHierarchy uniqueName="[Tabla1].[Short Description]" caption="Short Description" attribute="1" defaultMemberUniqueName="[Tabla1].[Short Description].[All]" allUniqueName="[Tabla1].[Short Description].[All]" dimensionUniqueName="[Tabla1]" displayFolder="" count="0" memberValueDatatype="130" unbalanced="0"/>
    <cacheHierarchy uniqueName="[Tabla1].[Billing Description]" caption="Billing Description" attribute="1" defaultMemberUniqueName="[Tabla1].[Billing Description].[All]" allUniqueName="[Tabla1].[Billing Description].[All]" dimensionUniqueName="[Tabla1]" displayFolder="" count="0" memberValueDatatype="130" unbalanced="0"/>
    <cacheHierarchy uniqueName="[Tabla1].[Is a CVAS CPC?]" caption="Is a CVAS CPC?" attribute="1" defaultMemberUniqueName="[Tabla1].[Is a CVAS CPC?].[All]" allUniqueName="[Tabla1].[Is a CVAS CPC?].[All]" dimensionUniqueName="[Tabla1]" displayFolder="" count="0" memberValueDatatype="130" unbalanced="0"/>
    <cacheHierarchy uniqueName="[Tabla1].[Old TME Category]" caption="Old TME Category" attribute="1" defaultMemberUniqueName="[Tabla1].[Old TME Category].[All]" allUniqueName="[Tabla1].[Old TME Category].[All]" dimensionUniqueName="[Tabla1]" displayFolder="" count="2" memberValueDatatype="130" unbalanced="0">
      <fieldsUsage count="2">
        <fieldUsage x="-1"/>
        <fieldUsage x="2"/>
      </fieldsUsage>
    </cacheHierarchy>
    <cacheHierarchy uniqueName="[Tabla1].[TME Category]" caption="TME Category" attribute="1" defaultMemberUniqueName="[Tabla1].[TME Category].[All]" allUniqueName="[Tabla1].[TME Category].[All]" dimensionUniqueName="[Tabla1]" displayFolder="" count="2" memberValueDatatype="130" unbalanced="0">
      <fieldsUsage count="2">
        <fieldUsage x="-1"/>
        <fieldUsage x="1"/>
      </fieldsUsage>
    </cacheHierarchy>
    <cacheHierarchy uniqueName="[Tabla1].[TME SubCategory]" caption="TME SubCategory" attribute="1" defaultMemberUniqueName="[Tabla1].[TME SubCategory].[All]" allUniqueName="[Tabla1].[TME SubCategory].[All]" dimensionUniqueName="[Tabla1]" displayFolder="" count="0" memberValueDatatype="130" unbalanced="0"/>
    <cacheHierarchy uniqueName="[Tabla1].[OM Category]" caption="OM Category" attribute="1" defaultMemberUniqueName="[Tabla1].[OM Category].[All]" allUniqueName="[Tabla1].[OM Category].[All]" dimensionUniqueName="[Tabla1]" displayFolder="" count="0" memberValueDatatype="130" unbalanced="0"/>
    <cacheHierarchy uniqueName="[Tabla1].[OM SubCategory]" caption="OM SubCategory" attribute="1" defaultMemberUniqueName="[Tabla1].[OM SubCategory].[All]" allUniqueName="[Tabla1].[OM SubCategory].[All]" dimensionUniqueName="[Tabla1]" displayFolder="" count="0" memberValueDatatype="130" unbalanced="0"/>
    <cacheHierarchy uniqueName="[Tabla1].[Content Provider]" caption="Content Provider" attribute="1" defaultMemberUniqueName="[Tabla1].[Content Provider].[All]" allUniqueName="[Tabla1].[Content Provider].[All]" dimensionUniqueName="[Tabla1]" displayFolder="" count="0" memberValueDatatype="130" unbalanced="0"/>
    <cacheHierarchy uniqueName="[Tabla1].[Estado]" caption="Estado" attribute="1" defaultMemberUniqueName="[Tabla1].[Estado].[All]" allUniqueName="[Tabla1].[Estado].[All]" dimensionUniqueName="[Tabla1]" displayFolder="" count="0" memberValueDatatype="130" unbalanced="0"/>
    <cacheHierarchy uniqueName="[Tabla1].[New Billing OM]" caption="New Billing OM" attribute="1" defaultMemberUniqueName="[Tabla1].[New Billing OM].[All]" allUniqueName="[Tabla1].[New Billing OM].[All]" dimensionUniqueName="[Tabla1]" displayFolder="" count="0" memberValueDatatype="130" unbalanced="0"/>
    <cacheHierarchy uniqueName="[Tabla1].[Code of Content]" caption="Code of Content" attribute="1" defaultMemberUniqueName="[Tabla1].[Code of Content].[All]" allUniqueName="[Tabla1].[Code of Content].[All]" dimensionUniqueName="[Tabla1]" displayFolder="" count="0" memberValueDatatype="20" unbalanced="0"/>
    <cacheHierarchy uniqueName="[Tabla1].[Service Name]" caption="Service Name" attribute="1" defaultMemberUniqueName="[Tabla1].[Service Name].[All]" allUniqueName="[Tabla1].[Service Name].[All]" dimensionUniqueName="[Tabla1]" displayFolder="" count="0" memberValueDatatype="130" unbalanced="0"/>
    <cacheHierarchy uniqueName="[Tabla1].[Description Level of Pricing]" caption="Description Level of Pricing" attribute="1" defaultMemberUniqueName="[Tabla1].[Description Level of Pricing].[All]" allUniqueName="[Tabla1].[Description Level of Pricing].[All]" dimensionUniqueName="[Tabla1]" displayFolder="" count="0" memberValueDatatype="130" unbalanced="0"/>
    <cacheHierarchy uniqueName="[Tabla1].[Cod Level  of  Pricing]" caption="Cod Level  of  Pricing" attribute="1" defaultMemberUniqueName="[Tabla1].[Cod Level  of  Pricing].[All]" allUniqueName="[Tabla1].[Cod Level  of  Pricing].[All]" dimensionUniqueName="[Tabla1]" displayFolder="" count="0" memberValueDatatype="20" unbalanced="0"/>
    <cacheHierarchy uniqueName="[Tabla1].[Subscription Model]" caption="Subscription Model" attribute="1" defaultMemberUniqueName="[Tabla1].[Subscription Model].[All]" allUniqueName="[Tabla1].[Subscription Model].[All]" dimensionUniqueName="[Tabla1]" displayFolder="" count="0" memberValueDatatype="130" unbalanced="0"/>
    <cacheHierarchy uniqueName="[Tabla1].[Cod of Profile]" caption="Cod of Profile" attribute="1" defaultMemberUniqueName="[Tabla1].[Cod of Profile].[All]" allUniqueName="[Tabla1].[Cod of Profile].[All]" dimensionUniqueName="[Tabla1]" displayFolder="" count="0" memberValueDatatype="20" unbalanced="0"/>
    <cacheHierarchy uniqueName="[Tabla1].[Price]" caption="Price" attribute="1" defaultMemberUniqueName="[Tabla1].[Price].[All]" allUniqueName="[Tabla1].[Price].[All]" dimensionUniqueName="[Tabla1]" displayFolder="" count="0" memberValueDatatype="5" unbalanced="0"/>
    <cacheHierarchy uniqueName="[Tabla1].[% Margin CP]" caption="% Margin CP" attribute="1" defaultMemberUniqueName="[Tabla1].[% Margin CP].[All]" allUniqueName="[Tabla1].[% Margin CP].[All]" dimensionUniqueName="[Tabla1]" displayFolder="" count="0" memberValueDatatype="5" unbalanced="0"/>
    <cacheHierarchy uniqueName="[Tabla1].[% Margin TME]" caption="% Margin TME" attribute="1" defaultMemberUniqueName="[Tabla1].[% Margin TME].[All]" allUniqueName="[Tabla1].[% Margin TME].[All]" dimensionUniqueName="[Tabla1]" displayFolder="" count="0" memberValueDatatype="5" unbalanced="0"/>
    <cacheHierarchy uniqueName="[Tabla1].[% Margin Recording Company]" caption="% Margin Recording Company" attribute="1" defaultMemberUniqueName="[Tabla1].[% Margin Recording Company].[All]" allUniqueName="[Tabla1].[% Margin Recording Company].[All]" dimensionUniqueName="[Tabla1]" displayFolder="" count="0" memberValueDatatype="5" unbalanced="0"/>
    <cacheHierarchy uniqueName="[Tabla1].[% Margin SGAE/AIE]" caption="% Margin SGAE/AIE" attribute="1" defaultMemberUniqueName="[Tabla1].[% Margin SGAE/AIE].[All]" allUniqueName="[Tabla1].[% Margin SGAE/AIE].[All]" dimensionUniqueName="[Tabla1]" displayFolder="" count="0" memberValueDatatype="5" unbalanced="0"/>
    <cacheHierarchy uniqueName="[Tabla1].[Recording Company]" caption="Recording Company" attribute="1" defaultMemberUniqueName="[Tabla1].[Recording Company].[All]" allUniqueName="[Tabla1].[Recording Company].[All]" dimensionUniqueName="[Tabla1]" displayFolder="" count="0" memberValueDatatype="130" unbalanced="0"/>
    <cacheHierarchy uniqueName="[Tabla1].[Unique_ID]" caption="Unique_ID" attribute="1" defaultMemberUniqueName="[Tabla1].[Unique_ID].[All]" allUniqueName="[Tabla1].[Unique_ID].[All]" dimensionUniqueName="[Tabla1]" displayFolder="" count="0" memberValueDatatype="130" unbalanced="0"/>
    <cacheHierarchy uniqueName="[Tabla1].[Nº Renewals]" caption="Nº Renewals" attribute="1" defaultMemberUniqueName="[Tabla1].[Nº Renewals].[All]" allUniqueName="[Tabla1].[Nº Renewals].[All]" dimensionUniqueName="[Tabla1]" displayFolder="" count="0" memberValueDatatype="5" unbalanced="0"/>
    <cacheHierarchy uniqueName="[Tabla1].[FUNNEL CAT]" caption="FUNNEL CAT" attribute="1" defaultMemberUniqueName="[Tabla1].[FUNNEL CAT].[All]" allUniqueName="[Tabla1].[FUNNEL CAT].[All]" dimensionUniqueName="[Tabla1]" displayFolder="" count="2" memberValueDatatype="130" unbalanced="0">
      <fieldsUsage count="2">
        <fieldUsage x="-1"/>
        <fieldUsage x="0"/>
      </fieldsUsage>
    </cacheHierarchy>
    <cacheHierarchy uniqueName="[Tabla1].[CP Servicio]" caption="CP Servicio" attribute="1" defaultMemberUniqueName="[Tabla1].[CP Servicio].[All]" allUniqueName="[Tabla1].[CP Servicio].[All]" dimensionUniqueName="[Tabla1]" displayFolder="" count="0" memberValueDatatype="130" unbalanced="0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ernan" refreshedDate="43770.518257407406" backgroundQuery="1" createdVersion="6" refreshedVersion="6" minRefreshableVersion="3" recordCount="0" supportSubquery="1" supportAdvancedDrill="1" xr:uid="{00000000-000A-0000-FFFF-FFFF01000000}">
  <cacheSource type="external" connectionId="1"/>
  <cacheFields count="3">
    <cacheField name="[Tabla1].[FUNNEL CAT].[FUNNEL CAT]" caption="FUNNEL CAT" numFmtId="0" hierarchy="31" level="1">
      <sharedItems count="13">
        <s v="Beauty and Health"/>
        <s v="Chats"/>
        <s v="Free Time"/>
        <s v="Games"/>
        <s v="Humor"/>
        <s v="Images"/>
        <s v="Light"/>
        <s v="More Fun"/>
        <s v="Music"/>
        <s v="News &amp; Sports"/>
        <s v="Nubico"/>
        <s v="Video"/>
        <s v="Woman &amp; Kids"/>
      </sharedItems>
    </cacheField>
    <cacheField name="[Tabla1].[Unique_ID].[Unique_ID]" caption="Unique_ID" numFmtId="0" hierarchy="29" level="1">
      <sharedItems containsBlank="1" count="246">
        <m/>
        <s v="AIRE FRESCO"/>
        <s v="CUIDATEMEJOR.COM"/>
        <s v="DAILY DIVA MUJER"/>
        <s v="EDMUNDO"/>
        <s v="NATURAL BEAUTY"/>
        <s v="PORTAL EUROSALUD"/>
        <s v="REVISTA DE MODA"/>
        <s v="SEXDUCATE CON LB"/>
        <s v="SLOW LIFE"/>
        <s v="SONIQ GYM FITNESS"/>
        <s v="SOY MUJER"/>
        <s v="YOMUJERYMAS.COM"/>
        <s v="¿QUEDAMOS?"/>
        <s v="ABACO"/>
        <s v="ASTROFUTURO"/>
        <s v="BLOOMBERG ENGLISH"/>
        <s v="CHEF BOOK RECETAS"/>
        <s v="COMEDY FACTORY"/>
        <s v="CONTACTOS"/>
        <s v="ENGLISH PILLS"/>
        <s v="FASHION TV"/>
        <s v="GLADIADORES MMA"/>
        <s v="HAZLO TÚ MISM@"/>
        <s v="I TRIP VIAJES Y +"/>
        <s v="MASCOTAS"/>
        <s v="MOVIMESSENGER"/>
        <s v="PARECE MUNDOTODAY"/>
        <s v="PORTAL TAROMANCIA"/>
        <s v="SUSC CAM OCULTA"/>
        <s v="TAP TO STARS"/>
        <s v="TAROMANCIA"/>
        <s v="THE TOURIST VIDEO"/>
        <s v="TOPVIDEO"/>
        <s v="TUNENGLISH"/>
        <s v="VIDEO COTO D CAZA"/>
        <s v="VIDEO GOLAZOS"/>
        <s v="VIDEO HOROSCOPO"/>
        <s v="VIDEO SERIES"/>
        <s v="VIDEOS LO + MEJOR"/>
        <s v="VIDEOS TRIBUU"/>
        <s v="ZAAASS VIDEOS"/>
        <s v="ZNACK VIDEO"/>
        <s v="AMIGO GAMES"/>
        <s v="CONNECT2MEDIA"/>
        <s v="EA"/>
        <s v="EMBEBIDO IN APP GAMELOFT"/>
        <s v="EMBEBIDO IN APP MOBIG"/>
        <s v="EMBEBIDO MOBIG"/>
        <s v="FUN@TIC GAMES"/>
        <s v="GAMELOFT GAMES"/>
        <s v="GAMES CLUB"/>
        <s v="JUEGO EN TU MOVIL"/>
        <s v="JUEGO GOPLAY"/>
        <s v="JUEGOS FUN PLANET"/>
        <s v="JUEGOS GAMEDROID"/>
        <s v="JUEGOS GAMESHAKER"/>
        <s v="JUEGOS PLAY ON"/>
        <s v="JUEGOS SEXY"/>
        <s v="MOVISTAR JUEGOS"/>
        <s v="PLAY2ME"/>
        <s v="SUSC REAL NETWORK"/>
        <s v="TAP TO FUN"/>
        <s v="VR GAMES"/>
        <s v="ANIMACIONES"/>
        <s v="ANIMACIONES BRAND"/>
        <s v="ANIMACIONES&amp;LOGOS"/>
        <s v="CLUB"/>
        <s v="FONDO AVATARES"/>
        <s v="FONDOS"/>
        <s v="FONDOS BRANDED"/>
        <s v="FONDOS DINAMICOS"/>
        <s v="GOFRESH LOGOS"/>
        <s v="SUSC FOND MB XHTM"/>
        <s v="TEMAS MOVISTAR"/>
        <s v="TF PLANA VIDEOS"/>
        <s v="TP FONDOS SEMANAL"/>
        <s v="VIDEOS"/>
        <s v="VIDEOS BRANDED"/>
        <s v="AULA 365"/>
        <s v="CAILLOU Y AMIGOS"/>
        <s v="CUADERNO MÁGICO"/>
        <s v="EDUKIDZ"/>
        <s v="HELLO KITTY HOUSE"/>
        <s v="KIDS PLAY"/>
        <s v="KIDS TUBE"/>
        <s v="L. SMART PLANET"/>
        <s v="POCOYO HOUSE"/>
        <s v="TELEDIBUJITOS"/>
        <s v="VIDEOS CLAP"/>
        <s v="21 NATURALS"/>
        <s v="ABUELOS CACHONDOS"/>
        <s v="AFICIONADOS ESPAÑOLES"/>
        <s v="AMATEUR"/>
        <s v="BELLEZAS SALVAJES"/>
        <s v="CAM GIRLS"/>
        <s v="CANAL PENTHOUSE"/>
        <s v="CANAL VENUS"/>
        <s v="CASADAS"/>
        <s v="CHEAP &amp; NASTY"/>
        <s v="CHICAS HUMEDAS"/>
        <s v="CHICAS MALAS"/>
        <s v="CLUB DE INTERCAMBIOS"/>
        <s v="CLUB SEXY"/>
        <s v="COCHINAS LATINAS"/>
        <s v="CORRIDAS"/>
        <s v="CULAZOS"/>
        <s v="DIGITAL SIN"/>
        <s v="DIVINAS MAMAS"/>
        <s v="EN FAMILIA"/>
        <s v="ENFERMERAS"/>
        <s v="ESPECIAL COÑOS"/>
        <s v="EUROTEENS"/>
        <s v="EX NOVIAS"/>
        <s v="EXCITAME"/>
        <s v="EXOTICAS"/>
        <s v="FANTASY MANSION"/>
        <s v="FOLLAMIGOS"/>
        <s v="FORMAN TV"/>
        <s v="GAY"/>
        <s v="GAY MOBILE"/>
        <s v="GORDAS"/>
        <s v="GRANDES POLLAS"/>
        <s v="HARDCORE"/>
        <s v="HENTAI"/>
        <s v="IBERICAS"/>
        <s v="INTIMAX"/>
        <s v="JCS NIGHTCLUB"/>
        <s v="JOVENCITAS"/>
        <s v="LA CALLE DEL SEXO"/>
        <s v="LA GRUTA DEL SEXO"/>
        <s v="LATINAS"/>
        <s v="LENCERÍA"/>
        <s v="LESBIANAS"/>
        <s v="LIFESELECTOR"/>
        <s v="MACIZOS"/>
        <s v="MADURAS"/>
        <s v="MAMADAS"/>
        <s v="MANSION DE NACHO VIDAL"/>
        <s v="MEGAZORRONES"/>
        <s v="MI SEX VIDEO"/>
        <s v="MORENAZAS"/>
        <s v="MOVISEXY"/>
        <s v="MULATAS"/>
        <s v="MUNDO DVD PORNO"/>
        <s v="NECTAR"/>
        <s v="NEW SENSATIONS"/>
        <s v="ORGASMATRON"/>
        <s v="ORGASMOS FEMENINOS"/>
        <s v="ORGIAS"/>
        <s v="ORIENTAL"/>
        <s v="PAQUETE TV AD"/>
        <s v="PASSION HD"/>
        <s v="PENTHOUSE"/>
        <s v="PINK CRUSH"/>
        <s v="PLAYBOY"/>
        <s v="PLAYHOUSE"/>
        <s v="POR CULO"/>
        <s v="PORN STARS"/>
        <s v="PORNO CALLEJEROS"/>
        <s v="PORNO GAFAS"/>
        <s v="PORNO INTERACTIVO"/>
        <s v="PORNO PROFESIONAL"/>
        <s v="PORNO TRAVIESO"/>
        <s v="PORNSTARS"/>
        <s v="PRIVATE"/>
        <s v="PUTA LOCURA / MR 69"/>
        <s v="PUTAS"/>
        <s v="RELATOS XXX"/>
        <s v="RINCON PROHIBIDO"/>
        <s v="RUBIAS"/>
        <s v="SEX 360"/>
        <s v="SEXO CASERO"/>
        <s v="SEXO DE LUJO"/>
        <s v="SEXO EN PUBLICO"/>
        <s v="SEXO ORIENTAL"/>
        <s v="STRIPERS"/>
        <s v="SUPERESCENAS XXX"/>
        <s v="SUPERTANGAS"/>
        <s v="TAQUILLAS"/>
        <s v="TATTOO"/>
        <s v="TERA PATRICK"/>
        <s v="TETONAS"/>
        <s v="TOP MODELS"/>
        <s v="TRAVESTIS"/>
        <s v="TRÍOS"/>
        <s v="TU PORNO"/>
        <s v="UNIVERSITARIAS"/>
        <s v="VECINITAS"/>
        <s v="VICIOSAS XXX"/>
        <s v="VICIOUS CAM"/>
        <s v="VIDEO X PORN"/>
        <s v="VIDEOCLUB X"/>
        <s v="WEBCAMS"/>
        <s v="WICKED"/>
        <s v="WORLDSEX"/>
        <s v="XTREME MOVIES"/>
        <s v="XVIDEOS CLUB"/>
        <s v="YOU PORN XXX/TU PORNO"/>
        <s v="ALLUCANEAT-30"/>
        <s v="BANDAS SONORAS"/>
        <s v="CHAT MUSICA"/>
        <s v="CLUB MÚSICA"/>
        <s v="GNFTWAR199"/>
        <s v="MOBILEMUSIC TONOS"/>
        <s v="MOVIHUMOR-20"/>
        <s v="MUSICA CLASICA"/>
        <s v="MUSICA DANCE"/>
        <s v="MUSICA ESPANOLA"/>
        <s v="MUSICA FLAMENCO"/>
        <s v="MUSICA LATINA"/>
        <s v="MUSICA X GENEROS"/>
        <s v="MUSICA X PAISES"/>
        <s v="MUSICA.FVALT199"/>
        <s v="MUSICA.FVGEN199"/>
        <s v="MUSICA.FVORC199"/>
        <s v="MUSICA.FVSON199"/>
        <s v="MUSICA.FVUNI199"/>
        <s v="MUSICA.FVWAR199"/>
        <s v="MUSICA.MP3.ALT149"/>
        <s v="MUSICA.MP3.ALT99"/>
        <s v="MUSICA.MP3.GEN149"/>
        <s v="MUSICA.MP3.GEN99"/>
        <s v="MUSICA.MP3.ORC149"/>
        <s v="MUSICA.MP3.ORC99"/>
        <s v="MUSICA.MP3.SON149"/>
        <s v="MUSICA.MP3.SON99"/>
        <s v="MUSICA.MP3.UNI149"/>
        <s v="MUSICA.MP3.UNI99"/>
        <s v="MUSICA.MP3.WAR149"/>
        <s v="MUSICA.MP3.WAR99"/>
        <s v="MUSICA.TRALT199"/>
        <s v="MUSICA.TRGEN199"/>
        <s v="MUSICA.TRORC199"/>
        <s v="MUSICA.TRSON199"/>
        <s v="MUSICA.TRUNI199"/>
        <s v="MUSICA.TRWAR199"/>
        <s v="MUSICINFATILSUSC"/>
        <s v="NOVEDADES 3,99"/>
        <s v="TARIFA PLANA MP3"/>
        <s v="TARIFA PLANA TONO"/>
        <s v="NOTICIAS EMOCION"/>
        <s v="NUBICO EBOOKS"/>
        <s v="NUBICO PROMO"/>
        <s v="DEPORTES EMOCION"/>
        <s v="FUTBOLITIS"/>
      </sharedItems>
    </cacheField>
    <cacheField name="[Tabla1].[TME Category].[TME Category]" caption="TME Category" numFmtId="0" hierarchy="10" level="1">
      <sharedItems count="10">
        <s v="Beauty and Health"/>
        <s v="Free Time"/>
        <s v="Games"/>
        <s v="Images"/>
        <s v="Kids"/>
        <s v="Light"/>
        <s v="Music"/>
        <s v="News"/>
        <s v="Nubico"/>
        <s v="Sports"/>
      </sharedItems>
    </cacheField>
  </cacheFields>
  <cacheHierarchies count="35">
    <cacheHierarchy uniqueName="[Tabla1].[Nº]" caption="Nº" attribute="1" defaultMemberUniqueName="[Tabla1].[Nº].[All]" allUniqueName="[Tabla1].[Nº].[All]" dimensionUniqueName="[Tabla1]" displayFolder="" count="0" memberValueDatatype="20" unbalanced="0"/>
    <cacheHierarchy uniqueName="[Tabla1].[CPC]" caption="CPC" attribute="1" defaultMemberUniqueName="[Tabla1].[CPC].[All]" allUniqueName="[Tabla1].[CPC].[All]" dimensionUniqueName="[Tabla1]" displayFolder="" count="0" memberValueDatatype="20" unbalanced="0"/>
    <cacheHierarchy uniqueName="[Tabla1].[CPC to upgrade]" caption="CPC to upgrade" attribute="1" defaultMemberUniqueName="[Tabla1].[CPC to upgrade].[All]" allUniqueName="[Tabla1].[CPC to upgrade].[All]" dimensionUniqueName="[Tabla1]" displayFolder="" count="0" memberValueDatatype="20" unbalanced="0"/>
    <cacheHierarchy uniqueName="[Tabla1].[APP_ID]" caption="APP_ID" attribute="1" defaultMemberUniqueName="[Tabla1].[APP_ID].[All]" allUniqueName="[Tabla1].[APP_ID].[All]" dimensionUniqueName="[Tabla1]" displayFolder="" count="0" memberValueDatatype="20" unbalanced="0"/>
    <cacheHierarchy uniqueName="[Tabla1].[PACK_ID]" caption="PACK_ID" attribute="1" defaultMemberUniqueName="[Tabla1].[PACK_ID].[All]" allUniqueName="[Tabla1].[PACK_ID].[All]" dimensionUniqueName="[Tabla1]" displayFolder="" count="0" memberValueDatatype="130" unbalanced="0"/>
    <cacheHierarchy uniqueName="[Tabla1].[Service_id]" caption="Service_id" attribute="1" defaultMemberUniqueName="[Tabla1].[Service_id].[All]" allUniqueName="[Tabla1].[Service_id].[All]" dimensionUniqueName="[Tabla1]" displayFolder="" count="0" memberValueDatatype="130" unbalanced="0"/>
    <cacheHierarchy uniqueName="[Tabla1].[Short Description]" caption="Short Description" attribute="1" defaultMemberUniqueName="[Tabla1].[Short Description].[All]" allUniqueName="[Tabla1].[Short Description].[All]" dimensionUniqueName="[Tabla1]" displayFolder="" count="0" memberValueDatatype="130" unbalanced="0"/>
    <cacheHierarchy uniqueName="[Tabla1].[Billing Description]" caption="Billing Description" attribute="1" defaultMemberUniqueName="[Tabla1].[Billing Description].[All]" allUniqueName="[Tabla1].[Billing Description].[All]" dimensionUniqueName="[Tabla1]" displayFolder="" count="0" memberValueDatatype="130" unbalanced="0"/>
    <cacheHierarchy uniqueName="[Tabla1].[Is a CVAS CPC?]" caption="Is a CVAS CPC?" attribute="1" defaultMemberUniqueName="[Tabla1].[Is a CVAS CPC?].[All]" allUniqueName="[Tabla1].[Is a CVAS CPC?].[All]" dimensionUniqueName="[Tabla1]" displayFolder="" count="0" memberValueDatatype="130" unbalanced="0"/>
    <cacheHierarchy uniqueName="[Tabla1].[Old TME Category]" caption="Old TME Category" attribute="1" defaultMemberUniqueName="[Tabla1].[Old TME Category].[All]" allUniqueName="[Tabla1].[Old TME Category].[All]" dimensionUniqueName="[Tabla1]" displayFolder="" count="0" memberValueDatatype="130" unbalanced="0"/>
    <cacheHierarchy uniqueName="[Tabla1].[TME Category]" caption="TME Category" attribute="1" defaultMemberUniqueName="[Tabla1].[TME Category].[All]" allUniqueName="[Tabla1].[TME Category].[All]" dimensionUniqueName="[Tabla1]" displayFolder="" count="2" memberValueDatatype="130" unbalanced="0">
      <fieldsUsage count="2">
        <fieldUsage x="-1"/>
        <fieldUsage x="2"/>
      </fieldsUsage>
    </cacheHierarchy>
    <cacheHierarchy uniqueName="[Tabla1].[TME SubCategory]" caption="TME SubCategory" attribute="1" defaultMemberUniqueName="[Tabla1].[TME SubCategory].[All]" allUniqueName="[Tabla1].[TME SubCategory].[All]" dimensionUniqueName="[Tabla1]" displayFolder="" count="0" memberValueDatatype="130" unbalanced="0"/>
    <cacheHierarchy uniqueName="[Tabla1].[OM Category]" caption="OM Category" attribute="1" defaultMemberUniqueName="[Tabla1].[OM Category].[All]" allUniqueName="[Tabla1].[OM Category].[All]" dimensionUniqueName="[Tabla1]" displayFolder="" count="0" memberValueDatatype="130" unbalanced="0"/>
    <cacheHierarchy uniqueName="[Tabla1].[OM SubCategory]" caption="OM SubCategory" attribute="1" defaultMemberUniqueName="[Tabla1].[OM SubCategory].[All]" allUniqueName="[Tabla1].[OM SubCategory].[All]" dimensionUniqueName="[Tabla1]" displayFolder="" count="0" memberValueDatatype="130" unbalanced="0"/>
    <cacheHierarchy uniqueName="[Tabla1].[Content Provider]" caption="Content Provider" attribute="1" defaultMemberUniqueName="[Tabla1].[Content Provider].[All]" allUniqueName="[Tabla1].[Content Provider].[All]" dimensionUniqueName="[Tabla1]" displayFolder="" count="0" memberValueDatatype="130" unbalanced="0"/>
    <cacheHierarchy uniqueName="[Tabla1].[Estado]" caption="Estado" attribute="1" defaultMemberUniqueName="[Tabla1].[Estado].[All]" allUniqueName="[Tabla1].[Estado].[All]" dimensionUniqueName="[Tabla1]" displayFolder="" count="0" memberValueDatatype="130" unbalanced="0"/>
    <cacheHierarchy uniqueName="[Tabla1].[New Billing OM]" caption="New Billing OM" attribute="1" defaultMemberUniqueName="[Tabla1].[New Billing OM].[All]" allUniqueName="[Tabla1].[New Billing OM].[All]" dimensionUniqueName="[Tabla1]" displayFolder="" count="0" memberValueDatatype="130" unbalanced="0"/>
    <cacheHierarchy uniqueName="[Tabla1].[Code of Content]" caption="Code of Content" attribute="1" defaultMemberUniqueName="[Tabla1].[Code of Content].[All]" allUniqueName="[Tabla1].[Code of Content].[All]" dimensionUniqueName="[Tabla1]" displayFolder="" count="0" memberValueDatatype="20" unbalanced="0"/>
    <cacheHierarchy uniqueName="[Tabla1].[Service Name]" caption="Service Name" attribute="1" defaultMemberUniqueName="[Tabla1].[Service Name].[All]" allUniqueName="[Tabla1].[Service Name].[All]" dimensionUniqueName="[Tabla1]" displayFolder="" count="0" memberValueDatatype="130" unbalanced="0"/>
    <cacheHierarchy uniqueName="[Tabla1].[Description Level of Pricing]" caption="Description Level of Pricing" attribute="1" defaultMemberUniqueName="[Tabla1].[Description Level of Pricing].[All]" allUniqueName="[Tabla1].[Description Level of Pricing].[All]" dimensionUniqueName="[Tabla1]" displayFolder="" count="0" memberValueDatatype="130" unbalanced="0"/>
    <cacheHierarchy uniqueName="[Tabla1].[Cod Level  of  Pricing]" caption="Cod Level  of  Pricing" attribute="1" defaultMemberUniqueName="[Tabla1].[Cod Level  of  Pricing].[All]" allUniqueName="[Tabla1].[Cod Level  of  Pricing].[All]" dimensionUniqueName="[Tabla1]" displayFolder="" count="0" memberValueDatatype="20" unbalanced="0"/>
    <cacheHierarchy uniqueName="[Tabla1].[Subscription Model]" caption="Subscription Model" attribute="1" defaultMemberUniqueName="[Tabla1].[Subscription Model].[All]" allUniqueName="[Tabla1].[Subscription Model].[All]" dimensionUniqueName="[Tabla1]" displayFolder="" count="0" memberValueDatatype="130" unbalanced="0"/>
    <cacheHierarchy uniqueName="[Tabla1].[Cod of Profile]" caption="Cod of Profile" attribute="1" defaultMemberUniqueName="[Tabla1].[Cod of Profile].[All]" allUniqueName="[Tabla1].[Cod of Profile].[All]" dimensionUniqueName="[Tabla1]" displayFolder="" count="0" memberValueDatatype="20" unbalanced="0"/>
    <cacheHierarchy uniqueName="[Tabla1].[Price]" caption="Price" attribute="1" defaultMemberUniqueName="[Tabla1].[Price].[All]" allUniqueName="[Tabla1].[Price].[All]" dimensionUniqueName="[Tabla1]" displayFolder="" count="0" memberValueDatatype="5" unbalanced="0"/>
    <cacheHierarchy uniqueName="[Tabla1].[% Margin CP]" caption="% Margin CP" attribute="1" defaultMemberUniqueName="[Tabla1].[% Margin CP].[All]" allUniqueName="[Tabla1].[% Margin CP].[All]" dimensionUniqueName="[Tabla1]" displayFolder="" count="0" memberValueDatatype="5" unbalanced="0"/>
    <cacheHierarchy uniqueName="[Tabla1].[% Margin TME]" caption="% Margin TME" attribute="1" defaultMemberUniqueName="[Tabla1].[% Margin TME].[All]" allUniqueName="[Tabla1].[% Margin TME].[All]" dimensionUniqueName="[Tabla1]" displayFolder="" count="0" memberValueDatatype="5" unbalanced="0"/>
    <cacheHierarchy uniqueName="[Tabla1].[% Margin Recording Company]" caption="% Margin Recording Company" attribute="1" defaultMemberUniqueName="[Tabla1].[% Margin Recording Company].[All]" allUniqueName="[Tabla1].[% Margin Recording Company].[All]" dimensionUniqueName="[Tabla1]" displayFolder="" count="0" memberValueDatatype="5" unbalanced="0"/>
    <cacheHierarchy uniqueName="[Tabla1].[% Margin SGAE/AIE]" caption="% Margin SGAE/AIE" attribute="1" defaultMemberUniqueName="[Tabla1].[% Margin SGAE/AIE].[All]" allUniqueName="[Tabla1].[% Margin SGAE/AIE].[All]" dimensionUniqueName="[Tabla1]" displayFolder="" count="0" memberValueDatatype="5" unbalanced="0"/>
    <cacheHierarchy uniqueName="[Tabla1].[Recording Company]" caption="Recording Company" attribute="1" defaultMemberUniqueName="[Tabla1].[Recording Company].[All]" allUniqueName="[Tabla1].[Recording Company].[All]" dimensionUniqueName="[Tabla1]" displayFolder="" count="0" memberValueDatatype="130" unbalanced="0"/>
    <cacheHierarchy uniqueName="[Tabla1].[Unique_ID]" caption="Unique_ID" attribute="1" defaultMemberUniqueName="[Tabla1].[Unique_ID].[All]" allUniqueName="[Tabla1].[Unique_ID].[All]" dimensionUniqueName="[Tabla1]" displayFolder="" count="2" memberValueDatatype="130" unbalanced="0">
      <fieldsUsage count="2">
        <fieldUsage x="-1"/>
        <fieldUsage x="1"/>
      </fieldsUsage>
    </cacheHierarchy>
    <cacheHierarchy uniqueName="[Tabla1].[Nº Renewals]" caption="Nº Renewals" attribute="1" defaultMemberUniqueName="[Tabla1].[Nº Renewals].[All]" allUniqueName="[Tabla1].[Nº Renewals].[All]" dimensionUniqueName="[Tabla1]" displayFolder="" count="0" memberValueDatatype="5" unbalanced="0"/>
    <cacheHierarchy uniqueName="[Tabla1].[FUNNEL CAT]" caption="FUNNEL CAT" attribute="1" defaultMemberUniqueName="[Tabla1].[FUNNEL CAT].[All]" allUniqueName="[Tabla1].[FUNNEL CAT].[All]" dimensionUniqueName="[Tabla1]" displayFolder="" count="2" memberValueDatatype="130" unbalanced="0">
      <fieldsUsage count="2">
        <fieldUsage x="-1"/>
        <fieldUsage x="0"/>
      </fieldsUsage>
    </cacheHierarchy>
    <cacheHierarchy uniqueName="[Tabla1].[CP Servicio]" caption="CP Servicio" attribute="1" defaultMemberUniqueName="[Tabla1].[CP Servicio].[All]" allUniqueName="[Tabla1].[CP Servicio].[All]" dimensionUniqueName="[Tabla1]" displayFolder="" count="0" memberValueDatatype="130" unbalanced="0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ernan" refreshedDate="43770.518258680553" backgroundQuery="1" createdVersion="6" refreshedVersion="6" minRefreshableVersion="3" recordCount="0" supportSubquery="1" supportAdvancedDrill="1" xr:uid="{00000000-000A-0000-FFFF-FFFF02000000}">
  <cacheSource type="external" connectionId="1"/>
  <cacheFields count="2">
    <cacheField name="[Tabla1].[FUNNEL CAT].[FUNNEL CAT]" caption="FUNNEL CAT" numFmtId="0" hierarchy="31" level="1">
      <sharedItems containsBlank="1" count="9">
        <m/>
        <s v="Games"/>
        <s v="Light"/>
        <s v="More Fun"/>
        <s v="Music"/>
        <s v="News &amp; Sports"/>
        <s v="Nubico"/>
        <s v="Video"/>
        <s v="Woman &amp; Kids"/>
      </sharedItems>
    </cacheField>
    <cacheField name="[Tabla1].[Unique_ID].[Unique_ID]" caption="Unique_ID" numFmtId="0" hierarchy="29" level="1">
      <sharedItems containsBlank="1" count="246">
        <m/>
        <s v="AMIGO GAMES"/>
        <s v="CONNECT2MEDIA"/>
        <s v="EA"/>
        <s v="EMBEBIDO IN APP GAMELOFT"/>
        <s v="EMBEBIDO IN APP MOBIG"/>
        <s v="EMBEBIDO MOBIG"/>
        <s v="FUN@TIC GAMES"/>
        <s v="GAMELOFT GAMES"/>
        <s v="GAMES CLUB"/>
        <s v="JUEGO EN TU MOVIL"/>
        <s v="JUEGO GOPLAY"/>
        <s v="JUEGOS FUN PLANET"/>
        <s v="JUEGOS GAMEDROID"/>
        <s v="JUEGOS GAMESHAKER"/>
        <s v="JUEGOS PLAY ON"/>
        <s v="JUEGOS SEXY"/>
        <s v="MOVISTAR JUEGOS"/>
        <s v="PLAY2ME"/>
        <s v="SUSC REAL NETWORK"/>
        <s v="TAP TO FUN"/>
        <s v="VR GAMES"/>
        <s v="21 NATURALS"/>
        <s v="ABUELOS CACHONDOS"/>
        <s v="AFICIONADOS ESPAÑOLES"/>
        <s v="AMATEUR"/>
        <s v="BELLEZAS SALVAJES"/>
        <s v="CAM GIRLS"/>
        <s v="CANAL PENTHOUSE"/>
        <s v="CANAL VENUS"/>
        <s v="CASADAS"/>
        <s v="CHEAP &amp; NASTY"/>
        <s v="CHICAS HUMEDAS"/>
        <s v="CHICAS MALAS"/>
        <s v="CLUB DE INTERCAMBIOS"/>
        <s v="CLUB SEXY"/>
        <s v="COCHINAS LATINAS"/>
        <s v="CORRIDAS"/>
        <s v="CULAZOS"/>
        <s v="DIGITAL SIN"/>
        <s v="DIVINAS MAMAS"/>
        <s v="EN FAMILIA"/>
        <s v="ENFERMERAS"/>
        <s v="ESPECIAL COÑOS"/>
        <s v="EUROTEENS"/>
        <s v="EX NOVIAS"/>
        <s v="EXCITAME"/>
        <s v="EXOTICAS"/>
        <s v="FANTASY MANSION"/>
        <s v="FASHION TV"/>
        <s v="FOLLAMIGOS"/>
        <s v="FORMAN TV"/>
        <s v="GAY"/>
        <s v="GAY MOBILE"/>
        <s v="GORDAS"/>
        <s v="GRANDES POLLAS"/>
        <s v="HARDCORE"/>
        <s v="HENTAI"/>
        <s v="IBERICAS"/>
        <s v="INTIMAX"/>
        <s v="JCS NIGHTCLUB"/>
        <s v="JOVENCITAS"/>
        <s v="LA CALLE DEL SEXO"/>
        <s v="LA GRUTA DEL SEXO"/>
        <s v="LATINAS"/>
        <s v="LENCERÍA"/>
        <s v="LESBIANAS"/>
        <s v="LIFESELECTOR"/>
        <s v="MACIZOS"/>
        <s v="MADURAS"/>
        <s v="MAMADAS"/>
        <s v="MANSION DE NACHO VIDAL"/>
        <s v="MEGAZORRONES"/>
        <s v="MI SEX VIDEO"/>
        <s v="MORENAZAS"/>
        <s v="MOVISEXY"/>
        <s v="MULATAS"/>
        <s v="MUNDO DVD PORNO"/>
        <s v="NECTAR"/>
        <s v="NEW SENSATIONS"/>
        <s v="ORGASMATRON"/>
        <s v="ORGASMOS FEMENINOS"/>
        <s v="ORGIAS"/>
        <s v="ORIENTAL"/>
        <s v="PAQUETE TV AD"/>
        <s v="PASSION HD"/>
        <s v="PENTHOUSE"/>
        <s v="PLAYBOY"/>
        <s v="PLAYHOUSE"/>
        <s v="POR CULO"/>
        <s v="PORN STARS"/>
        <s v="PORNO CALLEJEROS"/>
        <s v="PORNO GAFAS"/>
        <s v="PORNO INTERACTIVO"/>
        <s v="PORNO PROFESIONAL"/>
        <s v="PORNO TRAVIESO"/>
        <s v="PORNSTARS"/>
        <s v="PRIVATE"/>
        <s v="PUTA LOCURA / MR 69"/>
        <s v="PUTAS"/>
        <s v="RELATOS XXX"/>
        <s v="RINCON PROHIBIDO"/>
        <s v="RUBIAS"/>
        <s v="SEX 360"/>
        <s v="SEXO CASERO"/>
        <s v="SEXO DE LUJO"/>
        <s v="SEXO EN PUBLICO"/>
        <s v="SEXO ORIENTAL"/>
        <s v="STRIPERS"/>
        <s v="SUPERESCENAS XXX"/>
        <s v="SUPERTANGAS"/>
        <s v="TAQUILLAS"/>
        <s v="TATTOO"/>
        <s v="TERA PATRICK"/>
        <s v="TETONAS"/>
        <s v="TOP MODELS"/>
        <s v="TRAVESTIS"/>
        <s v="TRÍOS"/>
        <s v="TU PORNO"/>
        <s v="UNIVERSITARIAS"/>
        <s v="VECINITAS"/>
        <s v="VICIOSAS XXX"/>
        <s v="VICIOUS CAM"/>
        <s v="VIDEO X PORN"/>
        <s v="VIDEOCLUB X"/>
        <s v="WEBCAMS"/>
        <s v="WICKED"/>
        <s v="WORLDSEX"/>
        <s v="XTREME MOVIES"/>
        <s v="XVIDEOS CLUB"/>
        <s v="YOU PORN XXX/TU PORNO"/>
        <s v="¿QUEDAMOS?"/>
        <s v="ABACO"/>
        <s v="ANIMACIONES"/>
        <s v="ANIMACIONES BRAND"/>
        <s v="ANIMACIONES&amp;LOGOS"/>
        <s v="ASTROFUTURO"/>
        <s v="BLOOMBERG ENGLISH"/>
        <s v="CLUB"/>
        <s v="CONTACTOS"/>
        <s v="FONDO AVATARES"/>
        <s v="FONDOS"/>
        <s v="FONDOS BRANDED"/>
        <s v="FONDOS DINAMICOS"/>
        <s v="GOFRESH LOGOS"/>
        <s v="MOVIMESSENGER"/>
        <s v="SUSC CAM OCULTA"/>
        <s v="SUSC FOND MB XHTM"/>
        <s v="TAP TO STARS"/>
        <s v="TEMAS MOVISTAR"/>
        <s v="TF PLANA VIDEOS"/>
        <s v="TP FONDOS SEMANAL"/>
        <s v="TUNENGLISH"/>
        <s v="VIDEOS"/>
        <s v="VIDEOS BRANDED"/>
        <s v="ALLUCANEAT-30"/>
        <s v="BANDAS SONORAS"/>
        <s v="CHAT MUSICA"/>
        <s v="CLUB MÚSICA"/>
        <s v="GNFTWAR199"/>
        <s v="MOBILEMUSIC TONOS"/>
        <s v="MOVIHUMOR-20"/>
        <s v="MUSICA CLASICA"/>
        <s v="MUSICA DANCE"/>
        <s v="MUSICA ESPANOLA"/>
        <s v="MUSICA FLAMENCO"/>
        <s v="MUSICA LATINA"/>
        <s v="MUSICA X GENEROS"/>
        <s v="MUSICA X PAISES"/>
        <s v="MUSICA.FVALT199"/>
        <s v="MUSICA.FVGEN199"/>
        <s v="MUSICA.FVORC199"/>
        <s v="MUSICA.FVSON199"/>
        <s v="MUSICA.FVUNI199"/>
        <s v="MUSICA.FVWAR199"/>
        <s v="MUSICA.MP3.ALT149"/>
        <s v="MUSICA.MP3.ALT99"/>
        <s v="MUSICA.MP3.GEN149"/>
        <s v="MUSICA.MP3.GEN99"/>
        <s v="MUSICA.MP3.ORC149"/>
        <s v="MUSICA.MP3.ORC99"/>
        <s v="MUSICA.MP3.SON149"/>
        <s v="MUSICA.MP3.SON99"/>
        <s v="MUSICA.MP3.UNI149"/>
        <s v="MUSICA.MP3.UNI99"/>
        <s v="MUSICA.MP3.WAR149"/>
        <s v="MUSICA.MP3.WAR99"/>
        <s v="MUSICA.TRALT199"/>
        <s v="MUSICA.TRGEN199"/>
        <s v="MUSICA.TRORC199"/>
        <s v="MUSICA.TRSON199"/>
        <s v="MUSICA.TRUNI199"/>
        <s v="MUSICA.TRWAR199"/>
        <s v="MUSICINFATILSUSC"/>
        <s v="NOVEDADES 3,99"/>
        <s v="TARIFA PLANA MP3"/>
        <s v="TARIFA PLANA TONO"/>
        <s v="DEPORTES EMOCION"/>
        <s v="FUTBOLITIS"/>
        <s v="NOTICIAS EMOCION"/>
        <s v="PARECE MUNDOTODAY"/>
        <s v="NUBICO EBOOKS"/>
        <s v="NUBICO PROMO"/>
        <s v="COMEDY FACTORY"/>
        <s v="GLADIADORES MMA"/>
        <s v="KIDS TUBE"/>
        <s v="NATURAL BEAUTY"/>
        <s v="PINK CRUSH"/>
        <s v="SLOW LIFE"/>
        <s v="SONIQ GYM FITNESS"/>
        <s v="TELEDIBUJITOS"/>
        <s v="THE TOURIST VIDEO"/>
        <s v="TOPVIDEO"/>
        <s v="VIDEO COTO D CAZA"/>
        <s v="VIDEO GOLAZOS"/>
        <s v="VIDEO HOROSCOPO"/>
        <s v="VIDEO SERIES"/>
        <s v="VIDEOS LO + MEJOR"/>
        <s v="VIDEOS TRIBUU"/>
        <s v="ZAAASS VIDEOS"/>
        <s v="ZNACK VIDEO"/>
        <s v="AIRE FRESCO"/>
        <s v="AULA 365"/>
        <s v="CAILLOU Y AMIGOS"/>
        <s v="CHEF BOOK RECETAS"/>
        <s v="CUADERNO MÁGICO"/>
        <s v="CUIDATEMEJOR.COM"/>
        <s v="DAILY DIVA MUJER"/>
        <s v="EDMUNDO"/>
        <s v="EDUKIDZ"/>
        <s v="ENGLISH PILLS"/>
        <s v="HAZLO TÚ MISM@"/>
        <s v="HELLO KITTY HOUSE"/>
        <s v="I TRIP VIAJES Y +"/>
        <s v="KIDS PLAY"/>
        <s v="L. SMART PLANET"/>
        <s v="MASCOTAS"/>
        <s v="POCOYO HOUSE"/>
        <s v="PORTAL EUROSALUD"/>
        <s v="PORTAL TAROMANCIA"/>
        <s v="REVISTA DE MODA"/>
        <s v="SEXDUCATE CON LB"/>
        <s v="SOY MUJER"/>
        <s v="TAROMANCIA"/>
        <s v="VIDEOS CLAP"/>
        <s v="YOMUJERYMAS.COM"/>
      </sharedItems>
    </cacheField>
  </cacheFields>
  <cacheHierarchies count="35">
    <cacheHierarchy uniqueName="[Tabla1].[Nº]" caption="Nº" attribute="1" defaultMemberUniqueName="[Tabla1].[Nº].[All]" allUniqueName="[Tabla1].[Nº].[All]" dimensionUniqueName="[Tabla1]" displayFolder="" count="0" memberValueDatatype="20" unbalanced="0"/>
    <cacheHierarchy uniqueName="[Tabla1].[CPC]" caption="CPC" attribute="1" defaultMemberUniqueName="[Tabla1].[CPC].[All]" allUniqueName="[Tabla1].[CPC].[All]" dimensionUniqueName="[Tabla1]" displayFolder="" count="0" memberValueDatatype="20" unbalanced="0"/>
    <cacheHierarchy uniqueName="[Tabla1].[CPC to upgrade]" caption="CPC to upgrade" attribute="1" defaultMemberUniqueName="[Tabla1].[CPC to upgrade].[All]" allUniqueName="[Tabla1].[CPC to upgrade].[All]" dimensionUniqueName="[Tabla1]" displayFolder="" count="0" memberValueDatatype="20" unbalanced="0"/>
    <cacheHierarchy uniqueName="[Tabla1].[APP_ID]" caption="APP_ID" attribute="1" defaultMemberUniqueName="[Tabla1].[APP_ID].[All]" allUniqueName="[Tabla1].[APP_ID].[All]" dimensionUniqueName="[Tabla1]" displayFolder="" count="0" memberValueDatatype="20" unbalanced="0"/>
    <cacheHierarchy uniqueName="[Tabla1].[PACK_ID]" caption="PACK_ID" attribute="1" defaultMemberUniqueName="[Tabla1].[PACK_ID].[All]" allUniqueName="[Tabla1].[PACK_ID].[All]" dimensionUniqueName="[Tabla1]" displayFolder="" count="0" memberValueDatatype="130" unbalanced="0"/>
    <cacheHierarchy uniqueName="[Tabla1].[Service_id]" caption="Service_id" attribute="1" defaultMemberUniqueName="[Tabla1].[Service_id].[All]" allUniqueName="[Tabla1].[Service_id].[All]" dimensionUniqueName="[Tabla1]" displayFolder="" count="0" memberValueDatatype="130" unbalanced="0"/>
    <cacheHierarchy uniqueName="[Tabla1].[Short Description]" caption="Short Description" attribute="1" defaultMemberUniqueName="[Tabla1].[Short Description].[All]" allUniqueName="[Tabla1].[Short Description].[All]" dimensionUniqueName="[Tabla1]" displayFolder="" count="0" memberValueDatatype="130" unbalanced="0"/>
    <cacheHierarchy uniqueName="[Tabla1].[Billing Description]" caption="Billing Description" attribute="1" defaultMemberUniqueName="[Tabla1].[Billing Description].[All]" allUniqueName="[Tabla1].[Billing Description].[All]" dimensionUniqueName="[Tabla1]" displayFolder="" count="0" memberValueDatatype="130" unbalanced="0"/>
    <cacheHierarchy uniqueName="[Tabla1].[Is a CVAS CPC?]" caption="Is a CVAS CPC?" attribute="1" defaultMemberUniqueName="[Tabla1].[Is a CVAS CPC?].[All]" allUniqueName="[Tabla1].[Is a CVAS CPC?].[All]" dimensionUniqueName="[Tabla1]" displayFolder="" count="0" memberValueDatatype="130" unbalanced="0"/>
    <cacheHierarchy uniqueName="[Tabla1].[Old TME Category]" caption="Old TME Category" attribute="1" defaultMemberUniqueName="[Tabla1].[Old TME Category].[All]" allUniqueName="[Tabla1].[Old TME Category].[All]" dimensionUniqueName="[Tabla1]" displayFolder="" count="0" memberValueDatatype="130" unbalanced="0"/>
    <cacheHierarchy uniqueName="[Tabla1].[TME Category]" caption="TME Category" attribute="1" defaultMemberUniqueName="[Tabla1].[TME Category].[All]" allUniqueName="[Tabla1].[TME Category].[All]" dimensionUniqueName="[Tabla1]" displayFolder="" count="0" memberValueDatatype="130" unbalanced="0"/>
    <cacheHierarchy uniqueName="[Tabla1].[TME SubCategory]" caption="TME SubCategory" attribute="1" defaultMemberUniqueName="[Tabla1].[TME SubCategory].[All]" allUniqueName="[Tabla1].[TME SubCategory].[All]" dimensionUniqueName="[Tabla1]" displayFolder="" count="0" memberValueDatatype="130" unbalanced="0"/>
    <cacheHierarchy uniqueName="[Tabla1].[OM Category]" caption="OM Category" attribute="1" defaultMemberUniqueName="[Tabla1].[OM Category].[All]" allUniqueName="[Tabla1].[OM Category].[All]" dimensionUniqueName="[Tabla1]" displayFolder="" count="0" memberValueDatatype="130" unbalanced="0"/>
    <cacheHierarchy uniqueName="[Tabla1].[OM SubCategory]" caption="OM SubCategory" attribute="1" defaultMemberUniqueName="[Tabla1].[OM SubCategory].[All]" allUniqueName="[Tabla1].[OM SubCategory].[All]" dimensionUniqueName="[Tabla1]" displayFolder="" count="0" memberValueDatatype="130" unbalanced="0"/>
    <cacheHierarchy uniqueName="[Tabla1].[Content Provider]" caption="Content Provider" attribute="1" defaultMemberUniqueName="[Tabla1].[Content Provider].[All]" allUniqueName="[Tabla1].[Content Provider].[All]" dimensionUniqueName="[Tabla1]" displayFolder="" count="0" memberValueDatatype="130" unbalanced="0"/>
    <cacheHierarchy uniqueName="[Tabla1].[Estado]" caption="Estado" attribute="1" defaultMemberUniqueName="[Tabla1].[Estado].[All]" allUniqueName="[Tabla1].[Estado].[All]" dimensionUniqueName="[Tabla1]" displayFolder="" count="0" memberValueDatatype="130" unbalanced="0"/>
    <cacheHierarchy uniqueName="[Tabla1].[New Billing OM]" caption="New Billing OM" attribute="1" defaultMemberUniqueName="[Tabla1].[New Billing OM].[All]" allUniqueName="[Tabla1].[New Billing OM].[All]" dimensionUniqueName="[Tabla1]" displayFolder="" count="0" memberValueDatatype="130" unbalanced="0"/>
    <cacheHierarchy uniqueName="[Tabla1].[Code of Content]" caption="Code of Content" attribute="1" defaultMemberUniqueName="[Tabla1].[Code of Content].[All]" allUniqueName="[Tabla1].[Code of Content].[All]" dimensionUniqueName="[Tabla1]" displayFolder="" count="0" memberValueDatatype="20" unbalanced="0"/>
    <cacheHierarchy uniqueName="[Tabla1].[Service Name]" caption="Service Name" attribute="1" defaultMemberUniqueName="[Tabla1].[Service Name].[All]" allUniqueName="[Tabla1].[Service Name].[All]" dimensionUniqueName="[Tabla1]" displayFolder="" count="0" memberValueDatatype="130" unbalanced="0"/>
    <cacheHierarchy uniqueName="[Tabla1].[Description Level of Pricing]" caption="Description Level of Pricing" attribute="1" defaultMemberUniqueName="[Tabla1].[Description Level of Pricing].[All]" allUniqueName="[Tabla1].[Description Level of Pricing].[All]" dimensionUniqueName="[Tabla1]" displayFolder="" count="0" memberValueDatatype="130" unbalanced="0"/>
    <cacheHierarchy uniqueName="[Tabla1].[Cod Level  of  Pricing]" caption="Cod Level  of  Pricing" attribute="1" defaultMemberUniqueName="[Tabla1].[Cod Level  of  Pricing].[All]" allUniqueName="[Tabla1].[Cod Level  of  Pricing].[All]" dimensionUniqueName="[Tabla1]" displayFolder="" count="0" memberValueDatatype="20" unbalanced="0"/>
    <cacheHierarchy uniqueName="[Tabla1].[Subscription Model]" caption="Subscription Model" attribute="1" defaultMemberUniqueName="[Tabla1].[Subscription Model].[All]" allUniqueName="[Tabla1].[Subscription Model].[All]" dimensionUniqueName="[Tabla1]" displayFolder="" count="0" memberValueDatatype="130" unbalanced="0"/>
    <cacheHierarchy uniqueName="[Tabla1].[Cod of Profile]" caption="Cod of Profile" attribute="1" defaultMemberUniqueName="[Tabla1].[Cod of Profile].[All]" allUniqueName="[Tabla1].[Cod of Profile].[All]" dimensionUniqueName="[Tabla1]" displayFolder="" count="0" memberValueDatatype="20" unbalanced="0"/>
    <cacheHierarchy uniqueName="[Tabla1].[Price]" caption="Price" attribute="1" defaultMemberUniqueName="[Tabla1].[Price].[All]" allUniqueName="[Tabla1].[Price].[All]" dimensionUniqueName="[Tabla1]" displayFolder="" count="0" memberValueDatatype="5" unbalanced="0"/>
    <cacheHierarchy uniqueName="[Tabla1].[% Margin CP]" caption="% Margin CP" attribute="1" defaultMemberUniqueName="[Tabla1].[% Margin CP].[All]" allUniqueName="[Tabla1].[% Margin CP].[All]" dimensionUniqueName="[Tabla1]" displayFolder="" count="0" memberValueDatatype="5" unbalanced="0"/>
    <cacheHierarchy uniqueName="[Tabla1].[% Margin TME]" caption="% Margin TME" attribute="1" defaultMemberUniqueName="[Tabla1].[% Margin TME].[All]" allUniqueName="[Tabla1].[% Margin TME].[All]" dimensionUniqueName="[Tabla1]" displayFolder="" count="0" memberValueDatatype="5" unbalanced="0"/>
    <cacheHierarchy uniqueName="[Tabla1].[% Margin Recording Company]" caption="% Margin Recording Company" attribute="1" defaultMemberUniqueName="[Tabla1].[% Margin Recording Company].[All]" allUniqueName="[Tabla1].[% Margin Recording Company].[All]" dimensionUniqueName="[Tabla1]" displayFolder="" count="0" memberValueDatatype="5" unbalanced="0"/>
    <cacheHierarchy uniqueName="[Tabla1].[% Margin SGAE/AIE]" caption="% Margin SGAE/AIE" attribute="1" defaultMemberUniqueName="[Tabla1].[% Margin SGAE/AIE].[All]" allUniqueName="[Tabla1].[% Margin SGAE/AIE].[All]" dimensionUniqueName="[Tabla1]" displayFolder="" count="0" memberValueDatatype="5" unbalanced="0"/>
    <cacheHierarchy uniqueName="[Tabla1].[Recording Company]" caption="Recording Company" attribute="1" defaultMemberUniqueName="[Tabla1].[Recording Company].[All]" allUniqueName="[Tabla1].[Recording Company].[All]" dimensionUniqueName="[Tabla1]" displayFolder="" count="0" memberValueDatatype="130" unbalanced="0"/>
    <cacheHierarchy uniqueName="[Tabla1].[Unique_ID]" caption="Unique_ID" attribute="1" defaultMemberUniqueName="[Tabla1].[Unique_ID].[All]" allUniqueName="[Tabla1].[Unique_ID].[All]" dimensionUniqueName="[Tabla1]" displayFolder="" count="2" memberValueDatatype="130" unbalanced="0">
      <fieldsUsage count="2">
        <fieldUsage x="-1"/>
        <fieldUsage x="1"/>
      </fieldsUsage>
    </cacheHierarchy>
    <cacheHierarchy uniqueName="[Tabla1].[Nº Renewals]" caption="Nº Renewals" attribute="1" defaultMemberUniqueName="[Tabla1].[Nº Renewals].[All]" allUniqueName="[Tabla1].[Nº Renewals].[All]" dimensionUniqueName="[Tabla1]" displayFolder="" count="0" memberValueDatatype="5" unbalanced="0"/>
    <cacheHierarchy uniqueName="[Tabla1].[FUNNEL CAT]" caption="FUNNEL CAT" attribute="1" defaultMemberUniqueName="[Tabla1].[FUNNEL CAT].[All]" allUniqueName="[Tabla1].[FUNNEL CAT].[All]" dimensionUniqueName="[Tabla1]" displayFolder="" count="2" memberValueDatatype="130" unbalanced="0">
      <fieldsUsage count="2">
        <fieldUsage x="-1"/>
        <fieldUsage x="0"/>
      </fieldsUsage>
    </cacheHierarchy>
    <cacheHierarchy uniqueName="[Tabla1].[CP Servicio]" caption="CP Servicio" attribute="1" defaultMemberUniqueName="[Tabla1].[CP Servicio].[All]" allUniqueName="[Tabla1].[CP Servicio].[All]" dimensionUniqueName="[Tabla1]" displayFolder="" count="0" memberValueDatatype="130" unbalanced="0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rnan" refreshedDate="43770.518258796299" createdVersion="6" refreshedVersion="6" minRefreshableVersion="3" recordCount="532" xr:uid="{00000000-000A-0000-FFFF-FFFF03000000}">
  <cacheSource type="worksheet">
    <worksheetSource ref="B1:AE659" sheet="MASTER CPC"/>
  </cacheSource>
  <cacheFields count="30">
    <cacheField name="CPC" numFmtId="0">
      <sharedItems containsSemiMixedTypes="0" containsString="0" containsNumber="1" containsInteger="1" minValue="893" maxValue="44841"/>
    </cacheField>
    <cacheField name="CPC to upgrade" numFmtId="0">
      <sharedItems containsString="0" containsBlank="1" containsNumber="1" containsInteger="1" minValue="31568" maxValue="44618"/>
    </cacheField>
    <cacheField name="APP_ID" numFmtId="0">
      <sharedItems containsString="0" containsBlank="1" containsNumber="1" containsInteger="1" minValue="153" maxValue="679"/>
    </cacheField>
    <cacheField name="PACK_ID" numFmtId="0">
      <sharedItems containsBlank="1" containsMixedTypes="1" containsNumber="1" containsInteger="1" minValue="27" maxValue="67901"/>
    </cacheField>
    <cacheField name="Service_id" numFmtId="0">
      <sharedItems containsBlank="1" containsMixedTypes="1" containsNumber="1" containsInteger="1" minValue="56" maxValue="67801"/>
    </cacheField>
    <cacheField name="Short Description" numFmtId="0">
      <sharedItems count="366">
        <s v="La Gruta del Sexo . Susc. 7 dias"/>
        <s v="Suscripción 30 autorenovable para contenido: Gofresh logos"/>
        <s v="Mister-i"/>
        <s v="Descarga para contenido: clips"/>
        <s v="Parmenion Inversiones"/>
        <s v="Descarga (Desc. Gameloft)"/>
        <s v="Suscripción 30 autorenovable (Sueños Calientes)"/>
        <s v="Suscripcion 7 (Club música)"/>
        <s v="Suscripción 30 autorenovable (Club)"/>
        <s v="Suscripción 30 autorenovable (Animaciones&amp;Logos)"/>
        <s v="Suscripción 30 autorenovable (Subsc.Vivid)"/>
        <s v="Suscripción 30 autorenovable (MobileMusic tonos)"/>
        <s v="Suscripcion Mensual Sport Illustrated"/>
        <s v="Descarga (Desc. Gamel5)"/>
        <s v="Descarga (DescFondosPrivate)"/>
        <s v="Descarga (Desc.Play2Me1)"/>
        <s v="Descarga (Desc.Play2Me1.5)"/>
        <s v="Descarga (Desc.Play2Me2)"/>
        <s v="Descarga (Desc.Play2Me3)"/>
        <s v="Descarga (Desc.Play2Me4)"/>
        <s v="Descarga (Desc.Play2Me5)"/>
        <s v="Descarga (Fondos)"/>
        <s v="Descarga (Videos)"/>
        <s v="Descarga (Animaciones)"/>
        <s v="Descarga (Fondos Branded)"/>
        <s v="Descarga (Videos Branded)"/>
        <s v="Descarga (Multimedia)"/>
        <s v="Suscripción 30 autorenovable (Canal Venus)"/>
        <s v="Suscripción 30 autorenovable (Canal GChannel)"/>
        <s v="Suscripción 30 autorenovable (Multimedia)"/>
        <s v="Casadas Imágenes"/>
        <s v="Jovencitas Imágenes"/>
        <s v="Mamadas Imágenes"/>
        <s v="Ibericas Imágenes"/>
        <s v="Sexo en publico Imágenes"/>
        <s v="Paquete de Suscripciones 30 dias Autorenovable (Paquete TV Ad)"/>
        <s v="Descarga (MOVIREAL-20-UNIVE)"/>
        <s v="Descarga (MOVIREAL-20-SONY)"/>
        <s v="Descarga (MOVIREAL-20-WARNE)"/>
        <s v="Descarga (MOVIREAL-20-GENX)"/>
        <s v="Descarga (MOVIHUMOR-20)"/>
        <s v="Suscripción 30 autorenovable (Susc Fond MB Xhtm)"/>
        <s v="Suscripción 30 autorenovable (ALLUCANEAT-40)"/>
        <s v="Suscripción 30 autorenovable (Fondo Avatares)"/>
        <s v="Suscripción 30 autorenovable (ALLUCANEAT-30)"/>
        <s v="Descarga (Fondos Dinamicos)"/>
        <s v="Yiam Uno S.L."/>
        <s v="Suscripcisn 7 autorenovable (Multimedia)"/>
        <s v="Suscripción 30 autorenovable (Playboy Tv)"/>
        <s v="Suscripción 30 autorenovable (Susc gameloft 3e)"/>
        <s v="Descarga (Amateur)"/>
        <s v="Suscripcisn 7 autorenovable (Susc Sem EA 0,99e)"/>
        <s v="Suscripcisn 7 autorenovable (TP Seman EA 0,99e)"/>
        <s v="Suscripción 30 autorenovable (Susc Real Network)"/>
        <s v="Suscripcisn 7 autorenovable (Susc Sem Play2Me)"/>
        <s v="Descarga (Juegos P2M 3,99)"/>
        <s v="Descarga (Juegos P2M 2,99)"/>
        <s v="Descarga (Juegos P2M 1,99)"/>
        <s v="Suscripcisn 7 autorenovable (Multimedias)"/>
        <s v="Descarga (Juegos 2,99 euros)"/>
        <s v="Suscripcisn 7 autorenovable (Tf Plana Videos )"/>
        <s v="Musica x Paises.Susc Semanal"/>
        <s v="Bandas Sonoras.Susc Semanal"/>
        <s v="Descarga (Temas Movistar)"/>
        <s v="Suscripcisn 7 autorenovable (TP Fondos Semanal)"/>
        <s v="Divinas Mamas Suscripcisn 7 autorenovable"/>
        <s v="Buongiorno"/>
        <s v="Tu Porno Suscripcion 7 dias"/>
        <s v="Descarga (Descarga 0,99 eur)"/>
        <s v="Descarga (Descarga 1,50 eur)"/>
        <s v="Descarga (Descarga 1,99 eur)"/>
        <s v="Descarga (Descarga 2,99 eur)"/>
        <s v="Descarga (Descarga 3,99 eur)"/>
        <s v="Suscripcisn 7 autorenovable (Susc Semanal 0,99)"/>
        <s v="Suscripcisn 7 autorenovable (Susc Juegos Sexy)"/>
        <s v="Descarga (Juegos Sexy 0,99 )"/>
        <s v="Descarga (Juegos Sexy 3,99)"/>
        <s v="Descarga (Juegos HD 4,99)"/>
        <s v="Suscripción 7 (Multimedia)"/>
        <s v="Descarga (GNTRalt199)"/>
        <s v="Descarga (GNTTorc199)"/>
        <s v="Descarga (GNFTwar149)"/>
        <s v="Descarga (GNFTwar99)"/>
        <s v="Descarga (GNFTson149)"/>
        <s v="Descarga (GNFTson99)"/>
        <s v="Descarga (GNFTuni149)"/>
        <s v="Descarga (GNFTuni99)"/>
        <s v="Descarga (GNFTorc149)"/>
        <s v="Descarga (GNFTorc99)"/>
        <s v="Descarga (GNFTalt149)"/>
        <s v="Descarga (GNFTalt99)"/>
        <s v="Descarga (GNFTgen149)"/>
        <s v="Descarga (GNFTgen99)"/>
        <s v="Descarga (GNFVwar199)"/>
        <s v="Descarga (GNFVson199)"/>
        <s v="Descarga (GNFVuni199)"/>
        <s v="Descarga (GNFVorc199)"/>
        <s v="Descarga (GNFValt199)"/>
        <s v="Descarga (GNFVgen199)"/>
        <s v="Descarga (GNTRwar199)"/>
        <s v="Descarga (GNTRson199)"/>
        <s v="Descarga (GNTRuni199)"/>
        <s v="Descarga (GNTRorc199)"/>
        <s v="Descarga (GNTRgen199)"/>
        <s v="Suscripción 7 dias Deportes"/>
        <s v="Suscripción 7 dias autorenovable"/>
        <s v="Fomento del 34409 GRATIS el 1a Semana"/>
        <s v="Novedades Suscripción 7 auto"/>
        <s v="Pack Taquillas de X1 a X9"/>
        <s v="Suscripción 30 autorenovable (DANCE_SUSC)"/>
        <s v="Musica Flamenco .Susc. 7 dias"/>
        <s v="Musica Española .Susc. 7 dias"/>
        <s v="Suscripcion  GameHouse 1 mes gratis"/>
        <s v="Fomento 32680 Juegos Connect2media"/>
        <s v="Fomento suscripcion Semanal Juegos Sexy"/>
        <s v="Descarga (Extra Juego )"/>
        <s v="Descarga (Extra Juego)"/>
        <s v="Musica Latina. Susc 7 dias"/>
        <s v="Fomento 35008 Musica Dance"/>
        <s v="Fomento 35014 Musica Flamenco"/>
        <s v="Fomento 35020 Musica Española"/>
        <s v="Fomento 35357 Musica Latina"/>
        <s v="Susc Sem 2,99 Play2Me"/>
        <s v="Musica Infantil. Susc Semanal"/>
        <s v="Playboy Susc semanal"/>
        <s v="Descarga (GNFTwar199)"/>
        <s v="Noticias Emocion. Susc Semanal"/>
        <s v="Suscripcisn 7 autorenovable Juegos en tu Movil"/>
        <s v="Descarga (Demo Juego 0,99 e)"/>
        <s v="JuegoCompletoXHTML1.99"/>
        <s v="Descarga (Demo Juego 2,99 e)"/>
        <s v="JuegoCompletoXHTML3.99"/>
        <s v="Maduras Fomento 31876"/>
        <s v="Digital Sin (Fomento 31568)"/>
        <s v="Descarga (Extra Juego Gloft)"/>
        <s v="Suscripcisn 7 autorenovable (Juegos Gameloft )"/>
        <s v="Fomento Juegos Gameloft 1 semana"/>
        <s v="Suscripción 7 autorenovable"/>
        <s v="Juego GoPlay 0.75"/>
        <s v="Juego GoPlay 0.99"/>
        <s v="Juego GoPlay 1.99"/>
        <s v="Juego GoPlay 2.49"/>
        <s v="Juego GoPlay 2.99"/>
        <s v="Juegos Go Play 1.49 Susc Semanal"/>
        <s v="Juego GoPlay 3,99"/>
        <s v="Descarga Micropago Demo Gameloft 0,75"/>
        <s v="Descarga Micropago Demo Gameloft 0,99"/>
        <s v="Descarga Micropago Demo Gameloft 1,99"/>
        <s v="Descarga Micropago Demo Gameloft 3,99"/>
        <s v="Descarga Micropago Demo Gameloft 6,99"/>
        <s v="Descarga Micropago Demo Gameloft 7,99"/>
        <s v="Descarga Micropago Demo Gameloft 9,99"/>
        <s v="Descarga Micropago Demo Gameloft 14,99"/>
        <s v="Tap To Fun Promo"/>
        <s v="Tap To Fun Basico"/>
        <s v="Rincon Prohibido. Susc Semanal"/>
        <s v="EnglishPills"/>
        <s v="PortalEurosalud"/>
        <s v="PortalEurosalud Fomento"/>
        <s v="PortalTaromancia"/>
        <s v="PortalTaromancia Fomento"/>
        <s v="Orgasmatron"/>
        <s v="NEOMOBILE"/>
        <s v="Mi Sex Video suscripcion"/>
        <s v="Mi Sex Video Descarga"/>
        <s v="Suscripcion Yo Mujer y +"/>
        <s v="Fomento 39301 Yo Mujer y +"/>
        <s v="Suscripcion  Cuidate Mejor"/>
        <s v="Fomento 39321  Cuidate Mejor"/>
        <s v="Suscripcion Cam Girls"/>
        <s v="Relatos XXX Suscripcion Semanal"/>
        <s v="Vicious Cam suscripcion 7 dias"/>
        <s v="Musica Clasica Jazz suscripcion Semanal"/>
        <s v="Fomento 39581 Musica Clasica Jazz suscripcion Semanal"/>
        <s v="Porno Gafas suscripcion 7 dias"/>
        <s v="Juegos GoPlay Susc. Semanal"/>
        <s v="Fomento 39681 Juegos GoPlay"/>
        <s v="Juegos Game Shaker"/>
        <s v="ZnackVideo suscripcion 7 dias"/>
        <s v="Extra Juego Play2Me Fremium"/>
        <s v="Fashion Bip susc 7 dias"/>
        <s v="Fashion Bip Fomento 40061"/>
        <s v="Funatic Games Suscripcion Semanal"/>
        <s v="LittleSmartPlanet  Susc 7 dias"/>
        <s v="Fomento de 40161 LittleSmartPlanet"/>
        <s v="Video Horoscopo Susc 7 dias"/>
        <s v="Games Club Susc 7 dias"/>
        <s v="Golazos Susc 7 dias"/>
        <s v="Fomento del 40341 Golazos Susc 7 dias"/>
        <s v="21 Naturals Susc 7 dias"/>
        <s v="Viciosas XXX 7 dias"/>
        <s v="Musica x Generos Susc Semanal"/>
        <s v="Fomento 40562 Musica x Generos"/>
        <s v="Natural Beauty Susc. Semanal"/>
        <s v="Video Lo + Mejor. Susc. Semanal"/>
        <s v="Futbolitis. Susc Semanal"/>
        <s v="Hazlo tu Mism@. Susc Semanal"/>
        <s v="Fomento de  40771 Hazlo tu Mism@"/>
        <s v="Bellezas Salvajes , susc . Semanal"/>
        <s v="Daily Diva. Susc. Semanal"/>
        <s v="Edukidz .Susc Semanal"/>
        <s v="Orgasmatron. Susc Semanal"/>
        <s v="Funatic Games Descarga"/>
        <s v="Zaaass Videos , Susc Semanal"/>
        <s v="IntimaX.Susc 7 dias"/>
        <s v="KidsTube , Susc Semanal"/>
        <s v="Chef Book Recetas .Susc Semanal"/>
        <s v="Fomento 41177 Chef Book Recetas .Susc Semanal"/>
        <s v=" I Trip Viajes y + .Susc Semanal"/>
        <s v="Fomento 41181  I Trip Viajes y + .Susc Semanal"/>
        <s v="Juegos Play On. Descarga (PPD)"/>
        <s v="Juegos Play On. Susc Semanal"/>
        <s v="Fomento de 41235.Juegos Play On"/>
        <s v="Coto de Caza. Susc Semanal"/>
        <s v="Viciosas XXX . Susc Semanal"/>
        <s v="Gladiadores MMA. Susc Semanal"/>
        <s v="Gay Mobile.Susc Semanal"/>
        <s v="EnglishPills Destacado Estrella"/>
        <s v="Eurosalud  Destacado Estrella"/>
        <s v="Fomento Eurosalud  Destacado Estrella"/>
        <s v="Taromancia Destacado Estrella"/>
        <s v="Fomento Taromancia Destacado Estrella"/>
        <s v="Games Club Destacado Estrella"/>
        <s v="Xtreme Movies Destacado Estrella"/>
        <s v="Susc Sem Play2Me Destacado Estrella"/>
        <s v="Juegos en tu movil Destacado Estrella"/>
        <s v="Orgasmatron Destacado Estrella"/>
        <s v="Mi Sex Video Destacado Estrella"/>
        <s v="Natural Beauty Destacado Estrella"/>
        <s v="Vicious Cam Destacado Estrella"/>
        <s v="Zaaass Videos Destacado Estrella"/>
        <s v="KidsTube Destacado Estrella"/>
        <s v="Fashion Bip Destacado Estrella"/>
        <s v="Fomento Fashion Bip Destacado Estrella"/>
        <s v="Gay Mobile XXX Destacado Estrella"/>
        <s v="Digital Sin Destacado Estrella"/>
        <s v="Fomento Digital Sin Destacado Estrella"/>
        <s v="New Sensations  Destacado Estrella"/>
        <s v="Orgias  Destacado Estrella"/>
        <s v="Playhouse Destacado Estrella"/>
        <s v="Por Culo  Destacado Estrella"/>
        <s v="Playboy Destacado Estrella"/>
        <s v="Coto de Caza Destacado Estrella"/>
        <s v="Hazlo tu Mism@ Destacado Estrella"/>
        <s v="Fomento Hazlo tu Mism@ Destacado Estrella"/>
        <s v="Mascotas. Susc. Semanal"/>
        <s v="Fomento de 41758 Mascotas"/>
        <s v="Enfermeras Destacado Estrella"/>
        <s v="Tetonas Destacado Estrella"/>
        <s v="Amateur Destacado Estrella"/>
        <s v="Penthouse Destacado Estrella"/>
        <s v="Tap To Fun Destacado Estrella"/>
        <s v="Tap the stars Destacado Estrella"/>
        <s v="Daily Diva Destacado Estrella"/>
        <s v="Fashion TV Destacado Estrella"/>
        <s v="Top Videos Destacado Estrella"/>
        <s v="Juegos Game Shaker Destacado Estrella"/>
        <s v="Edukidz Destacado Estrella"/>
        <s v=" I Trip Viajes y + . Destacado Estrella"/>
        <s v="Fomento  I Trip Viajes y + . Destacado Estrella"/>
        <s v="Chef Book Recetas Destacado Estrella"/>
        <s v="Fomento Chef Book Recetas Destacado Estrella"/>
        <s v="Taquilla X3 Destacado Estrella"/>
        <s v="Taquilla X4 Destacado Estrella"/>
        <s v="Taquilla X8 Destacado Estrella"/>
        <s v="Taquilla X9 Destacado Estrella"/>
        <s v="Taquilla X10 Destacado Estrella"/>
        <s v="Amigo Games Destacado Estrella"/>
        <s v="Fomento Amigo Games Destacado Estrella"/>
        <s v="The Tourist, Susc Semanal"/>
        <s v="Top Videos suscripcion 7 dias"/>
        <s v="eXoticas . Susc Semanal"/>
        <s v="Juegos Fun Planet Susc Semanal"/>
        <s v="Juegos Fun Planet  Destacado Estrella"/>
        <s v="Astro Futuro Suscripción Semanal"/>
        <s v="Astro Futuro Destacado Estrella"/>
        <s v="Juegos Gamedroid Susc. Semanal"/>
        <s v="Juegos Gamedroid Destacado Estrella"/>
        <s v="Terra"/>
        <s v="Pocoyo House"/>
        <s v="Pocoyo House Estrella"/>
        <s v="OnMobile Global Spain, S.L."/>
        <s v="LittleSmartPlanet Nuevo precio susc 7 dias"/>
        <s v="Fomento de 42389 LittleSmartPlanet"/>
        <s v="Estrella de Mr.69 del CPC 30088"/>
        <s v="Porno Interactivo susc. Semanal"/>
        <s v="Parece del MundoToday . Susc 7 dias"/>
        <s v="Caillou y Amigos Susc. 7 dias"/>
        <s v="Fomento del 42689.Caillou y Amigos"/>
        <s v="Estrella.Caillou y Amigos"/>
        <s v="Fomento Estrella del 42709.Caillou y Amigos"/>
        <s v="Sex 360 . Susc 7 dias"/>
        <s v="SexDucate . Susc 7 dias"/>
        <s v="2dayuk"/>
        <s v="Noticias nuevo precio. Susc. 7 dias"/>
        <s v="Deportes nuevo precio. Susc. 7 dias"/>
        <s v="Playboy (nuevo agregador Bennu)"/>
        <s v="Estrella SexDucatedel CPC 42911"/>
        <s v="VR Games Susc 7 dias"/>
        <s v="Estrella Parece del MundoToday"/>
        <s v="Ugames. Movistar Juegos"/>
        <s v="Fomento del CPC 43551 Ugames. Movistar Juegos"/>
        <s v="EnglishPills Nuevo precio"/>
        <s v="Fomento del CPC 43571 EnglishPills Nuevo precio"/>
        <s v="Estrella EnglishPills Nuevo precio del cpc 43571"/>
        <s v="Fomento del CPC 43575 Estrella EnglishPills Nuevo precio"/>
        <s v="Comedy Factory. Susc. Semanal"/>
        <s v="Estrella Comedy Factory. Susc. Semanal"/>
        <s v="Videos Clap. Susc Semanal"/>
        <s v="Estrella Videos Clap. Susc Semanal"/>
        <s v="Videos Tribuu. Susc Semanal"/>
        <s v="Estrella Videos Tribuu. Susc Semanal"/>
        <s v="Estrella Deportes emocion. Susc Semanal"/>
        <s v="Estrella Noticias . Susc. 7 dias"/>
        <s v="Promo Movistar Juegos 1 mes gratis"/>
        <s v="Hello Kitty House Susc 7 dias"/>
        <s v="Abaco. Susc Semanal"/>
        <s v="Aula 365. Susc Semanal"/>
        <s v="Estrella del CPC 43869 Hello Kitty House Susc 7 dias"/>
        <s v="Slow Life"/>
        <s v="Tunenglish. Susc Semanal"/>
        <s v="Bloomberg English. Susc Semanal"/>
        <s v="SoniQ Gym susc. Semanal"/>
        <s v="Aire Fresco Susc. Semanal"/>
        <s v="Pink Crush Susc. Semanal"/>
        <s v="Nubico eBooks"/>
        <s v="Nubico Promos"/>
        <s v="Cuaderno Magico"/>
        <s v="Soy Mujer Susc 7 dias"/>
        <s v="Kids Play Sus. 7 dias"/>
        <s v="Fomento de Kids Play Sus. 7 dias"/>
        <s v="Life R Style Susc. 7 dias"/>
        <s v="Humanity Susc. 7 dias"/>
        <s v="Baby TV Suc. 7 dias"/>
        <s v="Zona Z Susc. 7 dias"/>
        <s v="Tinder Emoción Susc.30 dias"/>
        <s v="Spotify Susc. 30 dias"/>
        <s v="Diario La Razón Susc. 30 dias"/>
        <s v="Diario As Susc. 30 dias"/>
        <s v="Period Catalunya en Castellano Susc. 30 dias"/>
        <s v="Period Catalunya en Catalan Susc. 30 dias"/>
        <s v="Diario Sport Susc. 30 dias"/>
        <s v="Diario El Pais Susc. 30 dias"/>
        <s v="Periódico Ibiza Susc. 30 dias"/>
        <s v="Diario Ara Susc. 30 dias"/>
        <s v="La Voz de Galicia Susc. 30 dias"/>
        <s v="Diario ABC Susc. 30 dias"/>
        <s v="Diario Pontevedra Susc. 30 dias"/>
        <s v="El Progreso Susc. 30 dias"/>
        <s v="Diario Córdoba Susc. 30 dias"/>
        <s v="Periódico Aragón Susc. 30 dias"/>
        <s v="Period Extremadur Susc. 30 dias"/>
        <s v="Period Mediterran Susc. 30 dias"/>
        <s v="Diario Ideal Susc. 30 dias"/>
        <s v="Las Provincias Susc. 30 dias"/>
        <s v="Diario de Burgos Susc. 30 dias"/>
        <s v="Diario de Ávila Susc. 30 dias"/>
        <s v="Diario Palentino Susc. 30 dias"/>
        <s v="Tribuna Albacete Susc. 30 dias"/>
        <s v="Tribuna C. Real Susc. 30 dias"/>
        <s v="Tribuna de Toledo Susc. 30 dias"/>
        <s v="Última Hora Susc. 30 dias"/>
        <s v="Diario Sur Susc. 30 dias"/>
        <s v="Alerta Cantabria Susc. 30 dias"/>
        <s v="Adelantad Segovia Susc. 30 dias"/>
        <s v="Gaceta Salamanca Susc. 30 dias"/>
      </sharedItems>
    </cacheField>
    <cacheField name="Billing Description" numFmtId="0">
      <sharedItems count="211">
        <s v="Multimedia"/>
        <s v="Gofresh logos"/>
        <s v="Mister-i"/>
        <s v="Parmenion Inversiones"/>
        <s v="Desc. Gameloft"/>
        <s v="Club música"/>
        <s v="Club"/>
        <s v="Animaciones&amp;Logos"/>
        <s v="MobileMusic tonos"/>
        <s v="Desc. Gamel5"/>
        <s v="Desc.Play2Me1"/>
        <s v="Desc.Play2Me1.5"/>
        <s v="Desc.Play2Me2"/>
        <s v="Desc.Play2Me3"/>
        <s v="Desc.Play2Me4"/>
        <s v="Desc.Play2Me5"/>
        <s v="Fondos"/>
        <s v="Videos"/>
        <s v="Animaciones"/>
        <s v="Fondos Branded"/>
        <s v="Videos Branded"/>
        <s v="Animaciones Brand"/>
        <s v="Canal Venus"/>
        <s v="Canal GChannel"/>
        <s v="Paquete TV Ad"/>
        <s v="Musica.truni199"/>
        <s v="Musica.trson199"/>
        <s v="Musica.trwar199"/>
        <s v="Musica.trgen199"/>
        <s v="MOVIHUMOR-20"/>
        <s v="Susc Fond MB Xhtm"/>
        <s v="tarifa plana tono"/>
        <s v="Fondo Avatares"/>
        <s v="ALLUCANEAT-30"/>
        <s v="Fondos Dinamicos"/>
        <s v="Yiam Uno S.L."/>
        <s v="Playboy Tv"/>
        <s v="Susc gameloft 3e"/>
        <s v="Susc Sem EA 0,99e"/>
        <s v="TP Seman EA 0,99e"/>
        <s v="Susc Real Network"/>
        <s v="Susc Sem Play2Me"/>
        <s v="Juegos P2M 3,99"/>
        <s v="Juegos P2M 2,99"/>
        <s v="Juegos P2M 1,99"/>
        <s v="Multimedias"/>
        <s v="Juegos 2,99 euros"/>
        <s v="Tf Plana Videos "/>
        <s v="Temas Movistar"/>
        <s v="TP Fondos Semanal"/>
        <s v="Buongiorno"/>
        <s v="Descarga 0,99 eur"/>
        <s v="Descarga 1,49 eur"/>
        <s v="Descarga 1,99 eur"/>
        <s v="Descarga 2,99 eur"/>
        <s v="Descarga 3,99 eur"/>
        <s v="Susc Semanal 0,99"/>
        <s v="Susc Juegos Sexy"/>
        <s v="Juegos Sexy 0,99 "/>
        <s v="Juegos Sexy 3,99"/>
        <s v="Juegos HD 4,99"/>
        <s v="Musica.tralt199"/>
        <s v="Musica.trorc199"/>
        <s v="Musica.MP3.war149"/>
        <s v="Musica.MP3.war99"/>
        <s v="Musica.MP3.son149"/>
        <s v="Musica.MP3.son99"/>
        <s v="Musica.MP3.uni149"/>
        <s v="Musica.MP3.uni99"/>
        <s v="Musica.MP3.orc149"/>
        <s v="Musica.MP3.orc99"/>
        <s v="Musica.MP3.alt149"/>
        <s v="Musica.MP3.alt99"/>
        <s v="Musica.MP3.gen149"/>
        <s v="Musica.MP3.gen99"/>
        <s v="Musica.fvwar199"/>
        <s v="Musica.fvson199"/>
        <s v="Musica.fvuni199"/>
        <s v="Musica.fvorc199"/>
        <s v="Musica.fvalt199"/>
        <s v="Musica.fvgen199"/>
        <s v="Deportes Emocion"/>
        <s v="Tarifa plana mp3"/>
        <s v="Novedades 3,99"/>
        <s v="Musica Dance"/>
        <s v="Musica Flamenco"/>
        <s v="Musica Espanola"/>
        <s v="Extra Juego Gloft"/>
        <s v="Musica Latina"/>
        <s v="MusicInfatilSUSC"/>
        <s v="GNFTwar199"/>
        <s v="Noticias Emocion"/>
        <s v="Juego En Tu Movil"/>
        <s v="Demo Juego 0,99 e"/>
        <s v="Demo Juego 1,99 e"/>
        <s v="Demo Juego 2,99 e"/>
        <s v="Demo Juego 3,99 e"/>
        <s v="Juegos Gameloft "/>
        <s v="Juegos Tap To Fun"/>
        <s v="Tap To Stars"/>
        <s v="Juego GoPlay 0.75"/>
        <s v="Juego GoPlay 0.99"/>
        <s v="Juego GoPlay 1.99"/>
        <s v="Juego GoPlay 2.49"/>
        <s v="Juego GoPlay 2.99"/>
        <s v="Juegos GoPlay "/>
        <s v="Juego GoPlay 3.99"/>
        <s v="Extra Demo Juego"/>
        <s v="Tap To Fun Promo"/>
        <s v="Tap To Fun Basico"/>
        <s v="Videos Multimedia"/>
        <s v="English Pills"/>
        <s v="Portal Eurosalud"/>
        <s v="Portal Taromancia"/>
        <s v="NEOMOBILE"/>
        <s v="YoMujerymas.com"/>
        <s v="Cuidatemejor.com"/>
        <s v="Musica Clasica"/>
        <s v="Go Play Juegos "/>
        <s v="Juegos GameShaker"/>
        <s v="Znack video"/>
        <s v="Extra Juego Play2"/>
        <s v="Revista de Moda"/>
        <s v="Fun@tic Games"/>
        <s v="L. Smart Planet"/>
        <s v="Video Horoscopo"/>
        <s v="Games Club"/>
        <s v="Video Golazos"/>
        <s v="Musica x Generos"/>
        <s v="Natural Beauty"/>
        <s v="Videos Lo + Mejor"/>
        <s v="Futbolitis"/>
        <s v="Hazlo Tú Mism@"/>
        <s v="Bellezas Salvajes"/>
        <s v="Daily Diva Mujer"/>
        <s v="Edukidz"/>
        <s v="Zaaass Videos"/>
        <s v="Kids Tube"/>
        <s v="Chef Book Recetas"/>
        <s v="I Trip Viajes y +"/>
        <s v="Juegos Play On"/>
        <s v="Video Coto D Caza"/>
        <s v="Gladiadores MMA"/>
        <s v="Taromancia"/>
        <s v="Mascotas"/>
        <s v="Fashion TV"/>
        <s v="TopVideo"/>
        <s v="Amigo Games"/>
        <s v="The Tourist Video"/>
        <s v="Juegos Fun Planet"/>
        <s v="AstroFuturo"/>
        <s v="Juegos Gamedroid"/>
        <s v="Terra"/>
        <s v="Pocoyo House"/>
        <s v="OnMobile Global Spain, S.L."/>
        <s v="Parece MundoToday"/>
        <s v="Caillou y Amigos"/>
        <s v="Sex 360"/>
        <s v="Sexducate con LB"/>
        <s v="2dayuk"/>
        <s v="VR Games"/>
        <s v="Movistar Juegos"/>
        <s v="Comedy Factory"/>
        <s v="Videos Clap"/>
        <s v="Videos Tribuu"/>
        <s v="Hello Kitty House"/>
        <s v="Abaco"/>
        <s v="Aula 365"/>
        <s v="Slow Life"/>
        <s v="Tunenglish"/>
        <s v="Bloomberg English"/>
        <s v="SoniQ Gym Fitness"/>
        <s v="Aire Fresco"/>
        <s v="Nubico eBooks"/>
        <s v="Nubico Promo"/>
        <s v="Cuaderno Mágico"/>
        <s v="Soy Mujer"/>
        <s v="Kids Play"/>
        <s v="Life R Style"/>
        <s v="Humanity"/>
        <s v="Baby TV"/>
        <s v="Zona Z"/>
        <s v="Spotify"/>
        <s v="Diario La Razón"/>
        <s v="Diario As"/>
        <s v="Period Catalunya"/>
        <s v="Diario Sport"/>
        <s v="Diario El Pais"/>
        <s v="Periódico Ibiza"/>
        <s v="Diario Ara"/>
        <s v="La Voz de Galicia"/>
        <s v="Diario ABC"/>
        <s v="Diario Pontevedra"/>
        <s v="El Progreso"/>
        <s v="Diario Córdoba"/>
        <s v="Periódico Aragón"/>
        <s v="Period Extremadur"/>
        <s v="Period Mediterran"/>
        <s v="Diario Ideal"/>
        <s v="Las Provincias"/>
        <s v="Diario de Burgos"/>
        <s v="Diario de Ávila"/>
        <s v="Diario Palentino"/>
        <s v="Tribuna Albacete"/>
        <s v="Tribuna C. Real"/>
        <s v="Tribuna de Toledo"/>
        <s v="Última Hora"/>
        <s v="Diario Sur"/>
        <s v="Alerta Cantabria"/>
        <s v="Adelantad Segovia"/>
        <s v="Gaceta Salamanca"/>
      </sharedItems>
    </cacheField>
    <cacheField name="Is a CVAS CPC?" numFmtId="0">
      <sharedItems/>
    </cacheField>
    <cacheField name="Old TME Category" numFmtId="0">
      <sharedItems count="15">
        <s v="Light"/>
        <s v="Images"/>
        <s v="Chats"/>
        <s v="Games"/>
        <s v="Music"/>
        <s v="Video"/>
        <s v="Humor"/>
        <s v="Sports"/>
        <s v="News"/>
        <s v="More Fun"/>
        <s v="Women"/>
        <s v="Kids"/>
        <s v="Free Time"/>
        <s v="Nubico"/>
        <s v="Mujer" u="1"/>
      </sharedItems>
    </cacheField>
    <cacheField name="TME Category" numFmtId="0">
      <sharedItems count="10">
        <s v="Light"/>
        <s v="Images"/>
        <s v="Free Time"/>
        <s v="Games"/>
        <s v="Music"/>
        <s v="Sports"/>
        <s v="News"/>
        <s v="Beauty and Health"/>
        <s v="Kids"/>
        <s v="Nubico"/>
      </sharedItems>
    </cacheField>
    <cacheField name="TME SubCategory" numFmtId="0">
      <sharedItems containsBlank="1"/>
    </cacheField>
    <cacheField name="OM Category" numFmtId="0">
      <sharedItems/>
    </cacheField>
    <cacheField name="OM SubCategory" numFmtId="0">
      <sharedItems containsBlank="1"/>
    </cacheField>
    <cacheField name="Content Provider" numFmtId="0">
      <sharedItems count="37">
        <s v="PSM"/>
        <s v="Gofresh"/>
        <s v="Mister-i"/>
        <s v="Parmenion Inversiones"/>
        <s v="Gameloft"/>
        <s v="Waat Media"/>
        <s v="AirTouch New Media SL"/>
        <s v="Private"/>
        <s v="Mobiground"/>
        <s v="Claxson . Contribution"/>
        <s v="Yiam Uno S.L."/>
        <s v="Buongiorno"/>
        <s v="PROVEEDOR _x000a_PAQUETES"/>
        <s v="Genexies"/>
        <s v="EA"/>
        <s v="Thagson"/>
        <s v="Gigigo"/>
        <s v="G-Mobile Content"/>
        <s v="Addictive Entertainment"/>
        <s v="Connect2media"/>
        <s v="OnMobile Global Spain, S.L."/>
        <s v="JET MULTIMEDIA "/>
        <s v="JET MULTIMEDIA"/>
        <s v="NEOMOBILE"/>
        <s v="2dayuk"/>
        <s v="Terra"/>
        <s v="Pacific Media Entertainment, Inc."/>
        <s v="Bennu"/>
        <s v="Competir"/>
        <s v="Medianetpay"/>
        <s v="Agile"/>
        <s v="SoniQ"/>
        <s v="Aire Fresco"/>
        <s v="Digicirtel"/>
        <s v="Mobile Cash Out"/>
        <s v="Alchimie"/>
        <s v="Spotify Spain SL"/>
      </sharedItems>
    </cacheField>
    <cacheField name="Estado" numFmtId="0">
      <sharedItems/>
    </cacheField>
    <cacheField name="New Billing OM" numFmtId="0">
      <sharedItems/>
    </cacheField>
    <cacheField name="Code of Content" numFmtId="0">
      <sharedItems containsString="0" containsBlank="1" containsNumber="1" containsInteger="1" minValue="873" maxValue="46437"/>
    </cacheField>
    <cacheField name="Service Name" numFmtId="0">
      <sharedItems/>
    </cacheField>
    <cacheField name="Description Level of Pricing" numFmtId="0">
      <sharedItems containsBlank="1"/>
    </cacheField>
    <cacheField name="Cod Level  of  Pricing" numFmtId="0">
      <sharedItems containsString="0" containsBlank="1" containsNumber="1" containsInteger="1" minValue="0" maxValue="161"/>
    </cacheField>
    <cacheField name="Subscription Model" numFmtId="0">
      <sharedItems/>
    </cacheField>
    <cacheField name="Cod of Profile" numFmtId="0">
      <sharedItems containsString="0" containsBlank="1" containsNumber="1" containsInteger="1" minValue="0" maxValue="908"/>
    </cacheField>
    <cacheField name="Price" numFmtId="0">
      <sharedItems containsString="0" containsBlank="1" containsNumber="1" minValue="0" maxValue="20.83"/>
    </cacheField>
    <cacheField name="% Margin CP" numFmtId="0">
      <sharedItems containsString="0" containsBlank="1" containsNumber="1" minValue="0.08" maxValue="0.9"/>
    </cacheField>
    <cacheField name="% Margin TME" numFmtId="0">
      <sharedItems containsString="0" containsBlank="1" containsNumber="1" minValue="0.1" maxValue="0.92"/>
    </cacheField>
    <cacheField name="% Margin Recording Company" numFmtId="0">
      <sharedItems containsString="0" containsBlank="1" containsNumber="1" minValue="0.3518" maxValue="0.55559999999999998"/>
    </cacheField>
    <cacheField name="% Margin SGAE/AIE" numFmtId="0">
      <sharedItems containsString="0" containsBlank="1" containsNumber="1" minValue="0.13" maxValue="0.13"/>
    </cacheField>
    <cacheField name="Recording Company" numFmtId="0">
      <sharedItems containsBlank="1"/>
    </cacheField>
    <cacheField name="Unique_ID" numFmtId="0">
      <sharedItems containsBlank="1" count="252">
        <s v="LA GRUTA DEL SEXO"/>
        <s v="GOFRESH LOGOS"/>
        <s v="MOVIMESSENGER"/>
        <s v="CONTACTOS"/>
        <s v="¿QUEDAMOS?"/>
        <s v="FUN@TIC GAMES"/>
        <s v="JCS NIGHTCLUB"/>
        <s v="CLUB MÚSICA"/>
        <s v="CLUB"/>
        <s v="ANIMACIONES&amp;LOGOS"/>
        <s v="EUROTEENS"/>
        <s v="MOBILEMUSIC TONOS"/>
        <s v="TOP MODELS"/>
        <s v="PRIVATE"/>
        <s v="PLAY2ME"/>
        <s v="FONDOS"/>
        <s v="VIDEOS"/>
        <s v="ANIMACIONES"/>
        <s v="FONDOS BRANDED"/>
        <s v="VIDEOS BRANDED"/>
        <s v="ANIMACIONES BRAND"/>
        <s v="MUNDO DVD PORNO"/>
        <s v="PORNO PROFESIONAL"/>
        <s v="CANAL VENUS"/>
        <s v="FORMAN TV"/>
        <s v="FANTASY MANSION"/>
        <s v="WICKED"/>
        <s v="DIVINAS MAMAS"/>
        <s v="CORRIDAS"/>
        <s v="HARDCORE"/>
        <s v="HENTAI"/>
        <s v="LESBIANAS"/>
        <s v="COCHINAS LATINAS"/>
        <s v="CASADAS"/>
        <s v="JOVENCITAS"/>
        <s v="MAMADAS"/>
        <s v="IBERICAS"/>
        <s v="PUTAS"/>
        <s v="SEXO EN PUBLICO"/>
        <s v="FOLLAMIGOS"/>
        <s v="MOVISEXY"/>
        <s v="PAQUETE TV AD"/>
        <s v="GAY"/>
        <s v="MADURAS"/>
        <s v="ABUELOS CACHONDOS"/>
        <s v="WEBCAMS"/>
        <s v="ORIENTAL"/>
        <s v="CULAZOS"/>
        <s v="CHICAS HUMEDAS"/>
        <s v="PORN STARS"/>
        <s v="STRIPERS"/>
        <s v="CHICAS MALAS"/>
        <s v="MACIZOS"/>
        <s v="LATINAS"/>
        <s v="TATTOO"/>
        <s v="LENCERÍA"/>
        <s v="MUSICA.TRUNI199"/>
        <s v="MUSICA.TRSON199"/>
        <s v="MUSICA.TRWAR199"/>
        <s v="MUSICA.TRGEN199"/>
        <s v="MORENAZAS"/>
        <s v="MOVIHUMOR-20"/>
        <s v="MULATAS"/>
        <s v="RUBIAS"/>
        <s v="SUPERTANGAS"/>
        <s v="SUSC FOND MB XHTM"/>
        <s v="VECINITAS"/>
        <s v="TARIFA PLANA TONO"/>
        <s v="FONDO AVATARES"/>
        <s v="PORNO TRAVIESO"/>
        <s v="YOU PORN XXX/TU PORNO"/>
        <s v="ALLUCANEAT-30"/>
        <s v="FONDOS DINAMICOS"/>
        <s v="CHEAP &amp; NASTY"/>
        <s v="PLAYHOUSE"/>
        <s v="VIDEO X PORN"/>
        <s v="TERA PATRICK"/>
        <s v="EXCITAME"/>
        <s v="PLAYBOY"/>
        <s v="EN FAMILIA"/>
        <s v="GRANDES POLLAS"/>
        <s v="GAMELOFT GAMES"/>
        <s v="VIDEOCLUB X"/>
        <s v="PUTA LOCURA / MR 69"/>
        <s v="MEGAZORRONES"/>
        <s v="POR CULO"/>
        <s v="ENFERMERAS"/>
        <s v="EX NOVIAS"/>
        <s v="SEXO DE LUJO"/>
        <s v="TETONAS"/>
        <s v="UNIVERSITARIAS"/>
        <s v="ORGIAS"/>
        <s v="ORGASMOS FEMENINOS"/>
        <s v="TRAVESTIS"/>
        <s v="SEXO ORIENTAL"/>
        <s v="TRÍOS"/>
        <s v="GORDAS"/>
        <s v="ESPECIAL COÑOS"/>
        <s v="CLUB DE INTERCAMBIOS"/>
        <s v="SEXO CASERO"/>
        <s v="EA"/>
        <s v="AFICIONADOS ESPAÑOLES"/>
        <s v="SUSC REAL NETWORK"/>
        <s v="LA CALLE DEL SEXO"/>
        <s v="TF PLANA VIDEOS "/>
        <s v="CHAT MUSICA"/>
        <s v="XVIDEOS CLUB"/>
        <s v="MUSICA X PAISES"/>
        <s v="BANDAS SONORAS"/>
        <s v="GAY MOBILE"/>
        <s v="DIGITAL SIN"/>
        <s v="NECTAR"/>
        <s v="NEW SENSATIONS"/>
        <s v="PASSION HD"/>
        <s v="CANAL PENTHOUSE"/>
        <s v="TEMAS MOVISTAR"/>
        <s v="TP FONDOS SEMANAL"/>
        <s v="FASHION TV"/>
        <s v="AMATEUR"/>
        <s v="PORNSTARS"/>
        <s v="WORLDSEX"/>
        <s v="TU PORNO"/>
        <s v="CONNECT2MEDIA"/>
        <s v="JUEGOS SEXY"/>
        <s v="CLUB SEXY"/>
        <s v="SUSC CAM OCULTA "/>
        <s v="MUSICA.TRALT199"/>
        <s v="MUSICA.TRORC199"/>
        <s v="MUSICA.MP3.WAR149"/>
        <s v="MUSICA.MP3.WAR99"/>
        <s v="MUSICA.MP3.SON149"/>
        <s v="MUSICA.MP3.SON99"/>
        <s v="MUSICA.MP3.UNI149"/>
        <s v="MUSICA.MP3.UNI99"/>
        <s v="MUSICA.MP3.ORC149"/>
        <s v="MUSICA.MP3.ORC99"/>
        <s v="MUSICA.MP3.ALT149"/>
        <s v="MUSICA.MP3.ALT99"/>
        <s v="MUSICA.MP3.GEN149"/>
        <s v="MUSICA.MP3.GEN99"/>
        <s v="MUSICA.FVWAR199"/>
        <s v="MUSICA.FVSON199"/>
        <s v="MUSICA.FVUNI199"/>
        <s v="MUSICA.FVORC199"/>
        <s v="MUSICA.FVALT199"/>
        <s v="MUSICA.FVGEN199"/>
        <s v="DEPORTES EMOCION"/>
        <s v="TARIFA PLANA MP3"/>
        <s v="NOVEDADES 3,99"/>
        <s v="TAQUILLAS"/>
        <s v="MUSICA DANCE"/>
        <s v="MUSICA FLAMENCO"/>
        <s v="MUSICA ESPANOLA"/>
        <s v="MUSICA LATINA"/>
        <s v="PORNO CALLEJEROS"/>
        <s v="SUPERESCENAS XXX"/>
        <s v="MUSICINFATILSUSC"/>
        <s v="MANSION DE NACHO VIDAL"/>
        <s v="PENTHOUSE"/>
        <s v="GNFTWAR199"/>
        <s v="NOTICIAS EMOCION"/>
        <s v="JUEGO EN TU MOVIL"/>
        <s v="EMBEBIDO MOBIG"/>
        <s v="TAP TO FUN"/>
        <s v="TAP TO STARS"/>
        <s v="XTREME MOVIES"/>
        <s v="JUEGO GOPLAY"/>
        <s v="EMBEBIDO IN APP GAMELOFT"/>
        <s v="RINCON PROHIBIDO"/>
        <s v="ENGLISH PILLS"/>
        <s v="PORTAL EUROSALUD"/>
        <s v="PORTAL TAROMANCIA"/>
        <s v="ORGASMATRON"/>
        <s v="TELEDIBUJITOS"/>
        <s v="MI SEX VIDEO"/>
        <s v="YOMUJERYMAS.COM"/>
        <s v="CUIDATEMEJOR.COM"/>
        <s v="CAM GIRLS"/>
        <s v="RELATOS XXX"/>
        <s v="VICIOUS CAM"/>
        <s v="MUSICA CLASICA"/>
        <s v="PORNO GAFAS"/>
        <s v="JUEGOS GAMESHAKER"/>
        <s v="ZNACK VIDEO"/>
        <s v="EMBEBIDO IN APP MOBIG"/>
        <s v="REVISTA DE MODA"/>
        <s v="L. SMART PLANET"/>
        <s v="VIDEO HOROSCOPO"/>
        <s v="GAMES CLUB"/>
        <s v="VIDEO GOLAZOS"/>
        <s v="21 NATURALS"/>
        <s v="VICIOSAS XXX"/>
        <s v="MUSICA X GENEROS"/>
        <s v="NATURAL BEAUTY"/>
        <s v="VIDEOS LO + MEJOR"/>
        <s v="FUTBOLITIS"/>
        <s v="HAZLO TÚ MISM@"/>
        <s v="BELLEZAS SALVAJES"/>
        <s v="DAILY DIVA MUJER"/>
        <s v="EDUKIDZ"/>
        <s v="ZAAASS VIDEOS"/>
        <s v="INTIMAX"/>
        <s v="KIDS TUBE"/>
        <s v="CHEF BOOK RECETAS"/>
        <s v="I TRIP VIAJES Y +"/>
        <s v="JUEGOS PLAY ON"/>
        <s v="VIDEO COTO D CAZA"/>
        <s v="GLADIADORES MMA"/>
        <s v="TAROMANCIA"/>
        <s v="MASCOTAS"/>
        <s v="TOPVIDEO"/>
        <s v="AMIGO GAMES"/>
        <s v="THE TOURIST VIDEO"/>
        <s v="EXOTICAS"/>
        <s v="JUEGOS FUN PLANET"/>
        <s v="ASTROFUTURO"/>
        <s v="JUEGOS GAMEDROID"/>
        <s v="EDMUNDO"/>
        <s v="POCOYO HOUSE"/>
        <s v="VIDEO SERIES"/>
        <s v="PORNO INTERACTIVO"/>
        <s v="PARECE MUNDOTODAY"/>
        <s v="CAILLOU Y AMIGOS"/>
        <s v="SEX 360"/>
        <s v="SEXDUCATE CON LB"/>
        <s v="LIFESELECTOR"/>
        <s v="VR GAMES"/>
        <s v="MOVISTAR JUEGOS"/>
        <s v="COMEDY FACTORY"/>
        <s v="VIDEOS CLAP"/>
        <s v="VIDEOS TRIBUU"/>
        <s v="HELLO KITTY HOUSE"/>
        <s v="ABACO"/>
        <s v="AULA 365"/>
        <s v="SLOW LIFE"/>
        <s v="TUNENGLISH"/>
        <s v="BLOOMBERG ENGLISH"/>
        <s v="SONIQ GYM FITNESS"/>
        <s v="AIRE FRESCO"/>
        <s v="PINK CRUSH"/>
        <s v="NUBICO EBOOKS"/>
        <s v="NUBICO PROMO"/>
        <s v="CUADERNO MÁGICO"/>
        <s v="SOY MUJER"/>
        <s v="KIDS PLAY"/>
        <m/>
        <s v="Canal GChannel" u="1"/>
        <s v="Go Play Juegos " u="1"/>
        <s v="THAGSON_380" u="1"/>
        <s v="THAGSON_383" u="1"/>
        <s v="Videos Multimedia" u="1"/>
        <s v="THAGSON_629" u="1"/>
      </sharedItems>
    </cacheField>
    <cacheField name="Nº Renewals" numFmtId="0">
      <sharedItems containsString="0" containsBlank="1" containsNumber="1" minValue="1" maxValue="4.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rnan" refreshedDate="43770.518259490738" createdVersion="6" refreshedVersion="6" minRefreshableVersion="3" recordCount="532" xr:uid="{00000000-000A-0000-FFFF-FFFF04000000}">
  <cacheSource type="worksheet">
    <worksheetSource ref="B1:AD659" sheet="MASTER CPC"/>
  </cacheSource>
  <cacheFields count="29">
    <cacheField name="CPC" numFmtId="0">
      <sharedItems containsSemiMixedTypes="0" containsString="0" containsNumber="1" containsInteger="1" minValue="893" maxValue="44841"/>
    </cacheField>
    <cacheField name="CPC to upgrade" numFmtId="0">
      <sharedItems containsString="0" containsBlank="1" containsNumber="1" containsInteger="1" minValue="31568" maxValue="44618"/>
    </cacheField>
    <cacheField name="APP_ID" numFmtId="0">
      <sharedItems containsString="0" containsBlank="1" containsNumber="1" containsInteger="1" minValue="153" maxValue="679" count="259">
        <n v="313"/>
        <n v="563"/>
        <m/>
        <n v="298"/>
        <n v="257"/>
        <n v="564"/>
        <n v="426"/>
        <n v="347"/>
        <n v="604"/>
        <n v="427"/>
        <n v="599"/>
        <n v="602"/>
        <n v="474"/>
        <n v="361"/>
        <n v="355"/>
        <n v="357"/>
        <n v="363"/>
        <n v="366"/>
        <n v="356"/>
        <n v="303"/>
        <n v="251"/>
        <n v="600"/>
        <n v="581"/>
        <n v="580"/>
        <n v="601"/>
        <n v="246"/>
        <n v="245"/>
        <n v="344"/>
        <n v="249"/>
        <n v="250"/>
        <n v="244"/>
        <n v="271"/>
        <n v="275"/>
        <n v="279"/>
        <n v="274"/>
        <n v="272"/>
        <n v="231"/>
        <n v="583"/>
        <n v="273"/>
        <n v="278"/>
        <n v="346"/>
        <n v="454"/>
        <n v="455"/>
        <n v="453"/>
        <n v="452"/>
        <n v="456"/>
        <n v="451"/>
        <n v="457"/>
        <n v="276"/>
        <n v="277"/>
        <n v="587"/>
        <n v="510"/>
        <n v="309"/>
        <n v="304"/>
        <n v="254"/>
        <n v="305"/>
        <n v="466"/>
        <n v="306"/>
        <n v="307"/>
        <n v="308"/>
        <n v="364"/>
        <n v="280"/>
        <n v="365"/>
        <n v="605"/>
        <n v="606"/>
        <n v="358"/>
        <n v="507"/>
        <n v="302"/>
        <n v="458"/>
        <n v="282"/>
        <n v="281"/>
        <n v="230"/>
        <n v="586"/>
        <n v="247"/>
        <n v="248"/>
        <n v="213"/>
        <n v="229"/>
        <n v="232"/>
        <n v="310"/>
        <n v="603"/>
        <n v="283"/>
        <n v="228"/>
        <n v="227"/>
        <n v="488"/>
        <n v="479"/>
        <n v="482"/>
        <n v="492"/>
        <n v="494"/>
        <n v="498"/>
        <n v="486"/>
        <n v="485"/>
        <n v="496"/>
        <n v="484"/>
        <n v="493"/>
        <n v="497"/>
        <n v="483"/>
        <n v="481"/>
        <n v="478"/>
        <n v="490"/>
        <n v="153"/>
        <n v="243"/>
        <n v="294"/>
        <n v="342"/>
        <n v="383"/>
        <n v="367"/>
        <n v="425"/>
        <n v="240"/>
        <n v="446"/>
        <n v="436"/>
        <n v="378"/>
        <n v="502"/>
        <n v="509"/>
        <n v="504"/>
        <n v="505"/>
        <n v="500"/>
        <n v="584"/>
        <n v="585"/>
        <n v="359"/>
        <n v="368"/>
        <n v="220"/>
        <n v="221"/>
        <n v="476"/>
        <n v="477"/>
        <n v="293"/>
        <n v="473"/>
        <n v="217"/>
        <n v="467"/>
        <n v="463"/>
        <n v="465"/>
        <n v="440"/>
        <n v="464"/>
        <n v="429"/>
        <n v="590"/>
        <n v="469"/>
        <n v="471"/>
        <n v="470"/>
        <n v="591"/>
        <n v="593"/>
        <n v="594"/>
        <n v="595"/>
        <n v="596"/>
        <n v="592"/>
        <n v="258"/>
        <n v="253"/>
        <n v="351"/>
        <n v="588"/>
        <n v="437"/>
        <n v="384"/>
        <n v="449"/>
        <n v="447"/>
        <n v="444"/>
        <n v="292"/>
        <n v="597"/>
        <n v="598"/>
        <n v="589"/>
        <n v="236"/>
        <n v="233"/>
        <n v="573"/>
        <n v="360"/>
        <n v="362"/>
        <n v="259"/>
        <n v="235"/>
        <n v="234"/>
        <n v="577"/>
        <n v="565"/>
        <n v="567"/>
        <n v="571"/>
        <n v="286"/>
        <n v="311"/>
        <n v="439"/>
        <n v="438"/>
        <n v="300"/>
        <n v="445"/>
        <n v="288"/>
        <n v="468"/>
        <n v="385"/>
        <n v="349"/>
        <n v="241"/>
        <n v="434"/>
        <n v="256"/>
        <n v="226"/>
        <n v="299"/>
        <n v="569"/>
        <n v="353"/>
        <n v="443"/>
        <n v="441"/>
        <n v="472"/>
        <n v="312"/>
        <n v="211"/>
        <n v="442"/>
        <n v="352"/>
        <n v="380"/>
        <n v="218"/>
        <n v="219"/>
        <n v="285"/>
        <n v="267"/>
        <n v="265"/>
        <n v="207"/>
        <n v="225"/>
        <n v="381"/>
        <n v="382"/>
        <n v="582"/>
        <n v="566"/>
        <n v="568"/>
        <n v="572"/>
        <n v="570"/>
        <n v="574"/>
        <n v="343"/>
        <n v="291"/>
        <n v="284"/>
        <n v="287"/>
        <n v="268"/>
        <n v="266"/>
        <n v="433"/>
        <n v="379"/>
        <n v="503"/>
        <n v="506"/>
        <n v="487"/>
        <n v="508"/>
        <n v="489"/>
        <n v="450"/>
        <n v="432"/>
        <n v="480"/>
        <n v="495"/>
        <n v="491"/>
        <n v="448"/>
        <n v="578"/>
        <n v="238"/>
        <n v="301"/>
        <n v="222"/>
        <n v="215"/>
        <n v="348"/>
        <n v="295"/>
        <n v="350"/>
        <n v="513"/>
        <n v="627"/>
        <n v="628"/>
        <n v="515"/>
        <n v="514"/>
        <n v="629"/>
        <n v="630"/>
        <n v="632"/>
        <n v="633"/>
        <n v="200"/>
        <n v="204"/>
        <n v="203"/>
        <n v="202"/>
        <n v="201"/>
        <n v="206"/>
        <n v="205"/>
        <n v="635"/>
        <n v="636"/>
        <n v="637"/>
        <n v="638"/>
        <n v="639"/>
        <n v="640"/>
        <n v="674"/>
        <n v="678"/>
        <n v="679"/>
      </sharedItems>
    </cacheField>
    <cacheField name="PACK_ID" numFmtId="0">
      <sharedItems containsBlank="1" containsMixedTypes="1" containsNumber="1" containsInteger="1" minValue="27" maxValue="67901"/>
    </cacheField>
    <cacheField name="Service_id" numFmtId="0">
      <sharedItems containsBlank="1" containsMixedTypes="1" containsNumber="1" containsInteger="1" minValue="56" maxValue="67801"/>
    </cacheField>
    <cacheField name="Short Description" numFmtId="0">
      <sharedItems count="366">
        <s v="La Gruta del Sexo . Susc. 7 dias"/>
        <s v="Suscripción 30 autorenovable para contenido: Gofresh logos"/>
        <s v="Mister-i"/>
        <s v="Descarga para contenido: clips"/>
        <s v="Parmenion Inversiones"/>
        <s v="Descarga (Desc. Gameloft)"/>
        <s v="Suscripción 30 autorenovable (Sueños Calientes)"/>
        <s v="Suscripcion 7 (Club música)"/>
        <s v="Suscripción 30 autorenovable (Club)"/>
        <s v="Suscripción 30 autorenovable (Animaciones&amp;Logos)"/>
        <s v="Suscripción 30 autorenovable (Subsc.Vivid)"/>
        <s v="Suscripción 30 autorenovable (MobileMusic tonos)"/>
        <s v="Suscripcion Mensual Sport Illustrated"/>
        <s v="Descarga (Desc. Gamel5)"/>
        <s v="Descarga (DescFondosPrivate)"/>
        <s v="Descarga (Desc.Play2Me1)"/>
        <s v="Descarga (Desc.Play2Me1.5)"/>
        <s v="Descarga (Desc.Play2Me2)"/>
        <s v="Descarga (Desc.Play2Me3)"/>
        <s v="Descarga (Desc.Play2Me4)"/>
        <s v="Descarga (Desc.Play2Me5)"/>
        <s v="Descarga (Fondos)"/>
        <s v="Descarga (Videos)"/>
        <s v="Descarga (Animaciones)"/>
        <s v="Descarga (Fondos Branded)"/>
        <s v="Descarga (Videos Branded)"/>
        <s v="Descarga (Multimedia)"/>
        <s v="Suscripción 30 autorenovable (Canal Venus)"/>
        <s v="Suscripción 30 autorenovable (Canal GChannel)"/>
        <s v="Suscripción 30 autorenovable (Multimedia)"/>
        <s v="Casadas Imágenes"/>
        <s v="Jovencitas Imágenes"/>
        <s v="Mamadas Imágenes"/>
        <s v="Ibericas Imágenes"/>
        <s v="Sexo en publico Imágenes"/>
        <s v="Paquete de Suscripciones 30 dias Autorenovable (Paquete TV Ad)"/>
        <s v="Descarga (MOVIREAL-20-UNIVE)"/>
        <s v="Descarga (MOVIREAL-20-SONY)"/>
        <s v="Descarga (MOVIREAL-20-WARNE)"/>
        <s v="Descarga (MOVIREAL-20-GENX)"/>
        <s v="Descarga (MOVIHUMOR-20)"/>
        <s v="Suscripción 30 autorenovable (Susc Fond MB Xhtm)"/>
        <s v="Suscripción 30 autorenovable (ALLUCANEAT-40)"/>
        <s v="Suscripción 30 autorenovable (Fondo Avatares)"/>
        <s v="Suscripción 30 autorenovable (ALLUCANEAT-30)"/>
        <s v="Descarga (Fondos Dinamicos)"/>
        <s v="Yiam Uno S.L."/>
        <s v="Suscripcisn 7 autorenovable (Multimedia)"/>
        <s v="Suscripción 30 autorenovable (Playboy Tv)"/>
        <s v="Suscripción 30 autorenovable (Susc gameloft 3e)"/>
        <s v="Descarga (Amateur)"/>
        <s v="Suscripcisn 7 autorenovable (Susc Sem EA 0,99e)"/>
        <s v="Suscripcisn 7 autorenovable (TP Seman EA 0,99e)"/>
        <s v="Suscripción 30 autorenovable (Susc Real Network)"/>
        <s v="Suscripcisn 7 autorenovable (Susc Sem Play2Me)"/>
        <s v="Descarga (Juegos P2M 3,99)"/>
        <s v="Descarga (Juegos P2M 2,99)"/>
        <s v="Descarga (Juegos P2M 1,99)"/>
        <s v="Suscripcisn 7 autorenovable (Multimedias)"/>
        <s v="Descarga (Juegos 2,99 euros)"/>
        <s v="Suscripcisn 7 autorenovable (Tf Plana Videos )"/>
        <s v="Musica x Paises.Susc Semanal"/>
        <s v="Bandas Sonoras.Susc Semanal"/>
        <s v="Descarga (Temas Movistar)"/>
        <s v="Suscripcisn 7 autorenovable (TP Fondos Semanal)"/>
        <s v="Divinas Mamas Suscripcisn 7 autorenovable"/>
        <s v="Buongiorno"/>
        <s v="Tu Porno Suscripcion 7 dias"/>
        <s v="Descarga (Descarga 0,99 eur)"/>
        <s v="Descarga (Descarga 1,50 eur)"/>
        <s v="Descarga (Descarga 1,99 eur)"/>
        <s v="Descarga (Descarga 2,99 eur)"/>
        <s v="Descarga (Descarga 3,99 eur)"/>
        <s v="Suscripcisn 7 autorenovable (Susc Semanal 0,99)"/>
        <s v="Suscripcisn 7 autorenovable (Susc Juegos Sexy)"/>
        <s v="Descarga (Juegos Sexy 0,99 )"/>
        <s v="Descarga (Juegos Sexy 3,99)"/>
        <s v="Descarga (Juegos HD 4,99)"/>
        <s v="Suscripción 7 (Multimedia)"/>
        <s v="Descarga (GNTRalt199)"/>
        <s v="Descarga (GNTTorc199)"/>
        <s v="Descarga (GNFTwar149)"/>
        <s v="Descarga (GNFTwar99)"/>
        <s v="Descarga (GNFTson149)"/>
        <s v="Descarga (GNFTson99)"/>
        <s v="Descarga (GNFTuni149)"/>
        <s v="Descarga (GNFTuni99)"/>
        <s v="Descarga (GNFTorc149)"/>
        <s v="Descarga (GNFTorc99)"/>
        <s v="Descarga (GNFTalt149)"/>
        <s v="Descarga (GNFTalt99)"/>
        <s v="Descarga (GNFTgen149)"/>
        <s v="Descarga (GNFTgen99)"/>
        <s v="Descarga (GNFVwar199)"/>
        <s v="Descarga (GNFVson199)"/>
        <s v="Descarga (GNFVuni199)"/>
        <s v="Descarga (GNFVorc199)"/>
        <s v="Descarga (GNFValt199)"/>
        <s v="Descarga (GNFVgen199)"/>
        <s v="Descarga (GNTRwar199)"/>
        <s v="Descarga (GNTRson199)"/>
        <s v="Descarga (GNTRuni199)"/>
        <s v="Descarga (GNTRorc199)"/>
        <s v="Descarga (GNTRgen199)"/>
        <s v="Suscripción 7 dias Deportes"/>
        <s v="Suscripción 7 dias autorenovable"/>
        <s v="Fomento del 34409 GRATIS el 1a Semana"/>
        <s v="Novedades Suscripción 7 auto"/>
        <s v="Pack Taquillas de X1 a X9"/>
        <s v="Suscripción 30 autorenovable (DANCE_SUSC)"/>
        <s v="Musica Flamenco .Susc. 7 dias"/>
        <s v="Musica Española .Susc. 7 dias"/>
        <s v="Suscripcion  GameHouse 1 mes gratis"/>
        <s v="Fomento 32680 Juegos Connect2media"/>
        <s v="Fomento suscripcion Semanal Juegos Sexy"/>
        <s v="Descarga (Extra Juego )"/>
        <s v="Descarga (Extra Juego)"/>
        <s v="Musica Latina. Susc 7 dias"/>
        <s v="Fomento 35008 Musica Dance"/>
        <s v="Fomento 35014 Musica Flamenco"/>
        <s v="Fomento 35020 Musica Española"/>
        <s v="Fomento 35357 Musica Latina"/>
        <s v="Susc Sem 2,99 Play2Me"/>
        <s v="Musica Infantil. Susc Semanal"/>
        <s v="Playboy Susc semanal"/>
        <s v="Descarga (GNFTwar199)"/>
        <s v="Noticias Emocion. Susc Semanal"/>
        <s v="Suscripcisn 7 autorenovable Juegos en tu Movil"/>
        <s v="Descarga (Demo Juego 0,99 e)"/>
        <s v="JuegoCompletoXHTML1.99"/>
        <s v="Descarga (Demo Juego 2,99 e)"/>
        <s v="JuegoCompletoXHTML3.99"/>
        <s v="Maduras Fomento 31876"/>
        <s v="Digital Sin (Fomento 31568)"/>
        <s v="Descarga (Extra Juego Gloft)"/>
        <s v="Suscripcisn 7 autorenovable (Juegos Gameloft )"/>
        <s v="Fomento Juegos Gameloft 1 semana"/>
        <s v="Suscripción 7 autorenovable"/>
        <s v="Juego GoPlay 0.75"/>
        <s v="Juego GoPlay 0.99"/>
        <s v="Juego GoPlay 1.99"/>
        <s v="Juego GoPlay 2.49"/>
        <s v="Juego GoPlay 2.99"/>
        <s v="Juegos Go Play 1.49 Susc Semanal"/>
        <s v="Juego GoPlay 3,99"/>
        <s v="Descarga Micropago Demo Gameloft 0,75"/>
        <s v="Descarga Micropago Demo Gameloft 0,99"/>
        <s v="Descarga Micropago Demo Gameloft 1,99"/>
        <s v="Descarga Micropago Demo Gameloft 3,99"/>
        <s v="Descarga Micropago Demo Gameloft 6,99"/>
        <s v="Descarga Micropago Demo Gameloft 7,99"/>
        <s v="Descarga Micropago Demo Gameloft 9,99"/>
        <s v="Descarga Micropago Demo Gameloft 14,99"/>
        <s v="Tap To Fun Promo"/>
        <s v="Tap To Fun Basico"/>
        <s v="Rincon Prohibido. Susc Semanal"/>
        <s v="EnglishPills"/>
        <s v="PortalEurosalud"/>
        <s v="PortalEurosalud Fomento"/>
        <s v="PortalTaromancia"/>
        <s v="PortalTaromancia Fomento"/>
        <s v="Orgasmatron"/>
        <s v="NEOMOBILE"/>
        <s v="Mi Sex Video suscripcion"/>
        <s v="Mi Sex Video Descarga"/>
        <s v="Suscripcion Yo Mujer y +"/>
        <s v="Fomento 39301 Yo Mujer y +"/>
        <s v="Suscripcion  Cuidate Mejor"/>
        <s v="Fomento 39321  Cuidate Mejor"/>
        <s v="Suscripcion Cam Girls"/>
        <s v="Relatos XXX Suscripcion Semanal"/>
        <s v="Vicious Cam suscripcion 7 dias"/>
        <s v="Musica Clasica Jazz suscripcion Semanal"/>
        <s v="Fomento 39581 Musica Clasica Jazz suscripcion Semanal"/>
        <s v="Porno Gafas suscripcion 7 dias"/>
        <s v="Juegos GoPlay Susc. Semanal"/>
        <s v="Fomento 39681 Juegos GoPlay"/>
        <s v="Juegos Game Shaker"/>
        <s v="ZnackVideo suscripcion 7 dias"/>
        <s v="Extra Juego Play2Me Fremium"/>
        <s v="Fashion Bip susc 7 dias"/>
        <s v="Fashion Bip Fomento 40061"/>
        <s v="Funatic Games Suscripcion Semanal"/>
        <s v="LittleSmartPlanet  Susc 7 dias"/>
        <s v="Fomento de 40161 LittleSmartPlanet"/>
        <s v="Video Horoscopo Susc 7 dias"/>
        <s v="Games Club Susc 7 dias"/>
        <s v="Golazos Susc 7 dias"/>
        <s v="Fomento del 40341 Golazos Susc 7 dias"/>
        <s v="21 Naturals Susc 7 dias"/>
        <s v="Viciosas XXX 7 dias"/>
        <s v="Musica x Generos Susc Semanal"/>
        <s v="Fomento 40562 Musica x Generos"/>
        <s v="Natural Beauty Susc. Semanal"/>
        <s v="Video Lo + Mejor. Susc. Semanal"/>
        <s v="Futbolitis. Susc Semanal"/>
        <s v="Hazlo tu Mism@. Susc Semanal"/>
        <s v="Fomento de  40771 Hazlo tu Mism@"/>
        <s v="Bellezas Salvajes , susc . Semanal"/>
        <s v="Daily Diva. Susc. Semanal"/>
        <s v="Edukidz .Susc Semanal"/>
        <s v="Orgasmatron. Susc Semanal"/>
        <s v="Funatic Games Descarga"/>
        <s v="Zaaass Videos , Susc Semanal"/>
        <s v="IntimaX.Susc 7 dias"/>
        <s v="KidsTube , Susc Semanal"/>
        <s v="Chef Book Recetas .Susc Semanal"/>
        <s v="Fomento 41177 Chef Book Recetas .Susc Semanal"/>
        <s v=" I Trip Viajes y + .Susc Semanal"/>
        <s v="Fomento 41181  I Trip Viajes y + .Susc Semanal"/>
        <s v="Juegos Play On. Descarga (PPD)"/>
        <s v="Juegos Play On. Susc Semanal"/>
        <s v="Fomento de 41235.Juegos Play On"/>
        <s v="Coto de Caza. Susc Semanal"/>
        <s v="Viciosas XXX . Susc Semanal"/>
        <s v="Gladiadores MMA. Susc Semanal"/>
        <s v="Gay Mobile.Susc Semanal"/>
        <s v="EnglishPills Destacado Estrella"/>
        <s v="Eurosalud  Destacado Estrella"/>
        <s v="Fomento Eurosalud  Destacado Estrella"/>
        <s v="Taromancia Destacado Estrella"/>
        <s v="Fomento Taromancia Destacado Estrella"/>
        <s v="Games Club Destacado Estrella"/>
        <s v="Xtreme Movies Destacado Estrella"/>
        <s v="Susc Sem Play2Me Destacado Estrella"/>
        <s v="Juegos en tu movil Destacado Estrella"/>
        <s v="Orgasmatron Destacado Estrella"/>
        <s v="Mi Sex Video Destacado Estrella"/>
        <s v="Natural Beauty Destacado Estrella"/>
        <s v="Vicious Cam Destacado Estrella"/>
        <s v="Zaaass Videos Destacado Estrella"/>
        <s v="KidsTube Destacado Estrella"/>
        <s v="Fashion Bip Destacado Estrella"/>
        <s v="Fomento Fashion Bip Destacado Estrella"/>
        <s v="Gay Mobile XXX Destacado Estrella"/>
        <s v="Digital Sin Destacado Estrella"/>
        <s v="Fomento Digital Sin Destacado Estrella"/>
        <s v="New Sensations  Destacado Estrella"/>
        <s v="Orgias  Destacado Estrella"/>
        <s v="Playhouse Destacado Estrella"/>
        <s v="Por Culo  Destacado Estrella"/>
        <s v="Playboy Destacado Estrella"/>
        <s v="Coto de Caza Destacado Estrella"/>
        <s v="Hazlo tu Mism@ Destacado Estrella"/>
        <s v="Fomento Hazlo tu Mism@ Destacado Estrella"/>
        <s v="Mascotas. Susc. Semanal"/>
        <s v="Fomento de 41758 Mascotas"/>
        <s v="Enfermeras Destacado Estrella"/>
        <s v="Tetonas Destacado Estrella"/>
        <s v="Amateur Destacado Estrella"/>
        <s v="Penthouse Destacado Estrella"/>
        <s v="Tap To Fun Destacado Estrella"/>
        <s v="Tap the stars Destacado Estrella"/>
        <s v="Daily Diva Destacado Estrella"/>
        <s v="Fashion TV Destacado Estrella"/>
        <s v="Top Videos Destacado Estrella"/>
        <s v="Juegos Game Shaker Destacado Estrella"/>
        <s v="Edukidz Destacado Estrella"/>
        <s v=" I Trip Viajes y + . Destacado Estrella"/>
        <s v="Fomento  I Trip Viajes y + . Destacado Estrella"/>
        <s v="Chef Book Recetas Destacado Estrella"/>
        <s v="Fomento Chef Book Recetas Destacado Estrella"/>
        <s v="Taquilla X3 Destacado Estrella"/>
        <s v="Taquilla X4 Destacado Estrella"/>
        <s v="Taquilla X8 Destacado Estrella"/>
        <s v="Taquilla X9 Destacado Estrella"/>
        <s v="Taquilla X10 Destacado Estrella"/>
        <s v="Amigo Games Destacado Estrella"/>
        <s v="Fomento Amigo Games Destacado Estrella"/>
        <s v="The Tourist, Susc Semanal"/>
        <s v="Top Videos suscripcion 7 dias"/>
        <s v="eXoticas . Susc Semanal"/>
        <s v="Juegos Fun Planet Susc Semanal"/>
        <s v="Juegos Fun Planet  Destacado Estrella"/>
        <s v="Astro Futuro Suscripción Semanal"/>
        <s v="Astro Futuro Destacado Estrella"/>
        <s v="Juegos Gamedroid Susc. Semanal"/>
        <s v="Juegos Gamedroid Destacado Estrella"/>
        <s v="Terra"/>
        <s v="Pocoyo House"/>
        <s v="Pocoyo House Estrella"/>
        <s v="OnMobile Global Spain, S.L."/>
        <s v="LittleSmartPlanet Nuevo precio susc 7 dias"/>
        <s v="Fomento de 42389 LittleSmartPlanet"/>
        <s v="Estrella de Mr.69 del CPC 30088"/>
        <s v="Porno Interactivo susc. Semanal"/>
        <s v="Parece del MundoToday . Susc 7 dias"/>
        <s v="Caillou y Amigos Susc. 7 dias"/>
        <s v="Fomento del 42689.Caillou y Amigos"/>
        <s v="Estrella.Caillou y Amigos"/>
        <s v="Fomento Estrella del 42709.Caillou y Amigos"/>
        <s v="Sex 360 . Susc 7 dias"/>
        <s v="SexDucate . Susc 7 dias"/>
        <s v="2dayuk"/>
        <s v="Noticias nuevo precio. Susc. 7 dias"/>
        <s v="Deportes nuevo precio. Susc. 7 dias"/>
        <s v="Playboy (nuevo agregador Bennu)"/>
        <s v="Estrella SexDucatedel CPC 42911"/>
        <s v="VR Games Susc 7 dias"/>
        <s v="Estrella Parece del MundoToday"/>
        <s v="Ugames. Movistar Juegos"/>
        <s v="Fomento del CPC 43551 Ugames. Movistar Juegos"/>
        <s v="EnglishPills Nuevo precio"/>
        <s v="Fomento del CPC 43571 EnglishPills Nuevo precio"/>
        <s v="Estrella EnglishPills Nuevo precio del cpc 43571"/>
        <s v="Fomento del CPC 43575 Estrella EnglishPills Nuevo precio"/>
        <s v="Comedy Factory. Susc. Semanal"/>
        <s v="Estrella Comedy Factory. Susc. Semanal"/>
        <s v="Videos Clap. Susc Semanal"/>
        <s v="Estrella Videos Clap. Susc Semanal"/>
        <s v="Videos Tribuu. Susc Semanal"/>
        <s v="Estrella Videos Tribuu. Susc Semanal"/>
        <s v="Estrella Deportes emocion. Susc Semanal"/>
        <s v="Estrella Noticias . Susc. 7 dias"/>
        <s v="Promo Movistar Juegos 1 mes gratis"/>
        <s v="Hello Kitty House Susc 7 dias"/>
        <s v="Abaco. Susc Semanal"/>
        <s v="Aula 365. Susc Semanal"/>
        <s v="Estrella del CPC 43869 Hello Kitty House Susc 7 dias"/>
        <s v="Slow Life"/>
        <s v="Tunenglish. Susc Semanal"/>
        <s v="Bloomberg English. Susc Semanal"/>
        <s v="SoniQ Gym susc. Semanal"/>
        <s v="Aire Fresco Susc. Semanal"/>
        <s v="Pink Crush Susc. Semanal"/>
        <s v="Nubico eBooks"/>
        <s v="Nubico Promos"/>
        <s v="Cuaderno Magico"/>
        <s v="Soy Mujer Susc 7 dias"/>
        <s v="Kids Play Sus. 7 dias"/>
        <s v="Fomento de Kids Play Sus. 7 dias"/>
        <s v="Life R Style Susc. 7 dias"/>
        <s v="Humanity Susc. 7 dias"/>
        <s v="Baby TV Suc. 7 dias"/>
        <s v="Zona Z Susc. 7 dias"/>
        <s v="Tinder Emoción Susc.30 dias"/>
        <s v="Spotify Susc. 30 dias"/>
        <s v="Diario La Razón Susc. 30 dias"/>
        <s v="Diario As Susc. 30 dias"/>
        <s v="Period Catalunya en Castellano Susc. 30 dias"/>
        <s v="Period Catalunya en Catalan Susc. 30 dias"/>
        <s v="Diario Sport Susc. 30 dias"/>
        <s v="Diario El Pais Susc. 30 dias"/>
        <s v="Periódico Ibiza Susc. 30 dias"/>
        <s v="Diario Ara Susc. 30 dias"/>
        <s v="La Voz de Galicia Susc. 30 dias"/>
        <s v="Diario ABC Susc. 30 dias"/>
        <s v="Diario Pontevedra Susc. 30 dias"/>
        <s v="El Progreso Susc. 30 dias"/>
        <s v="Diario Córdoba Susc. 30 dias"/>
        <s v="Periódico Aragón Susc. 30 dias"/>
        <s v="Period Extremadur Susc. 30 dias"/>
        <s v="Period Mediterran Susc. 30 dias"/>
        <s v="Diario Ideal Susc. 30 dias"/>
        <s v="Las Provincias Susc. 30 dias"/>
        <s v="Diario de Burgos Susc. 30 dias"/>
        <s v="Diario de Ávila Susc. 30 dias"/>
        <s v="Diario Palentino Susc. 30 dias"/>
        <s v="Tribuna Albacete Susc. 30 dias"/>
        <s v="Tribuna C. Real Susc. 30 dias"/>
        <s v="Tribuna de Toledo Susc. 30 dias"/>
        <s v="Última Hora Susc. 30 dias"/>
        <s v="Diario Sur Susc. 30 dias"/>
        <s v="Alerta Cantabria Susc. 30 dias"/>
        <s v="Adelantad Segovia Susc. 30 dias"/>
        <s v="Gaceta Salamanca Susc. 30 dias"/>
      </sharedItems>
    </cacheField>
    <cacheField name="Billing Description" numFmtId="0">
      <sharedItems count="211">
        <s v="Multimedia"/>
        <s v="Gofresh logos"/>
        <s v="Mister-i"/>
        <s v="Parmenion Inversiones"/>
        <s v="Desc. Gameloft"/>
        <s v="Club música"/>
        <s v="Club"/>
        <s v="Animaciones&amp;Logos"/>
        <s v="MobileMusic tonos"/>
        <s v="Desc. Gamel5"/>
        <s v="Desc.Play2Me1"/>
        <s v="Desc.Play2Me1.5"/>
        <s v="Desc.Play2Me2"/>
        <s v="Desc.Play2Me3"/>
        <s v="Desc.Play2Me4"/>
        <s v="Desc.Play2Me5"/>
        <s v="Fondos"/>
        <s v="Videos"/>
        <s v="Animaciones"/>
        <s v="Fondos Branded"/>
        <s v="Videos Branded"/>
        <s v="Animaciones Brand"/>
        <s v="Canal Venus"/>
        <s v="Canal GChannel"/>
        <s v="Paquete TV Ad"/>
        <s v="Musica.truni199"/>
        <s v="Musica.trson199"/>
        <s v="Musica.trwar199"/>
        <s v="Musica.trgen199"/>
        <s v="MOVIHUMOR-20"/>
        <s v="Susc Fond MB Xhtm"/>
        <s v="tarifa plana tono"/>
        <s v="Fondo Avatares"/>
        <s v="ALLUCANEAT-30"/>
        <s v="Fondos Dinamicos"/>
        <s v="Yiam Uno S.L."/>
        <s v="Playboy Tv"/>
        <s v="Susc gameloft 3e"/>
        <s v="Susc Sem EA 0,99e"/>
        <s v="TP Seman EA 0,99e"/>
        <s v="Susc Real Network"/>
        <s v="Susc Sem Play2Me"/>
        <s v="Juegos P2M 3,99"/>
        <s v="Juegos P2M 2,99"/>
        <s v="Juegos P2M 1,99"/>
        <s v="Multimedias"/>
        <s v="Juegos 2,99 euros"/>
        <s v="Tf Plana Videos "/>
        <s v="Temas Movistar"/>
        <s v="TP Fondos Semanal"/>
        <s v="Buongiorno"/>
        <s v="Descarga 0,99 eur"/>
        <s v="Descarga 1,49 eur"/>
        <s v="Descarga 1,99 eur"/>
        <s v="Descarga 2,99 eur"/>
        <s v="Descarga 3,99 eur"/>
        <s v="Susc Semanal 0,99"/>
        <s v="Susc Juegos Sexy"/>
        <s v="Juegos Sexy 0,99 "/>
        <s v="Juegos Sexy 3,99"/>
        <s v="Juegos HD 4,99"/>
        <s v="Musica.tralt199"/>
        <s v="Musica.trorc199"/>
        <s v="Musica.MP3.war149"/>
        <s v="Musica.MP3.war99"/>
        <s v="Musica.MP3.son149"/>
        <s v="Musica.MP3.son99"/>
        <s v="Musica.MP3.uni149"/>
        <s v="Musica.MP3.uni99"/>
        <s v="Musica.MP3.orc149"/>
        <s v="Musica.MP3.orc99"/>
        <s v="Musica.MP3.alt149"/>
        <s v="Musica.MP3.alt99"/>
        <s v="Musica.MP3.gen149"/>
        <s v="Musica.MP3.gen99"/>
        <s v="Musica.fvwar199"/>
        <s v="Musica.fvson199"/>
        <s v="Musica.fvuni199"/>
        <s v="Musica.fvorc199"/>
        <s v="Musica.fvalt199"/>
        <s v="Musica.fvgen199"/>
        <s v="Deportes Emocion"/>
        <s v="Tarifa plana mp3"/>
        <s v="Novedades 3,99"/>
        <s v="Musica Dance"/>
        <s v="Musica Flamenco"/>
        <s v="Musica Espanola"/>
        <s v="Extra Juego Gloft"/>
        <s v="Musica Latina"/>
        <s v="MusicInfatilSUSC"/>
        <s v="GNFTwar199"/>
        <s v="Noticias Emocion"/>
        <s v="Juego En Tu Movil"/>
        <s v="Demo Juego 0,99 e"/>
        <s v="Demo Juego 1,99 e"/>
        <s v="Demo Juego 2,99 e"/>
        <s v="Demo Juego 3,99 e"/>
        <s v="Juegos Gameloft "/>
        <s v="Juegos Tap To Fun"/>
        <s v="Tap To Stars"/>
        <s v="Juego GoPlay 0.75"/>
        <s v="Juego GoPlay 0.99"/>
        <s v="Juego GoPlay 1.99"/>
        <s v="Juego GoPlay 2.49"/>
        <s v="Juego GoPlay 2.99"/>
        <s v="Juegos GoPlay "/>
        <s v="Juego GoPlay 3.99"/>
        <s v="Extra Demo Juego"/>
        <s v="Tap To Fun Promo"/>
        <s v="Tap To Fun Basico"/>
        <s v="Videos Multimedia"/>
        <s v="English Pills"/>
        <s v="Portal Eurosalud"/>
        <s v="Portal Taromancia"/>
        <s v="NEOMOBILE"/>
        <s v="YoMujerymas.com"/>
        <s v="Cuidatemejor.com"/>
        <s v="Musica Clasica"/>
        <s v="Go Play Juegos "/>
        <s v="Juegos GameShaker"/>
        <s v="Znack video"/>
        <s v="Extra Juego Play2"/>
        <s v="Revista de Moda"/>
        <s v="Fun@tic Games"/>
        <s v="L. Smart Planet"/>
        <s v="Video Horoscopo"/>
        <s v="Games Club"/>
        <s v="Video Golazos"/>
        <s v="Musica x Generos"/>
        <s v="Natural Beauty"/>
        <s v="Videos Lo + Mejor"/>
        <s v="Futbolitis"/>
        <s v="Hazlo Tú Mism@"/>
        <s v="Bellezas Salvajes"/>
        <s v="Daily Diva Mujer"/>
        <s v="Edukidz"/>
        <s v="Zaaass Videos"/>
        <s v="Kids Tube"/>
        <s v="Chef Book Recetas"/>
        <s v="I Trip Viajes y +"/>
        <s v="Juegos Play On"/>
        <s v="Video Coto D Caza"/>
        <s v="Gladiadores MMA"/>
        <s v="Taromancia"/>
        <s v="Mascotas"/>
        <s v="Fashion TV"/>
        <s v="TopVideo"/>
        <s v="Amigo Games"/>
        <s v="The Tourist Video"/>
        <s v="Juegos Fun Planet"/>
        <s v="AstroFuturo"/>
        <s v="Juegos Gamedroid"/>
        <s v="Terra"/>
        <s v="Pocoyo House"/>
        <s v="OnMobile Global Spain, S.L."/>
        <s v="Parece MundoToday"/>
        <s v="Caillou y Amigos"/>
        <s v="Sex 360"/>
        <s v="Sexducate con LB"/>
        <s v="2dayuk"/>
        <s v="VR Games"/>
        <s v="Movistar Juegos"/>
        <s v="Comedy Factory"/>
        <s v="Videos Clap"/>
        <s v="Videos Tribuu"/>
        <s v="Hello Kitty House"/>
        <s v="Abaco"/>
        <s v="Aula 365"/>
        <s v="Slow Life"/>
        <s v="Tunenglish"/>
        <s v="Bloomberg English"/>
        <s v="SoniQ Gym Fitness"/>
        <s v="Aire Fresco"/>
        <s v="Nubico eBooks"/>
        <s v="Nubico Promo"/>
        <s v="Cuaderno Mágico"/>
        <s v="Soy Mujer"/>
        <s v="Kids Play"/>
        <s v="Life R Style"/>
        <s v="Humanity"/>
        <s v="Baby TV"/>
        <s v="Zona Z"/>
        <s v="Spotify"/>
        <s v="Diario La Razón"/>
        <s v="Diario As"/>
        <s v="Period Catalunya"/>
        <s v="Diario Sport"/>
        <s v="Diario El Pais"/>
        <s v="Periódico Ibiza"/>
        <s v="Diario Ara"/>
        <s v="La Voz de Galicia"/>
        <s v="Diario ABC"/>
        <s v="Diario Pontevedra"/>
        <s v="El Progreso"/>
        <s v="Diario Córdoba"/>
        <s v="Periódico Aragón"/>
        <s v="Period Extremadur"/>
        <s v="Period Mediterran"/>
        <s v="Diario Ideal"/>
        <s v="Las Provincias"/>
        <s v="Diario de Burgos"/>
        <s v="Diario de Ávila"/>
        <s v="Diario Palentino"/>
        <s v="Tribuna Albacete"/>
        <s v="Tribuna C. Real"/>
        <s v="Tribuna de Toledo"/>
        <s v="Última Hora"/>
        <s v="Diario Sur"/>
        <s v="Alerta Cantabria"/>
        <s v="Adelantad Segovia"/>
        <s v="Gaceta Salamanca"/>
      </sharedItems>
    </cacheField>
    <cacheField name="Is a CVAS CPC?" numFmtId="0">
      <sharedItems/>
    </cacheField>
    <cacheField name="Old TME Category" numFmtId="0">
      <sharedItems count="15">
        <s v="Light"/>
        <s v="Images"/>
        <s v="Chats"/>
        <s v="Games"/>
        <s v="Music"/>
        <s v="Video"/>
        <s v="Humor"/>
        <s v="Sports"/>
        <s v="News"/>
        <s v="More Fun"/>
        <s v="Women"/>
        <s v="Kids"/>
        <s v="Free Time"/>
        <s v="Nubico"/>
        <s v="Mujer" u="1"/>
      </sharedItems>
    </cacheField>
    <cacheField name="TME Category" numFmtId="0">
      <sharedItems count="10">
        <s v="Light"/>
        <s v="Images"/>
        <s v="Free Time"/>
        <s v="Games"/>
        <s v="Music"/>
        <s v="Sports"/>
        <s v="News"/>
        <s v="Beauty and Health"/>
        <s v="Kids"/>
        <s v="Nubico"/>
      </sharedItems>
    </cacheField>
    <cacheField name="TME SubCategory" numFmtId="0">
      <sharedItems containsBlank="1"/>
    </cacheField>
    <cacheField name="OM Category" numFmtId="0">
      <sharedItems/>
    </cacheField>
    <cacheField name="OM SubCategory" numFmtId="0">
      <sharedItems containsBlank="1"/>
    </cacheField>
    <cacheField name="Content Provider" numFmtId="0">
      <sharedItems count="37">
        <s v="PSM"/>
        <s v="Gofresh"/>
        <s v="Mister-i"/>
        <s v="Parmenion Inversiones"/>
        <s v="Gameloft"/>
        <s v="Waat Media"/>
        <s v="AirTouch New Media SL"/>
        <s v="Private"/>
        <s v="Mobiground"/>
        <s v="Claxson . Contribution"/>
        <s v="Yiam Uno S.L."/>
        <s v="Buongiorno"/>
        <s v="PROVEEDOR _x000a_PAQUETES"/>
        <s v="Genexies"/>
        <s v="EA"/>
        <s v="Thagson"/>
        <s v="Gigigo"/>
        <s v="G-Mobile Content"/>
        <s v="Addictive Entertainment"/>
        <s v="Connect2media"/>
        <s v="OnMobile Global Spain, S.L."/>
        <s v="JET MULTIMEDIA "/>
        <s v="JET MULTIMEDIA"/>
        <s v="NEOMOBILE"/>
        <s v="2dayuk"/>
        <s v="Terra"/>
        <s v="Pacific Media Entertainment, Inc."/>
        <s v="Bennu"/>
        <s v="Competir"/>
        <s v="Medianetpay"/>
        <s v="Agile"/>
        <s v="SoniQ"/>
        <s v="Aire Fresco"/>
        <s v="Digicirtel"/>
        <s v="Mobile Cash Out"/>
        <s v="Alchimie"/>
        <s v="Spotify Spain SL"/>
      </sharedItems>
    </cacheField>
    <cacheField name="Estado" numFmtId="0">
      <sharedItems/>
    </cacheField>
    <cacheField name="New Billing OM" numFmtId="0">
      <sharedItems/>
    </cacheField>
    <cacheField name="Code of Content" numFmtId="0">
      <sharedItems containsString="0" containsBlank="1" containsNumber="1" containsInteger="1" minValue="873" maxValue="46437"/>
    </cacheField>
    <cacheField name="Service Name" numFmtId="0">
      <sharedItems/>
    </cacheField>
    <cacheField name="Description Level of Pricing" numFmtId="0">
      <sharedItems containsBlank="1"/>
    </cacheField>
    <cacheField name="Cod Level  of  Pricing" numFmtId="0">
      <sharedItems containsString="0" containsBlank="1" containsNumber="1" containsInteger="1" minValue="0" maxValue="161"/>
    </cacheField>
    <cacheField name="Subscription Model" numFmtId="0">
      <sharedItems/>
    </cacheField>
    <cacheField name="Cod of Profile" numFmtId="0">
      <sharedItems containsString="0" containsBlank="1" containsNumber="1" containsInteger="1" minValue="0" maxValue="908"/>
    </cacheField>
    <cacheField name="Price" numFmtId="0">
      <sharedItems containsString="0" containsBlank="1" containsNumber="1" minValue="0" maxValue="20.83"/>
    </cacheField>
    <cacheField name="% Margin CP" numFmtId="0">
      <sharedItems containsString="0" containsBlank="1" containsNumber="1" minValue="0.08" maxValue="0.9"/>
    </cacheField>
    <cacheField name="% Margin TME" numFmtId="0">
      <sharedItems containsString="0" containsBlank="1" containsNumber="1" minValue="0.1" maxValue="0.92"/>
    </cacheField>
    <cacheField name="% Margin Recording Company" numFmtId="0">
      <sharedItems containsString="0" containsBlank="1" containsNumber="1" minValue="0.3518" maxValue="0.55559999999999998"/>
    </cacheField>
    <cacheField name="% Margin SGAE/AIE" numFmtId="0">
      <sharedItems containsString="0" containsBlank="1" containsNumber="1" minValue="0.13" maxValue="0.13"/>
    </cacheField>
    <cacheField name="Recording Company" numFmtId="0">
      <sharedItems containsBlank="1"/>
    </cacheField>
    <cacheField name="Unique_I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rnan" refreshedDate="43770.518259837962" createdVersion="6" refreshedVersion="6" minRefreshableVersion="3" recordCount="485" xr:uid="{00000000-000A-0000-FFFF-FFFF05000000}">
  <cacheSource type="worksheet">
    <worksheetSource ref="B1:AC484" sheet="MASTER CPC"/>
  </cacheSource>
  <cacheFields count="28">
    <cacheField name="CPC" numFmtId="0">
      <sharedItems containsSemiMixedTypes="0" containsString="0" containsNumber="1" containsInteger="1" minValue="893" maxValue="44171"/>
    </cacheField>
    <cacheField name="CPC to upgrade" numFmtId="0">
      <sharedItems containsString="0" containsBlank="1" containsNumber="1" containsInteger="1" minValue="31568" maxValue="43575"/>
    </cacheField>
    <cacheField name="APP_ID" numFmtId="0">
      <sharedItems containsString="0" containsBlank="1" containsNumber="1" containsInteger="1" minValue="153" maxValue="639"/>
    </cacheField>
    <cacheField name="PACK_ID" numFmtId="0">
      <sharedItems containsBlank="1" containsMixedTypes="1" containsNumber="1" containsInteger="1" minValue="27" maxValue="63901"/>
    </cacheField>
    <cacheField name="Service_id" numFmtId="0">
      <sharedItems containsBlank="1" containsMixedTypes="1" containsNumber="1" containsInteger="1" minValue="56" maxValue="63901"/>
    </cacheField>
    <cacheField name="Short Description" numFmtId="0">
      <sharedItems count="331">
        <s v="La Gruta del Sexo . Susc. 7 dias"/>
        <s v="Suscripción 30 autorenovable para contenido: Gofresh logos"/>
        <s v="Mister-i"/>
        <s v="Descarga para contenido: clips"/>
        <s v="Parmenion Inversiones"/>
        <s v="Descarga (Desc. Gameloft)"/>
        <s v="Suscripción 30 autorenovable (Sueños Calientes)"/>
        <s v="Suscripcion 7 (Club música)"/>
        <s v="Suscripción 30 autorenovable (Club)"/>
        <s v="Suscripción 30 autorenovable (Animaciones&amp;Logos)"/>
        <s v="Suscripción 30 autorenovable (Subsc.Vivid)"/>
        <s v="Suscripción 30 autorenovable (MobileMusic tonos)"/>
        <s v="Suscripcion Mensual Sport Illustrated"/>
        <s v="Descarga (Desc. Gamel5)"/>
        <s v="Descarga (DescFondosPrivate)"/>
        <s v="Descarga (Desc.Play2Me1)"/>
        <s v="Descarga (Desc.Play2Me1.5)"/>
        <s v="Descarga (Desc.Play2Me2)"/>
        <s v="Descarga (Desc.Play2Me3)"/>
        <s v="Descarga (Desc.Play2Me4)"/>
        <s v="Descarga (Desc.Play2Me5)"/>
        <s v="Descarga (Fondos)"/>
        <s v="Descarga (Videos)"/>
        <s v="Descarga (Animaciones)"/>
        <s v="Descarga (Fondos Branded)"/>
        <s v="Descarga (Videos Branded)"/>
        <s v="Descarga (Multimedia)"/>
        <s v="Suscripción 30 autorenovable (Canal Venus)"/>
        <s v="Suscripción 30 autorenovable (Canal GChannel)"/>
        <s v="Suscripción 30 autorenovable (Multimedia)"/>
        <s v="Casadas Imágenes"/>
        <s v="Jovencitas Imágenes"/>
        <s v="Mamadas Imágenes"/>
        <s v="Ibericas Imágenes"/>
        <s v="Sexo en publico Imágenes"/>
        <s v="Paquete de Suscripciones 30 dias Autorenovable (Paquete TV Ad)"/>
        <s v="Descarga (MOVIREAL-20-UNIVE)"/>
        <s v="Descarga (MOVIREAL-20-SONY)"/>
        <s v="Descarga (MOVIREAL-20-WARNE)"/>
        <s v="Descarga (MOVIREAL-20-GENX)"/>
        <s v="Descarga (MOVIHUMOR-20)"/>
        <s v="Suscripción 30 autorenovable (Susc Fond MB Xhtm)"/>
        <s v="Suscripción 30 autorenovable (ALLUCANEAT-40)"/>
        <s v="Suscripción 30 autorenovable (Fondo Avatares)"/>
        <s v="Suscripción 30 autorenovable (ALLUCANEAT-30)"/>
        <s v="Descarga (Fondos Dinamicos)"/>
        <s v="Yiam Uno S.L."/>
        <s v="Suscripcisn 7 autorenovable (Multimedia)"/>
        <s v="Suscripción 30 autorenovable (Playboy Tv)"/>
        <s v="Suscripción 30 autorenovable (Susc gameloft 3e)"/>
        <s v="Descarga (Amateur)"/>
        <s v="Suscripcisn 7 autorenovable (Susc Sem EA 0,99e)"/>
        <s v="Suscripcisn 7 autorenovable (TP Seman EA 0,99e)"/>
        <s v="Suscripción 30 autorenovable (Susc Real Network)"/>
        <s v="Suscripcisn 7 autorenovable (Susc Sem Play2Me)"/>
        <s v="Descarga (Juegos P2M 3,99)"/>
        <s v="Descarga (Juegos P2M 2,99)"/>
        <s v="Descarga (Juegos P2M 1,99)"/>
        <s v="Suscripcisn 7 autorenovable (Multimedias)"/>
        <s v="Descarga (Juegos 2,99 euros)"/>
        <s v="Suscripcisn 7 autorenovable (Tf Plana Videos )"/>
        <s v="Musica x Paises.Susc Semanal"/>
        <s v="Bandas Sonoras.Susc Semanal"/>
        <s v="Descarga (Temas Movistar)"/>
        <s v="Suscripcisn 7 autorenovable (TP Fondos Semanal)"/>
        <s v="Divinas Mamas Suscripcisn 7 autorenovable"/>
        <s v="Buongiorno"/>
        <s v="Tu Porno Suscripcion 7 dias"/>
        <s v="Descarga (Descarga 0,99 eur)"/>
        <s v="Descarga (Descarga 1,50 eur)"/>
        <s v="Descarga (Descarga 1,99 eur)"/>
        <s v="Descarga (Descarga 2,99 eur)"/>
        <s v="Descarga (Descarga 3,99 eur)"/>
        <s v="Suscripcisn 7 autorenovable (Susc Semanal 0,99)"/>
        <s v="Suscripcisn 7 autorenovable (Susc Juegos Sexy)"/>
        <s v="Descarga (Juegos Sexy 0,99 )"/>
        <s v="Descarga (Juegos Sexy 3,99)"/>
        <s v="Descarga (Juegos HD 4,99)"/>
        <s v="Suscripción 7 (Multimedia)"/>
        <s v="Descarga (GNTRalt199)"/>
        <s v="Descarga (GNTTorc199)"/>
        <s v="Descarga (GNFTwar149)"/>
        <s v="Descarga (GNFTwar99)"/>
        <s v="Descarga (GNFTson149)"/>
        <s v="Descarga (GNFTson99)"/>
        <s v="Descarga (GNFTuni149)"/>
        <s v="Descarga (GNFTuni99)"/>
        <s v="Descarga (GNFTorc149)"/>
        <s v="Descarga (GNFTorc99)"/>
        <s v="Descarga (GNFTalt149)"/>
        <s v="Descarga (GNFTalt99)"/>
        <s v="Descarga (GNFTgen149)"/>
        <s v="Descarga (GNFTgen99)"/>
        <s v="Descarga (GNFVwar199)"/>
        <s v="Descarga (GNFVson199)"/>
        <s v="Descarga (GNFVuni199)"/>
        <s v="Descarga (GNFVorc199)"/>
        <s v="Descarga (GNFValt199)"/>
        <s v="Descarga (GNFVgen199)"/>
        <s v="Descarga (GNTRwar199)"/>
        <s v="Descarga (GNTRson199)"/>
        <s v="Descarga (GNTRuni199)"/>
        <s v="Descarga (GNTRorc199)"/>
        <s v="Descarga (GNTRgen199)"/>
        <s v="Suscripción 7 dias Deportes"/>
        <s v="Suscripción 7 dias autorenovable"/>
        <s v="Fomento del 34409 GRATIS el 1a Semana"/>
        <s v="Novedades Suscripción 7 auto"/>
        <s v="Pack Taquillas de X1 a X9"/>
        <s v="Suscripción 30 autorenovable (DANCE_SUSC)"/>
        <s v="Musica Flamenco .Susc. 7 dias"/>
        <s v="Musica Española .Susc. 7 dias"/>
        <s v="Suscripcion  GameHouse 1 mes gratis"/>
        <s v="Fomento 32680 Juegos Connect2media"/>
        <s v="Fomento suscripcion Semanal Juegos Sexy"/>
        <s v="Descarga (Extra Juego )"/>
        <s v="Descarga (Extra Juego)"/>
        <s v="Musica Latina. Susc 7 dias"/>
        <s v="Fomento 35008 Musica Dance"/>
        <s v="Fomento 35014 Musica Flamenco"/>
        <s v="Fomento 35020 Musica Española"/>
        <s v="Fomento 35357 Musica Latina"/>
        <s v="Susc Sem 2,99 Play2Me"/>
        <s v="Musica Infantil. Susc Semanal"/>
        <s v="Playboy Susc semanal"/>
        <s v="Descarga (GNFTwar199)"/>
        <s v="Noticias Emocion. Susc Semanal"/>
        <s v="Suscripcisn 7 autorenovable Juegos en tu Movil"/>
        <s v="Descarga (Demo Juego 0,99 e)"/>
        <s v="JuegoCompletoXHTML1.99"/>
        <s v="Descarga (Demo Juego 2,99 e)"/>
        <s v="JuegoCompletoXHTML3.99"/>
        <s v="Maduras Fomento 31876"/>
        <s v="Digital Sin (Fomento 31568)"/>
        <s v="Descarga (Extra Juego Gloft)"/>
        <s v="Suscripcisn 7 autorenovable (Juegos Gameloft )"/>
        <s v="Fomento Juegos Gameloft 1 semana"/>
        <s v="Suscripción 7 autorenovable"/>
        <s v="Juego GoPlay 0.75"/>
        <s v="Juego GoPlay 0.99"/>
        <s v="Juego GoPlay 1.99"/>
        <s v="Juego GoPlay 2.49"/>
        <s v="Juego GoPlay 2.99"/>
        <s v="Juegos Go Play 1.49 Susc Semanal"/>
        <s v="Juego GoPlay 3,99"/>
        <s v="Descarga Micropago Demo Gameloft 0,75"/>
        <s v="Descarga Micropago Demo Gameloft 0,99"/>
        <s v="Descarga Micropago Demo Gameloft 1,99"/>
        <s v="Descarga Micropago Demo Gameloft 3,99"/>
        <s v="Descarga Micropago Demo Gameloft 6,99"/>
        <s v="Descarga Micropago Demo Gameloft 7,99"/>
        <s v="Descarga Micropago Demo Gameloft 9,99"/>
        <s v="Descarga Micropago Demo Gameloft 14,99"/>
        <s v="Tap To Fun Promo"/>
        <s v="Tap To Fun Basico"/>
        <s v="Rincon Prohibido. Susc Semanal"/>
        <s v="EnglishPills"/>
        <s v="PortalEurosalud"/>
        <s v="PortalEurosalud Fomento"/>
        <s v="PortalTaromancia"/>
        <s v="PortalTaromancia Fomento"/>
        <s v="Orgasmatron"/>
        <s v="NEOMOBILE"/>
        <s v="Mi Sex Video suscripcion"/>
        <s v="Mi Sex Video Descarga"/>
        <s v="Suscripcion Yo Mujer y +"/>
        <s v="Fomento 39301 Yo Mujer y +"/>
        <s v="Suscripcion  Cuidate Mejor"/>
        <s v="Fomento 39321  Cuidate Mejor"/>
        <s v="Suscripcion Cam Girls"/>
        <s v="Relatos XXX Suscripcion Semanal"/>
        <s v="Vicious Cam suscripcion 7 dias"/>
        <s v="Musica Clasica Jazz suscripcion Semanal"/>
        <s v="Fomento 39581 Musica Clasica Jazz suscripcion Semanal"/>
        <s v="Porno Gafas suscripcion 7 dias"/>
        <s v="Juegos GoPlay Susc. Semanal"/>
        <s v="Fomento 39681 Juegos GoPlay"/>
        <s v="Juegos Game Shaker"/>
        <s v="ZnackVideo suscripcion 7 dias"/>
        <s v="Extra Juego Play2Me Fremium"/>
        <s v="Fashion Bip susc 7 dias"/>
        <s v="Fashion Bip Fomento 40061"/>
        <s v="Funatic Games Suscripcion Semanal"/>
        <s v="LittleSmartPlanet  Susc 7 dias"/>
        <s v="Fomento de 40161 LittleSmartPlanet"/>
        <s v="Video Horoscopo Susc 7 dias"/>
        <s v="Games Club Susc 7 dias"/>
        <s v="Golazos Susc 7 dias"/>
        <s v="Fomento del 40341 Golazos Susc 7 dias"/>
        <s v="21 Naturals Susc 7 dias"/>
        <s v="Viciosas XXX 7 dias"/>
        <s v="Musica x Generos Susc Semanal"/>
        <s v="Fomento 40562 Musica x Generos"/>
        <s v="Natural Beauty Susc. Semanal"/>
        <s v="Video Lo + Mejor. Susc. Semanal"/>
        <s v="Futbolitis. Susc Semanal"/>
        <s v="Hazlo tu Mism@. Susc Semanal"/>
        <s v="Fomento de  40771 Hazlo tu Mism@"/>
        <s v="Bellezas Salvajes , susc . Semanal"/>
        <s v="Daily Diva. Susc. Semanal"/>
        <s v="Edukidz .Susc Semanal"/>
        <s v="Orgasmatron. Susc Semanal"/>
        <s v="Funatic Games Descarga"/>
        <s v="Zaaass Videos , Susc Semanal"/>
        <s v="IntimaX.Susc 7 dias"/>
        <s v="KidsTube , Susc Semanal"/>
        <s v="Chef Book Recetas .Susc Semanal"/>
        <s v="Fomento 41177 Chef Book Recetas .Susc Semanal"/>
        <s v=" I Trip Viajes y + .Susc Semanal"/>
        <s v="Fomento 41181  I Trip Viajes y + .Susc Semanal"/>
        <s v="Juegos Play On. Descarga (PPD)"/>
        <s v="Juegos Play On. Susc Semanal"/>
        <s v="Fomento de 41235.Juegos Play On"/>
        <s v="Coto de Caza. Susc Semanal"/>
        <s v="Viciosas XXX . Susc Semanal"/>
        <s v="Gladiadores MMA. Susc Semanal"/>
        <s v="Gay Mobile.Susc Semanal"/>
        <s v="EnglishPills Destacado Estrella"/>
        <s v="Eurosalud  Destacado Estrella"/>
        <s v="Fomento Eurosalud  Destacado Estrella"/>
        <s v="Taromancia Destacado Estrella"/>
        <s v="Fomento Taromancia Destacado Estrella"/>
        <s v="Games Club Destacado Estrella"/>
        <s v="Xtreme Movies Destacado Estrella"/>
        <s v="Susc Sem Play2Me Destacado Estrella"/>
        <s v="Juegos en tu movil Destacado Estrella"/>
        <s v="Orgasmatron Destacado Estrella"/>
        <s v="Mi Sex Video Destacado Estrella"/>
        <s v="Natural Beauty Destacado Estrella"/>
        <s v="Vicious Cam Destacado Estrella"/>
        <s v="Zaaass Videos Destacado Estrella"/>
        <s v="KidsTube Destacado Estrella"/>
        <s v="Fashion Bip Destacado Estrella"/>
        <s v="Fomento Fashion Bip Destacado Estrella"/>
        <s v="Gay Mobile XXX Destacado Estrella"/>
        <s v="Digital Sin Destacado Estrella"/>
        <s v="Fomento Digital Sin Destacado Estrella"/>
        <s v="New Sensations  Destacado Estrella"/>
        <s v="Orgias  Destacado Estrella"/>
        <s v="Playhouse Destacado Estrella"/>
        <s v="Por Culo  Destacado Estrella"/>
        <s v="Playboy Destacado Estrella"/>
        <s v="Coto de Caza Destacado Estrella"/>
        <s v="Hazlo tu Mism@ Destacado Estrella"/>
        <s v="Fomento Hazlo tu Mism@ Destacado Estrella"/>
        <s v="Mascotas. Susc. Semanal"/>
        <s v="Fomento de 41758 Mascotas"/>
        <s v="Enfermeras Destacado Estrella"/>
        <s v="Tetonas Destacado Estrella"/>
        <s v="Amateur Destacado Estrella"/>
        <s v="Penthouse Destacado Estrella"/>
        <s v="Tap To Fun Destacado Estrella"/>
        <s v="Tap the stars Destacado Estrella"/>
        <s v="Daily Diva Destacado Estrella"/>
        <s v="Fashion TV Destacado Estrella"/>
        <s v="Top Videos Destacado Estrella"/>
        <s v="Juegos Game Shaker Destacado Estrella"/>
        <s v="Edukidz Destacado Estrella"/>
        <s v=" I Trip Viajes y + . Destacado Estrella"/>
        <s v="Fomento  I Trip Viajes y + . Destacado Estrella"/>
        <s v="Chef Book Recetas Destacado Estrella"/>
        <s v="Fomento Chef Book Recetas Destacado Estrella"/>
        <s v="Taquilla X3 Destacado Estrella"/>
        <s v="Taquilla X4 Destacado Estrella"/>
        <s v="Taquilla X8 Destacado Estrella"/>
        <s v="Taquilla X9 Destacado Estrella"/>
        <s v="Taquilla X10 Destacado Estrella"/>
        <s v="Amigo Games Destacado Estrella"/>
        <s v="Fomento Amigo Games Destacado Estrella"/>
        <s v="The Tourist, Susc Semanal"/>
        <s v="Top Videos suscripcion 7 dias"/>
        <s v="eXoticas . Susc Semanal"/>
        <s v="Juegos Fun Planet Susc Semanal"/>
        <s v="Juegos Fun Planet  Destacado Estrella"/>
        <s v="Astro Futuro Suscripción Semanal"/>
        <s v="Astro Futuro Destacado Estrella"/>
        <s v="Juegos Gamedroid Susc. Semanal"/>
        <s v="Juegos Gamedroid Destacado Estrella"/>
        <s v="Terra"/>
        <s v="Pocoyo House"/>
        <s v="Pocoyo House Estrella"/>
        <s v="OnMobile Global Spain, S.L."/>
        <s v="LittleSmartPlanet Nuevo precio susc 7 dias"/>
        <s v="Fomento de 42389 LittleSmartPlanet"/>
        <s v="Estrella de Mr.69 del CPC 30088"/>
        <s v="Porno Interactivo susc. Semanal"/>
        <s v="Parece del MundoToday . Susc 7 dias"/>
        <s v="Caillou y Amigos Susc. 7 dias"/>
        <s v="Fomento del 42689.Caillou y Amigos"/>
        <s v="Estrella.Caillou y Amigos"/>
        <s v="Fomento Estrella del 42709.Caillou y Amigos"/>
        <s v="Sex 360 . Susc 7 dias"/>
        <s v="SexDucate . Susc 7 dias"/>
        <s v="2dayuk"/>
        <s v="Noticias nuevo precio. Susc. 7 dias"/>
        <s v="Deportes nuevo precio. Susc. 7 dias"/>
        <s v="Playboy (nuevo agregador Bennu)"/>
        <s v="Estrella SexDucatedel CPC 42911"/>
        <s v="VR Games Susc 7 dias"/>
        <s v="Estrella Parece del MundoToday"/>
        <s v="Ugames. Movistar Juegos"/>
        <s v="Fomento del CPC 43551 Ugames. Movistar Juegos"/>
        <s v="EnglishPills Nuevo precio"/>
        <s v="Fomento del CPC 43571 EnglishPills Nuevo precio"/>
        <s v="Estrella EnglishPills Nuevo precio del cpc 43571"/>
        <s v="Fomento del CPC 43575 Estrella EnglishPills Nuevo precio"/>
        <s v="Comedy Factory. Susc. Semanal"/>
        <s v="Estrella Comedy Factory. Susc. Semanal"/>
        <s v="Videos Clap. Susc Semanal"/>
        <s v="Estrella Videos Clap. Susc Semanal"/>
        <s v="Videos Tribuu. Susc Semanal"/>
        <s v="Estrella Videos Tribuu. Susc Semanal"/>
        <s v="Estrella Deportes emocion. Susc Semanal"/>
        <s v="Estrella Noticias . Susc. 7 dias"/>
        <s v="Promo Movistar Juegos 1 mes gratis"/>
        <s v="Hello Kitty House Susc 7 dias"/>
        <s v="Abaco. Susc Semanal"/>
        <s v="Aula 365. Susc Semanal"/>
        <s v="Estrella del CPC 43869 Hello Kitty House Susc 7 dias"/>
        <s v="Slow Life"/>
        <s v="Tunenglish. Susc Semanal"/>
        <s v="Bloomberg English. Susc Semanal"/>
        <s v="Kids Play Sus. 7 dias" u="1"/>
        <s v="Aire Fresco Susc. Semanal" u="1"/>
        <s v="Pink Crush Susc. Semanal" u="1"/>
        <s v="Fomento de Kids Play Sus. 7 dias" u="1"/>
        <s v="Soy Mujer Susc 7 dias" u="1"/>
        <s v="SoniQ Gym susc. Semanal" u="1"/>
        <s v="Nubico Promos" u="1"/>
        <s v="Cuaderno Magico" u="1"/>
        <s v="Nubico eBooks" u="1"/>
      </sharedItems>
    </cacheField>
    <cacheField name="Billing Description" numFmtId="0">
      <sharedItems count="179">
        <s v="Multimedia"/>
        <s v="Gofresh logos"/>
        <s v="Mister-i"/>
        <s v="Parmenion Inversiones"/>
        <s v="Desc. Gameloft"/>
        <s v="Club música"/>
        <s v="Club"/>
        <s v="Animaciones&amp;Logos"/>
        <s v="MobileMusic tonos"/>
        <s v="Desc. Gamel5"/>
        <s v="Desc.Play2Me1"/>
        <s v="Desc.Play2Me1.5"/>
        <s v="Desc.Play2Me2"/>
        <s v="Desc.Play2Me3"/>
        <s v="Desc.Play2Me4"/>
        <s v="Desc.Play2Me5"/>
        <s v="Fondos"/>
        <s v="Videos"/>
        <s v="Animaciones"/>
        <s v="Fondos Branded"/>
        <s v="Videos Branded"/>
        <s v="Animaciones Brand"/>
        <s v="Canal Venus"/>
        <s v="Canal GChannel"/>
        <s v="Paquete TV Ad"/>
        <s v="Musica.truni199"/>
        <s v="Musica.trson199"/>
        <s v="Musica.trwar199"/>
        <s v="Musica.trgen199"/>
        <s v="MOVIHUMOR-20"/>
        <s v="Susc Fond MB Xhtm"/>
        <s v="tarifa plana tono"/>
        <s v="Fondo Avatares"/>
        <s v="ALLUCANEAT-30"/>
        <s v="Fondos Dinamicos"/>
        <s v="Yiam Uno S.L."/>
        <s v="Playboy Tv"/>
        <s v="Susc gameloft 3e"/>
        <s v="Susc Sem EA 0,99e"/>
        <s v="TP Seman EA 0,99e"/>
        <s v="Susc Real Network"/>
        <s v="Susc Sem Play2Me"/>
        <s v="Juegos P2M 3,99"/>
        <s v="Juegos P2M 2,99"/>
        <s v="Juegos P2M 1,99"/>
        <s v="Multimedias"/>
        <s v="Juegos 2,99 euros"/>
        <s v="Tf Plana Videos "/>
        <s v="Temas Movistar"/>
        <s v="TP Fondos Semanal"/>
        <s v="Buongiorno"/>
        <s v="Descarga 0,99 eur"/>
        <s v="Descarga 1,49 eur"/>
        <s v="Descarga 1,99 eur"/>
        <s v="Descarga 2,99 eur"/>
        <s v="Descarga 3,99 eur"/>
        <s v="Susc Semanal 0,99"/>
        <s v="Susc Juegos Sexy"/>
        <s v="Juegos Sexy 0,99 "/>
        <s v="Juegos Sexy 3,99"/>
        <s v="Juegos HD 4,99"/>
        <s v="Musica.tralt199"/>
        <s v="Musica.trorc199"/>
        <s v="Musica.MP3.war149"/>
        <s v="Musica.MP3.war99"/>
        <s v="Musica.MP3.son149"/>
        <s v="Musica.MP3.son99"/>
        <s v="Musica.MP3.uni149"/>
        <s v="Musica.MP3.uni99"/>
        <s v="Musica.MP3.orc149"/>
        <s v="Musica.MP3.orc99"/>
        <s v="Musica.MP3.alt149"/>
        <s v="Musica.MP3.alt99"/>
        <s v="Musica.MP3.gen149"/>
        <s v="Musica.MP3.gen99"/>
        <s v="Musica.fvwar199"/>
        <s v="Musica.fvson199"/>
        <s v="Musica.fvuni199"/>
        <s v="Musica.fvorc199"/>
        <s v="Musica.fvalt199"/>
        <s v="Musica.fvgen199"/>
        <s v="Deportes Emocion"/>
        <s v="Tarifa plana mp3"/>
        <s v="Novedades 3,99"/>
        <s v="Musica Dance"/>
        <s v="Musica Flamenco"/>
        <s v="Musica Espanola"/>
        <s v="Extra Juego Gloft"/>
        <s v="Musica Latina"/>
        <s v="MusicInfatilSUSC"/>
        <s v="GNFTwar199"/>
        <s v="Noticias Emocion"/>
        <s v="Juego En Tu Movil"/>
        <s v="Demo Juego 0,99 e"/>
        <s v="Demo Juego 1,99 e"/>
        <s v="Demo Juego 2,99 e"/>
        <s v="Demo Juego 3,99 e"/>
        <s v="Juegos Gameloft "/>
        <s v="Juegos Tap To Fun"/>
        <s v="Tap To Stars"/>
        <s v="Juego GoPlay 0.75"/>
        <s v="Juego GoPlay 0.99"/>
        <s v="Juego GoPlay 1.99"/>
        <s v="Juego GoPlay 2.49"/>
        <s v="Juego GoPlay 2.99"/>
        <s v="Juegos GoPlay "/>
        <s v="Juego GoPlay 3.99"/>
        <s v="Extra Demo Juego"/>
        <s v="Tap To Fun Promo"/>
        <s v="Tap To Fun Basico"/>
        <s v="Videos Multimedia"/>
        <s v="English Pills"/>
        <s v="Portal Eurosalud"/>
        <s v="Portal Taromancia"/>
        <s v="NEOMOBILE"/>
        <s v="YoMujerymas.com"/>
        <s v="Cuidatemejor.com"/>
        <s v="Musica Clasica"/>
        <s v="Go Play Juegos "/>
        <s v="Juegos GameShaker"/>
        <s v="Znack video"/>
        <s v="Extra Juego Play2"/>
        <s v="Revista de Moda"/>
        <s v="Fun@tic Games"/>
        <s v="L. Smart Planet"/>
        <s v="Video Horoscopo"/>
        <s v="Games Club"/>
        <s v="Video Golazos"/>
        <s v="Musica x Generos"/>
        <s v="Natural Beauty"/>
        <s v="Videos Lo + Mejor"/>
        <s v="Futbolitis"/>
        <s v="Hazlo Tú Mism@"/>
        <s v="Bellezas Salvajes"/>
        <s v="Daily Diva Mujer"/>
        <s v="Edukidz"/>
        <s v="Zaaass Videos"/>
        <s v="Kids Tube"/>
        <s v="Chef Book Recetas"/>
        <s v="I Trip Viajes y +"/>
        <s v="Juegos Play On"/>
        <s v="Video Coto D Caza"/>
        <s v="Gladiadores MMA"/>
        <s v="Taromancia"/>
        <s v="Mascotas"/>
        <s v="Fashion TV"/>
        <s v="TopVideo"/>
        <s v="Amigo Games"/>
        <s v="The Tourist Video"/>
        <s v="Juegos Fun Planet"/>
        <s v="AstroFuturo"/>
        <s v="Juegos Gamedroid"/>
        <s v="Terra"/>
        <s v="Pocoyo House"/>
        <s v="OnMobile Global Spain, S.L."/>
        <s v="Parece MundoToday"/>
        <s v="Caillou y Amigos"/>
        <s v="Sex 360"/>
        <s v="Sexducate con LB"/>
        <s v="2dayuk"/>
        <s v="VR Games"/>
        <s v="Movistar Juegos"/>
        <s v="Comedy Factory"/>
        <s v="Videos Clap"/>
        <s v="Videos Tribuu"/>
        <s v="Hello Kitty House"/>
        <s v="Abaco"/>
        <s v="Aula 365"/>
        <s v="Slow Life"/>
        <s v="Tunenglish"/>
        <s v="Bloomberg English"/>
        <s v="Nubico Promo" u="1"/>
        <s v="Soy Mujer" u="1"/>
        <s v="Cuaderno Mágico" u="1"/>
        <s v="Tap The Stars" u="1"/>
        <s v="Kids Play" u="1"/>
        <s v="SoniQ Gym Fitness" u="1"/>
        <s v="Nubico eBooks" u="1"/>
        <s v="Aire Fresco" u="1"/>
      </sharedItems>
    </cacheField>
    <cacheField name="Is a CVAS CPC?" numFmtId="0">
      <sharedItems/>
    </cacheField>
    <cacheField name="Old TME Category" numFmtId="0">
      <sharedItems count="18">
        <s v="Light"/>
        <s v="Images"/>
        <s v="Chats"/>
        <s v="Games"/>
        <s v="Music"/>
        <s v="Video"/>
        <s v="Humor"/>
        <s v="Sports"/>
        <s v="News"/>
        <s v="More Fun"/>
        <s v="Women"/>
        <s v="Kids"/>
        <s v="Free Time"/>
        <s v="" u="1"/>
        <s v="Beauty and Health" u="1"/>
        <s v="Others" u="1"/>
        <s v="Mujer" u="1"/>
        <s v="Nubico" u="1"/>
      </sharedItems>
    </cacheField>
    <cacheField name="TME Category" numFmtId="0">
      <sharedItems count="11">
        <s v="Light"/>
        <s v="Images"/>
        <s v="Free Time"/>
        <s v="Games"/>
        <s v="Music"/>
        <s v="Sports"/>
        <s v="News"/>
        <s v="Beauty and Health"/>
        <s v="Kids"/>
        <s v="Others" u="1"/>
        <s v="Nubico" u="1"/>
      </sharedItems>
    </cacheField>
    <cacheField name="TME SubCategory" numFmtId="0">
      <sharedItems containsBlank="1"/>
    </cacheField>
    <cacheField name="OM Category" numFmtId="0">
      <sharedItems/>
    </cacheField>
    <cacheField name="OM SubCategory" numFmtId="0">
      <sharedItems containsBlank="1"/>
    </cacheField>
    <cacheField name="Content Provider" numFmtId="0">
      <sharedItems/>
    </cacheField>
    <cacheField name="Estado" numFmtId="0">
      <sharedItems/>
    </cacheField>
    <cacheField name="New Billing OM" numFmtId="0">
      <sharedItems/>
    </cacheField>
    <cacheField name="Code of Content" numFmtId="0">
      <sharedItems containsString="0" containsBlank="1" containsNumber="1" containsInteger="1" minValue="873" maxValue="42117"/>
    </cacheField>
    <cacheField name="Service Name" numFmtId="0">
      <sharedItems/>
    </cacheField>
    <cacheField name="Description Level of Pricing" numFmtId="0">
      <sharedItems containsBlank="1"/>
    </cacheField>
    <cacheField name="Cod Level  of  Pricing" numFmtId="0">
      <sharedItems containsString="0" containsBlank="1" containsNumber="1" containsInteger="1" minValue="0" maxValue="138"/>
    </cacheField>
    <cacheField name="Subscription Model" numFmtId="0">
      <sharedItems/>
    </cacheField>
    <cacheField name="Cod of Profile" numFmtId="0">
      <sharedItems containsString="0" containsBlank="1" containsNumber="1" containsInteger="1" minValue="1" maxValue="908"/>
    </cacheField>
    <cacheField name="Price" numFmtId="0">
      <sharedItems containsString="0" containsBlank="1" containsNumber="1" minValue="0" maxValue="20"/>
    </cacheField>
    <cacheField name="% Margin CP" numFmtId="0">
      <sharedItems containsString="0" containsBlank="1" containsNumber="1" minValue="0.14499999999999999" maxValue="0.8"/>
    </cacheField>
    <cacheField name="% Margin TME" numFmtId="0">
      <sharedItems containsString="0" containsBlank="1" containsNumber="1" minValue="0.14499999999999999" maxValue="0.75"/>
    </cacheField>
    <cacheField name="% Margin Recording Company" numFmtId="0">
      <sharedItems containsString="0" containsBlank="1" containsNumber="1" minValue="0.3518" maxValue="0.55559999999999998"/>
    </cacheField>
    <cacheField name="% Margin SGAE/AIE" numFmtId="0">
      <sharedItems containsString="0" containsBlank="1" containsNumber="1" minValue="0.13" maxValue="0.13"/>
    </cacheField>
    <cacheField name="Recording Compan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32">
  <r>
    <n v="893"/>
    <m/>
    <n v="313"/>
    <n v="31301"/>
    <n v="31301"/>
    <x v="0"/>
    <x v="0"/>
    <s v="CVAS"/>
    <x v="0"/>
    <x v="0"/>
    <s v="Light Hard"/>
    <s v="Light"/>
    <s v="Light Hard"/>
    <x v="0"/>
    <s v="ACTIVE"/>
    <s v="YES"/>
    <n v="873"/>
    <s v="La Gruta del Sexo"/>
    <s v="NIVEL 58 (2.99 Euros)"/>
    <n v="58"/>
    <s v="Weekly subscription"/>
    <n v="908"/>
    <n v="2.99"/>
    <n v="0.4"/>
    <n v="0.6"/>
    <m/>
    <m/>
    <s v=""/>
    <x v="0"/>
    <n v="4.25"/>
  </r>
  <r>
    <n v="928"/>
    <m/>
    <n v="563"/>
    <n v="56301"/>
    <n v="56301"/>
    <x v="1"/>
    <x v="1"/>
    <s v="CVAS"/>
    <x v="1"/>
    <x v="1"/>
    <s v=""/>
    <s v="Others"/>
    <s v="Images"/>
    <x v="1"/>
    <s v="ACTIVE"/>
    <s v="YES"/>
    <n v="908"/>
    <s v="Gofresh logos"/>
    <s v="NIVEL 9 (2 E)"/>
    <n v="9"/>
    <s v="Monthly subscription"/>
    <n v="25"/>
    <n v="2"/>
    <n v="0.7"/>
    <n v="0.3"/>
    <m/>
    <m/>
    <s v=""/>
    <x v="1"/>
    <n v="1"/>
  </r>
  <r>
    <n v="3109"/>
    <m/>
    <m/>
    <m/>
    <m/>
    <x v="2"/>
    <x v="2"/>
    <s v="CVAS"/>
    <x v="2"/>
    <x v="2"/>
    <m/>
    <s v="Others"/>
    <m/>
    <x v="2"/>
    <s v="INACTIVE"/>
    <s v="YES"/>
    <m/>
    <s v="MoviMessenger"/>
    <m/>
    <m/>
    <s v="Monthly subscription"/>
    <m/>
    <m/>
    <m/>
    <m/>
    <m/>
    <m/>
    <m/>
    <x v="2"/>
    <n v="1"/>
  </r>
  <r>
    <n v="3141"/>
    <m/>
    <m/>
    <m/>
    <m/>
    <x v="2"/>
    <x v="2"/>
    <s v="CVAS"/>
    <x v="2"/>
    <x v="2"/>
    <m/>
    <s v="Others"/>
    <m/>
    <x v="2"/>
    <s v="INACTIVE"/>
    <s v="YES"/>
    <m/>
    <s v="Contactos"/>
    <m/>
    <m/>
    <s v="Monthly subscription"/>
    <m/>
    <m/>
    <m/>
    <m/>
    <m/>
    <m/>
    <m/>
    <x v="3"/>
    <n v="1"/>
  </r>
  <r>
    <n v="4091"/>
    <m/>
    <n v="298"/>
    <n v="29802"/>
    <n v="29802"/>
    <x v="3"/>
    <x v="0"/>
    <s v="CVAS"/>
    <x v="0"/>
    <x v="0"/>
    <s v="Light Hard"/>
    <s v="Light"/>
    <s v="Light Hard"/>
    <x v="0"/>
    <s v="ACTIVE"/>
    <s v="YES"/>
    <n v="3911"/>
    <s v="La Gruta del Sexo"/>
    <s v="NIVEL 10 (2.5)"/>
    <n v="10"/>
    <s v="PPD"/>
    <n v="1"/>
    <n v="2.5"/>
    <n v="0.3"/>
    <n v="0.7"/>
    <m/>
    <m/>
    <s v=""/>
    <x v="0"/>
    <n v="1"/>
  </r>
  <r>
    <n v="5645"/>
    <m/>
    <m/>
    <m/>
    <m/>
    <x v="4"/>
    <x v="3"/>
    <s v="CVAS"/>
    <x v="2"/>
    <x v="2"/>
    <m/>
    <s v="Others"/>
    <m/>
    <x v="3"/>
    <s v="INACTIVE"/>
    <s v="YES"/>
    <m/>
    <s v="¿Quedamos?"/>
    <m/>
    <m/>
    <s v="Monthly subscription"/>
    <m/>
    <m/>
    <m/>
    <m/>
    <m/>
    <m/>
    <m/>
    <x v="4"/>
    <n v="1"/>
  </r>
  <r>
    <n v="8778"/>
    <m/>
    <n v="257"/>
    <n v="25701"/>
    <n v="25701"/>
    <x v="5"/>
    <x v="4"/>
    <s v="CVAS"/>
    <x v="3"/>
    <x v="3"/>
    <s v=""/>
    <s v="Games"/>
    <s v=""/>
    <x v="4"/>
    <s v="ACTIVE"/>
    <s v="YES"/>
    <n v="8378"/>
    <s v="Desc. Gameloft"/>
    <s v="NIVEL 11 (3 E)"/>
    <n v="11"/>
    <s v="PPD"/>
    <n v="1"/>
    <n v="3"/>
    <n v="0.5"/>
    <n v="0.5"/>
    <m/>
    <m/>
    <s v=""/>
    <x v="5"/>
    <n v="1"/>
  </r>
  <r>
    <n v="10004"/>
    <m/>
    <n v="564"/>
    <n v="56401"/>
    <n v="56401"/>
    <x v="6"/>
    <x v="0"/>
    <s v="CVAS"/>
    <x v="0"/>
    <x v="0"/>
    <s v="Light Hard"/>
    <s v="Light"/>
    <s v="Light Hard"/>
    <x v="1"/>
    <s v="ACTIVE"/>
    <s v="YES"/>
    <n v="9241"/>
    <s v="JCs NightClub"/>
    <s v="NIVEL 9 (2 E)"/>
    <n v="9"/>
    <s v="Monthly subscription"/>
    <n v="25"/>
    <n v="2"/>
    <n v="0.3"/>
    <n v="0.7"/>
    <m/>
    <m/>
    <s v=""/>
    <x v="6"/>
    <n v="1"/>
  </r>
  <r>
    <n v="10487"/>
    <m/>
    <n v="426"/>
    <n v="42601"/>
    <n v="42601"/>
    <x v="7"/>
    <x v="5"/>
    <s v="CVAS"/>
    <x v="4"/>
    <x v="4"/>
    <s v=""/>
    <s v="Music"/>
    <s v=""/>
    <x v="2"/>
    <s v="INACTIVE"/>
    <s v="YES"/>
    <n v="9616"/>
    <s v="Club música"/>
    <s v="NIVEL 54 (0.99 Euros)"/>
    <n v="54"/>
    <s v="Weekly subscription"/>
    <n v="908"/>
    <n v="0.99"/>
    <n v="0.65"/>
    <n v="0.35"/>
    <m/>
    <m/>
    <s v=""/>
    <x v="7"/>
    <n v="4.25"/>
  </r>
  <r>
    <n v="10494"/>
    <m/>
    <n v="347"/>
    <n v="34701"/>
    <n v="34701"/>
    <x v="8"/>
    <x v="6"/>
    <s v="CVAS"/>
    <x v="1"/>
    <x v="1"/>
    <s v=""/>
    <s v="Others"/>
    <s v="Images"/>
    <x v="0"/>
    <s v="ACTIVE"/>
    <s v="YES"/>
    <n v="9620"/>
    <s v="SolodeLogos Club"/>
    <s v="NIVEL 9 (2 E)"/>
    <n v="9"/>
    <s v="Monthly subscription"/>
    <n v="25"/>
    <n v="2"/>
    <n v="0.35"/>
    <n v="0.65"/>
    <m/>
    <m/>
    <s v=""/>
    <x v="8"/>
    <n v="1"/>
  </r>
  <r>
    <n v="11207"/>
    <m/>
    <n v="563"/>
    <n v="56302"/>
    <n v="56302"/>
    <x v="9"/>
    <x v="7"/>
    <s v="CVAS"/>
    <x v="1"/>
    <x v="1"/>
    <s v=""/>
    <s v="Others"/>
    <s v="Images"/>
    <x v="1"/>
    <s v="ACTIVE"/>
    <s v="YES"/>
    <n v="10143"/>
    <s v="Animaciones&amp;Logos"/>
    <s v="NIVEL 9 (2 E)"/>
    <n v="9"/>
    <s v="Monthly subscription"/>
    <n v="25"/>
    <n v="2"/>
    <n v="0.65"/>
    <n v="0.35"/>
    <m/>
    <m/>
    <s v=""/>
    <x v="9"/>
    <n v="1"/>
  </r>
  <r>
    <n v="15325"/>
    <m/>
    <n v="604"/>
    <n v="60401"/>
    <n v="60401"/>
    <x v="10"/>
    <x v="0"/>
    <s v="CVAS"/>
    <x v="0"/>
    <x v="0"/>
    <s v="Light Hard"/>
    <s v="Light"/>
    <s v="Light Hard"/>
    <x v="5"/>
    <s v="INACTIVE"/>
    <s v="YES"/>
    <n v="20069"/>
    <s v="Euroteens"/>
    <s v="NIVEL 20 (10 E)"/>
    <n v="20"/>
    <s v="Monthly subscription"/>
    <n v="25"/>
    <n v="10"/>
    <n v="0.3"/>
    <n v="0.7"/>
    <m/>
    <m/>
    <s v=""/>
    <x v="10"/>
    <n v="1"/>
  </r>
  <r>
    <n v="17510"/>
    <m/>
    <n v="427"/>
    <n v="42701"/>
    <n v="42701"/>
    <x v="11"/>
    <x v="8"/>
    <s v="CVAS"/>
    <x v="4"/>
    <x v="4"/>
    <s v=""/>
    <s v="Music"/>
    <s v=""/>
    <x v="2"/>
    <s v="ACTIVE"/>
    <s v="YES"/>
    <n v="23992"/>
    <s v="Melodias y Tonos"/>
    <s v="NIVEL 9 (2 E)"/>
    <n v="9"/>
    <s v="Monthly subscription"/>
    <n v="25"/>
    <n v="2"/>
    <n v="0.7"/>
    <n v="0.3"/>
    <m/>
    <m/>
    <s v=""/>
    <x v="11"/>
    <n v="1"/>
  </r>
  <r>
    <n v="18157"/>
    <m/>
    <n v="599"/>
    <n v="59901"/>
    <n v="59901"/>
    <x v="12"/>
    <x v="0"/>
    <s v="CVAS"/>
    <x v="0"/>
    <x v="0"/>
    <s v="Light TV"/>
    <s v="Light"/>
    <s v="Light TV"/>
    <x v="6"/>
    <s v="ACTIVE"/>
    <s v="YES"/>
    <n v="22063"/>
    <s v="Top Models"/>
    <s v="NIVEL 11 (3 E)"/>
    <n v="11"/>
    <s v="Monthly subscription"/>
    <n v="25"/>
    <n v="3"/>
    <n v="0.3"/>
    <n v="0.7"/>
    <m/>
    <m/>
    <s v=""/>
    <x v="12"/>
    <n v="1"/>
  </r>
  <r>
    <n v="18965"/>
    <m/>
    <n v="257"/>
    <n v="25702"/>
    <n v="25702"/>
    <x v="13"/>
    <x v="9"/>
    <s v="CVAS"/>
    <x v="3"/>
    <x v="3"/>
    <s v=""/>
    <s v="Games"/>
    <s v=""/>
    <x v="4"/>
    <s v="ACTIVE"/>
    <s v="YES"/>
    <n v="25225"/>
    <s v="Desc. Gamel5"/>
    <s v="NIVEL 12 (5 E)"/>
    <n v="12"/>
    <s v="PPD"/>
    <n v="1"/>
    <n v="5"/>
    <n v="0.6"/>
    <n v="0.4"/>
    <m/>
    <m/>
    <s v=""/>
    <x v="5"/>
    <n v="1"/>
  </r>
  <r>
    <n v="19168"/>
    <m/>
    <n v="602"/>
    <n v="60202"/>
    <n v="60202"/>
    <x v="14"/>
    <x v="0"/>
    <s v="CVAS"/>
    <x v="0"/>
    <x v="0"/>
    <s v="Light Soft"/>
    <s v="Light"/>
    <s v="Light Soft"/>
    <x v="7"/>
    <s v="ACTIVE"/>
    <s v="YES"/>
    <n v="25386"/>
    <s v="DescFondosPrivate"/>
    <s v="NIVEL 11 (3 E)"/>
    <n v="11"/>
    <s v="PPD"/>
    <n v="1"/>
    <n v="3"/>
    <n v="0.3"/>
    <n v="0.7"/>
    <m/>
    <m/>
    <s v=""/>
    <x v="13"/>
    <n v="1"/>
  </r>
  <r>
    <n v="20508"/>
    <m/>
    <n v="474"/>
    <n v="47402"/>
    <n v="47402"/>
    <x v="15"/>
    <x v="10"/>
    <s v="CVAS"/>
    <x v="3"/>
    <x v="3"/>
    <s v=""/>
    <s v="Games"/>
    <s v=""/>
    <x v="8"/>
    <s v="ACTIVE"/>
    <s v="YES"/>
    <n v="26502"/>
    <s v="Desc.Play2Me1"/>
    <s v="NIVEL 7 (1 E)"/>
    <n v="7"/>
    <s v="PPD"/>
    <n v="1"/>
    <n v="1"/>
    <n v="0.7"/>
    <n v="0.3"/>
    <m/>
    <m/>
    <s v=""/>
    <x v="14"/>
    <n v="1"/>
  </r>
  <r>
    <n v="20510"/>
    <m/>
    <n v="474"/>
    <n v="47403"/>
    <n v="47403"/>
    <x v="16"/>
    <x v="11"/>
    <s v="CVAS"/>
    <x v="3"/>
    <x v="3"/>
    <s v=""/>
    <s v="Games"/>
    <s v=""/>
    <x v="8"/>
    <s v="ACTIVE"/>
    <s v="YES"/>
    <n v="26503"/>
    <s v="Desc.Play2Me1.5"/>
    <s v="NIVEL 8 (1.5)"/>
    <n v="8"/>
    <s v="PPD"/>
    <n v="1"/>
    <n v="1.5"/>
    <n v="0.65"/>
    <n v="0.35"/>
    <m/>
    <m/>
    <s v=""/>
    <x v="14"/>
    <n v="1"/>
  </r>
  <r>
    <n v="20512"/>
    <m/>
    <n v="474"/>
    <n v="47404"/>
    <n v="47404"/>
    <x v="17"/>
    <x v="12"/>
    <s v="CVAS"/>
    <x v="3"/>
    <x v="3"/>
    <s v=""/>
    <s v="Games"/>
    <s v=""/>
    <x v="8"/>
    <s v="ACTIVE"/>
    <s v="YES"/>
    <n v="26504"/>
    <s v="Desc.Play2Me2"/>
    <s v="NIVEL 9 (2 E)"/>
    <n v="9"/>
    <s v="PPD"/>
    <n v="1"/>
    <n v="2"/>
    <n v="0.65"/>
    <n v="0.35"/>
    <m/>
    <m/>
    <s v=""/>
    <x v="14"/>
    <n v="1"/>
  </r>
  <r>
    <n v="20514"/>
    <m/>
    <n v="474"/>
    <n v="47405"/>
    <n v="47405"/>
    <x v="18"/>
    <x v="13"/>
    <s v="CVAS"/>
    <x v="3"/>
    <x v="3"/>
    <s v=""/>
    <s v="Games"/>
    <s v=""/>
    <x v="8"/>
    <s v="ACTIVE"/>
    <s v="YES"/>
    <n v="26505"/>
    <s v="Desc.Play2Me3"/>
    <s v="NIVEL 11 (3 E)"/>
    <n v="11"/>
    <s v="PPD"/>
    <n v="1"/>
    <n v="3"/>
    <n v="0.5"/>
    <n v="0.5"/>
    <m/>
    <m/>
    <s v=""/>
    <x v="14"/>
    <n v="1"/>
  </r>
  <r>
    <n v="20516"/>
    <m/>
    <n v="474"/>
    <n v="47406"/>
    <n v="47406"/>
    <x v="19"/>
    <x v="14"/>
    <s v="CVAS"/>
    <x v="3"/>
    <x v="3"/>
    <s v=""/>
    <s v="Games"/>
    <s v=""/>
    <x v="8"/>
    <s v="ACTIVE"/>
    <s v="YES"/>
    <n v="26506"/>
    <s v="Desc.Play2Me4"/>
    <s v="NIVEL 22 (4 E)"/>
    <n v="22"/>
    <s v="PPD"/>
    <n v="1"/>
    <n v="4"/>
    <n v="0.6"/>
    <n v="0.4"/>
    <m/>
    <m/>
    <s v=""/>
    <x v="14"/>
    <n v="1"/>
  </r>
  <r>
    <n v="20518"/>
    <m/>
    <n v="474"/>
    <n v="47407"/>
    <n v="47407"/>
    <x v="20"/>
    <x v="15"/>
    <s v="CVAS"/>
    <x v="3"/>
    <x v="3"/>
    <s v=""/>
    <s v="Games"/>
    <s v=""/>
    <x v="8"/>
    <s v="ACTIVE"/>
    <s v="YES"/>
    <n v="26507"/>
    <s v="Desc.Play2Me5"/>
    <s v="NIVEL 12 (5 E)"/>
    <n v="12"/>
    <s v="PPD"/>
    <n v="1"/>
    <n v="5"/>
    <n v="0.6"/>
    <n v="0.4"/>
    <m/>
    <m/>
    <s v=""/>
    <x v="14"/>
    <n v="1"/>
  </r>
  <r>
    <n v="22108"/>
    <m/>
    <n v="361"/>
    <n v="36101"/>
    <n v="36101"/>
    <x v="21"/>
    <x v="16"/>
    <s v="CVAS"/>
    <x v="1"/>
    <x v="1"/>
    <s v=""/>
    <s v="Others"/>
    <s v="Images"/>
    <x v="6"/>
    <s v="ACTIVE"/>
    <s v="YES"/>
    <n v="27977"/>
    <s v="Fondos"/>
    <s v="NIVEL 8 (1.5)"/>
    <n v="8"/>
    <s v="PPD"/>
    <n v="1"/>
    <n v="1.5"/>
    <n v="0.4"/>
    <n v="0.6"/>
    <m/>
    <m/>
    <s v=""/>
    <x v="15"/>
    <n v="1"/>
  </r>
  <r>
    <n v="22110"/>
    <m/>
    <n v="355"/>
    <n v="35501"/>
    <n v="35501"/>
    <x v="22"/>
    <x v="17"/>
    <s v="CVAS"/>
    <x v="1"/>
    <x v="1"/>
    <s v=""/>
    <s v="Others"/>
    <s v="Images"/>
    <x v="6"/>
    <s v="ACTIVE"/>
    <s v="YES"/>
    <n v="27978"/>
    <s v="Videos"/>
    <s v="NIVEL 9 (2 E)"/>
    <n v="9"/>
    <s v="PPD"/>
    <n v="1"/>
    <n v="2"/>
    <n v="0.4"/>
    <n v="0.6"/>
    <m/>
    <m/>
    <s v=""/>
    <x v="16"/>
    <n v="1"/>
  </r>
  <r>
    <n v="22112"/>
    <m/>
    <n v="357"/>
    <n v="35701"/>
    <n v="35701"/>
    <x v="23"/>
    <x v="18"/>
    <s v="CVAS"/>
    <x v="1"/>
    <x v="1"/>
    <s v=""/>
    <s v="Others"/>
    <s v="Images"/>
    <x v="6"/>
    <s v="ACTIVE"/>
    <s v="YES"/>
    <n v="27979"/>
    <s v="Animaciones"/>
    <s v="NIVEL 8 (1.5)"/>
    <n v="8"/>
    <s v="PPD"/>
    <n v="1"/>
    <n v="1.5"/>
    <n v="0.4"/>
    <n v="0.6"/>
    <m/>
    <m/>
    <s v=""/>
    <x v="17"/>
    <n v="1"/>
  </r>
  <r>
    <n v="22118"/>
    <m/>
    <n v="363"/>
    <n v="36301"/>
    <n v="36301"/>
    <x v="24"/>
    <x v="19"/>
    <s v="CVAS"/>
    <x v="1"/>
    <x v="1"/>
    <s v=""/>
    <s v="Others"/>
    <s v="Images"/>
    <x v="6"/>
    <s v="ACTIVE"/>
    <s v="YES"/>
    <n v="27982"/>
    <s v="Fondos Branded"/>
    <s v="NIVEL 8 (1.5)"/>
    <n v="8"/>
    <s v="PPD"/>
    <n v="1"/>
    <n v="1.5"/>
    <n v="0.5"/>
    <n v="0.5"/>
    <m/>
    <m/>
    <s v=""/>
    <x v="18"/>
    <n v="1"/>
  </r>
  <r>
    <n v="22120"/>
    <m/>
    <n v="366"/>
    <n v="36601"/>
    <n v="36601"/>
    <x v="25"/>
    <x v="20"/>
    <s v="CVAS"/>
    <x v="1"/>
    <x v="1"/>
    <s v=""/>
    <s v="Others"/>
    <s v="Images"/>
    <x v="6"/>
    <s v="ACTIVE"/>
    <s v="YES"/>
    <n v="27983"/>
    <s v="Videos Branded"/>
    <s v="NIVEL 9 (2 E)"/>
    <n v="9"/>
    <s v="PPD"/>
    <n v="1"/>
    <n v="2"/>
    <n v="0.5"/>
    <n v="0.5"/>
    <m/>
    <m/>
    <s v=""/>
    <x v="19"/>
    <n v="1"/>
  </r>
  <r>
    <n v="22122"/>
    <m/>
    <n v="356"/>
    <n v="35601"/>
    <n v="35601"/>
    <x v="21"/>
    <x v="21"/>
    <s v="CVAS"/>
    <x v="1"/>
    <x v="1"/>
    <s v=""/>
    <s v="Others"/>
    <s v="Images"/>
    <x v="6"/>
    <s v="ACTIVE"/>
    <s v="YES"/>
    <n v="27984"/>
    <s v="Animaciones Brand"/>
    <s v="NIVEL 8 (1.5)"/>
    <n v="8"/>
    <s v="PPD"/>
    <n v="1"/>
    <n v="1.5"/>
    <n v="0.5"/>
    <n v="0.5"/>
    <m/>
    <m/>
    <s v=""/>
    <x v="20"/>
    <n v="1"/>
  </r>
  <r>
    <n v="22716"/>
    <m/>
    <n v="303"/>
    <n v="30303"/>
    <n v="30303"/>
    <x v="26"/>
    <x v="0"/>
    <s v="CVAS"/>
    <x v="0"/>
    <x v="0"/>
    <s v="Light Hard"/>
    <s v="Light"/>
    <s v="Light Hard"/>
    <x v="0"/>
    <s v="ACTIVE"/>
    <s v="YES"/>
    <n v="28472"/>
    <s v="Mundo DV Porno"/>
    <s v="NIVEL 12 (5 E)"/>
    <n v="12"/>
    <s v="PPD"/>
    <n v="1"/>
    <n v="5"/>
    <n v="0.3"/>
    <n v="0.7"/>
    <m/>
    <m/>
    <s v=""/>
    <x v="21"/>
    <n v="1"/>
  </r>
  <r>
    <n v="22718"/>
    <m/>
    <n v="251"/>
    <n v="25102"/>
    <n v="25102"/>
    <x v="26"/>
    <x v="0"/>
    <s v="CVAS"/>
    <x v="0"/>
    <x v="0"/>
    <s v="Light Hard"/>
    <s v="Light"/>
    <s v="Light Hard"/>
    <x v="0"/>
    <s v="ACTIVE"/>
    <s v="YES"/>
    <n v="28473"/>
    <s v="Porno Profesional"/>
    <s v="NIVEL 11 (3 E)"/>
    <n v="11"/>
    <s v="PPD"/>
    <n v="1"/>
    <n v="3"/>
    <n v="0.3"/>
    <n v="0.7"/>
    <m/>
    <m/>
    <s v=""/>
    <x v="22"/>
    <n v="1"/>
  </r>
  <r>
    <n v="23264"/>
    <m/>
    <n v="600"/>
    <n v="60001"/>
    <n v="60001"/>
    <x v="27"/>
    <x v="22"/>
    <s v="CVAS"/>
    <x v="0"/>
    <x v="0"/>
    <s v="Light TV"/>
    <s v="Light"/>
    <s v="Light TV"/>
    <x v="9"/>
    <s v="INACTIVE"/>
    <s v="YES"/>
    <n v="28945"/>
    <s v="Canal Venus"/>
    <s v="NIVEL 28 (6 E)"/>
    <n v="28"/>
    <s v="Monthly subscription"/>
    <n v="25"/>
    <n v="6"/>
    <n v="0.3"/>
    <n v="0.7"/>
    <m/>
    <m/>
    <s v=""/>
    <x v="23"/>
    <n v="1"/>
  </r>
  <r>
    <n v="23274"/>
    <m/>
    <n v="581"/>
    <n v="58101"/>
    <n v="58101"/>
    <x v="28"/>
    <x v="23"/>
    <s v="CVAS"/>
    <x v="0"/>
    <x v="0"/>
    <s v="Light TV"/>
    <s v="Light"/>
    <s v="Light TV"/>
    <x v="9"/>
    <s v="INACTIVE"/>
    <s v="YES"/>
    <n v="28584"/>
    <s v="Forman TV"/>
    <s v="NIVEL 28 (6 E)"/>
    <n v="28"/>
    <s v="Monthly subscription"/>
    <n v="25"/>
    <n v="6"/>
    <n v="0.3"/>
    <n v="0.7"/>
    <m/>
    <m/>
    <s v=""/>
    <x v="24"/>
    <n v="1"/>
  </r>
  <r>
    <n v="23383"/>
    <m/>
    <n v="580"/>
    <n v="58001"/>
    <n v="58001"/>
    <x v="29"/>
    <x v="0"/>
    <s v="CVAS"/>
    <x v="0"/>
    <x v="0"/>
    <s v="Light TV"/>
    <s v="Light"/>
    <s v="Light TV"/>
    <x v="10"/>
    <s v="ACTIVE"/>
    <s v="YES"/>
    <n v="29044"/>
    <s v="Fantasy Mansion"/>
    <s v="NIVEL 22 (4 E)"/>
    <n v="22"/>
    <s v="Monthly subscription"/>
    <n v="25"/>
    <n v="4"/>
    <n v="0.3"/>
    <n v="0.7"/>
    <m/>
    <m/>
    <s v=""/>
    <x v="25"/>
    <n v="1"/>
  </r>
  <r>
    <n v="23386"/>
    <m/>
    <n v="601"/>
    <n v="60101"/>
    <n v="60101"/>
    <x v="29"/>
    <x v="0"/>
    <s v="CVAS"/>
    <x v="0"/>
    <x v="0"/>
    <s v="Light TV"/>
    <s v="Light"/>
    <s v="Light TV"/>
    <x v="10"/>
    <s v="ACTIVE"/>
    <s v="YES"/>
    <n v="29045"/>
    <s v="Wicked TV"/>
    <s v="NIVEL 28 (6 E)"/>
    <n v="28"/>
    <s v="Monthly subscription"/>
    <n v="25"/>
    <n v="6"/>
    <n v="0.3"/>
    <n v="0.7"/>
    <m/>
    <m/>
    <s v=""/>
    <x v="26"/>
    <n v="1"/>
  </r>
  <r>
    <n v="23832"/>
    <m/>
    <n v="246"/>
    <n v="24602"/>
    <n v="24602"/>
    <x v="26"/>
    <x v="0"/>
    <s v="CVAS"/>
    <x v="0"/>
    <x v="0"/>
    <s v="Light Hard"/>
    <s v="Light"/>
    <s v="Light Hard"/>
    <x v="0"/>
    <s v="ACTIVE"/>
    <s v="YES"/>
    <n v="29453"/>
    <s v="Divinas mamás"/>
    <s v="NIVEL 11 (3 E)"/>
    <n v="11"/>
    <s v="PPD"/>
    <n v="1"/>
    <n v="3"/>
    <n v="0.3"/>
    <n v="0.7"/>
    <m/>
    <m/>
    <s v=""/>
    <x v="27"/>
    <n v="1"/>
  </r>
  <r>
    <n v="23837"/>
    <m/>
    <n v="245"/>
    <n v="24502"/>
    <n v="24502"/>
    <x v="26"/>
    <x v="0"/>
    <s v="CVAS"/>
    <x v="0"/>
    <x v="0"/>
    <s v="Light Hard"/>
    <s v="Light"/>
    <s v="Light Hard"/>
    <x v="0"/>
    <s v="ACTIVE"/>
    <s v="YES"/>
    <n v="29455"/>
    <s v="Corridas"/>
    <s v="NIVEL 11 (3 E)"/>
    <n v="11"/>
    <s v="PPD"/>
    <n v="1"/>
    <n v="3"/>
    <n v="0.3"/>
    <n v="0.7"/>
    <m/>
    <m/>
    <s v=""/>
    <x v="28"/>
    <n v="1"/>
  </r>
  <r>
    <n v="23841"/>
    <m/>
    <n v="344"/>
    <n v="34402"/>
    <n v="34402"/>
    <x v="26"/>
    <x v="0"/>
    <s v="CVAS"/>
    <x v="0"/>
    <x v="0"/>
    <s v="Light Hard"/>
    <s v="Light"/>
    <s v="Light Hard"/>
    <x v="0"/>
    <s v="ACTIVE"/>
    <s v="YES"/>
    <n v="29457"/>
    <s v="Hardcore"/>
    <s v="NIVEL 11 (3 E)"/>
    <n v="11"/>
    <s v="PPD"/>
    <n v="1"/>
    <n v="3"/>
    <n v="0.3"/>
    <n v="0.7"/>
    <m/>
    <m/>
    <s v=""/>
    <x v="29"/>
    <n v="1"/>
  </r>
  <r>
    <n v="23845"/>
    <m/>
    <n v="249"/>
    <n v="24902"/>
    <n v="24902"/>
    <x v="26"/>
    <x v="0"/>
    <s v="CVAS"/>
    <x v="0"/>
    <x v="0"/>
    <s v="Light Hard"/>
    <s v="Light"/>
    <s v="Light Hard"/>
    <x v="0"/>
    <s v="ACTIVE"/>
    <s v="YES"/>
    <n v="29459"/>
    <s v="Hentai"/>
    <s v="NIVEL 11 (3 E)"/>
    <n v="11"/>
    <s v="PPD"/>
    <n v="1"/>
    <n v="3"/>
    <n v="0.3"/>
    <n v="0.7"/>
    <m/>
    <m/>
    <s v=""/>
    <x v="30"/>
    <n v="1"/>
  </r>
  <r>
    <n v="23849"/>
    <m/>
    <n v="250"/>
    <n v="25002"/>
    <n v="25002"/>
    <x v="26"/>
    <x v="0"/>
    <s v="CVAS"/>
    <x v="0"/>
    <x v="0"/>
    <s v="Light Hard"/>
    <s v="Light"/>
    <s v="Light Hard"/>
    <x v="0"/>
    <s v="ACTIVE"/>
    <s v="YES"/>
    <n v="29461"/>
    <s v="Lesbianas"/>
    <s v="NIVEL 11 (3 E)"/>
    <n v="11"/>
    <s v="PPD"/>
    <n v="1"/>
    <n v="3"/>
    <n v="0.3"/>
    <n v="0.7"/>
    <m/>
    <m/>
    <s v=""/>
    <x v="31"/>
    <n v="1"/>
  </r>
  <r>
    <n v="23853"/>
    <m/>
    <n v="244"/>
    <n v="24402"/>
    <n v="24402"/>
    <x v="26"/>
    <x v="0"/>
    <s v="CVAS"/>
    <x v="0"/>
    <x v="0"/>
    <s v="Light Hard"/>
    <s v="Light"/>
    <s v="Light Hard"/>
    <x v="0"/>
    <s v="ACTIVE"/>
    <s v="YES"/>
    <n v="29463"/>
    <s v="Cochinas Latinas"/>
    <s v="NIVEL 11 (3 E)"/>
    <n v="11"/>
    <s v="PPD"/>
    <n v="1"/>
    <n v="3"/>
    <n v="0.3"/>
    <n v="0.7"/>
    <m/>
    <m/>
    <s v=""/>
    <x v="32"/>
    <n v="1"/>
  </r>
  <r>
    <n v="23923"/>
    <m/>
    <n v="271"/>
    <n v="27102"/>
    <n v="27102"/>
    <x v="30"/>
    <x v="0"/>
    <s v="CVAS"/>
    <x v="0"/>
    <x v="0"/>
    <s v="Light Hard"/>
    <s v="Light"/>
    <s v="Light Hard"/>
    <x v="8"/>
    <s v="ACTIVE"/>
    <s v="YES"/>
    <n v="29499"/>
    <s v="Casadas"/>
    <s v="NIVEL 9 (2 Euros)"/>
    <n v="9"/>
    <s v="PPD"/>
    <n v="1"/>
    <n v="2"/>
    <n v="0.3"/>
    <n v="0.7"/>
    <m/>
    <m/>
    <s v=""/>
    <x v="33"/>
    <n v="1"/>
  </r>
  <r>
    <n v="23925"/>
    <m/>
    <n v="271"/>
    <n v="27103"/>
    <n v="27103"/>
    <x v="26"/>
    <x v="0"/>
    <s v="CVAS"/>
    <x v="0"/>
    <x v="0"/>
    <s v="Light Hard"/>
    <s v="Light"/>
    <s v=""/>
    <x v="8"/>
    <s v="ACTIVE"/>
    <s v="YES"/>
    <n v="29500"/>
    <s v="Casadas"/>
    <s v="NIVEL 11 (3 E)"/>
    <n v="11"/>
    <s v="PPD"/>
    <n v="1"/>
    <n v="3"/>
    <n v="0.3"/>
    <n v="0.7"/>
    <m/>
    <m/>
    <s v=""/>
    <x v="33"/>
    <n v="1"/>
  </r>
  <r>
    <n v="23927"/>
    <m/>
    <n v="275"/>
    <n v="27502"/>
    <n v="27502"/>
    <x v="31"/>
    <x v="0"/>
    <s v="CVAS"/>
    <x v="0"/>
    <x v="0"/>
    <s v="Light Hard"/>
    <s v="Light"/>
    <s v="Light Hard"/>
    <x v="8"/>
    <s v="ACTIVE"/>
    <s v="YES"/>
    <n v="29501"/>
    <s v="Jovencitas"/>
    <s v="NIVEL 9 (2 Euros)"/>
    <n v="9"/>
    <s v="PPD"/>
    <n v="1"/>
    <n v="2"/>
    <n v="0.3"/>
    <n v="0.7"/>
    <m/>
    <m/>
    <s v=""/>
    <x v="34"/>
    <n v="1"/>
  </r>
  <r>
    <n v="23929"/>
    <m/>
    <n v="275"/>
    <n v="27503"/>
    <n v="27503"/>
    <x v="26"/>
    <x v="0"/>
    <s v="CVAS"/>
    <x v="0"/>
    <x v="0"/>
    <s v="Light Hard"/>
    <s v="Light"/>
    <s v="Light Hard"/>
    <x v="8"/>
    <s v="ACTIVE"/>
    <s v="YES"/>
    <n v="29502"/>
    <s v="Jovencitas"/>
    <s v="NIVEL 11 (3 E)"/>
    <n v="11"/>
    <s v="PPD"/>
    <n v="1"/>
    <n v="3"/>
    <n v="0.3"/>
    <n v="0.7"/>
    <m/>
    <m/>
    <s v=""/>
    <x v="34"/>
    <n v="1"/>
  </r>
  <r>
    <n v="23931"/>
    <m/>
    <n v="279"/>
    <n v="27903"/>
    <n v="27903"/>
    <x v="32"/>
    <x v="0"/>
    <s v="CVAS"/>
    <x v="0"/>
    <x v="0"/>
    <s v="Light Hard"/>
    <s v="Light"/>
    <s v="Light Hard"/>
    <x v="8"/>
    <s v="ACTIVE"/>
    <s v="YES"/>
    <n v="29503"/>
    <s v="Mamadas"/>
    <s v="NIVEL 9 (2 Euros)"/>
    <n v="9"/>
    <s v="PPD"/>
    <n v="1"/>
    <n v="2"/>
    <n v="0.4"/>
    <n v="0.6"/>
    <m/>
    <m/>
    <s v=""/>
    <x v="35"/>
    <n v="1"/>
  </r>
  <r>
    <n v="23933"/>
    <m/>
    <n v="279"/>
    <n v="27902"/>
    <n v="27902"/>
    <x v="26"/>
    <x v="0"/>
    <s v="CVAS"/>
    <x v="0"/>
    <x v="0"/>
    <s v="Light Hard"/>
    <s v="Light"/>
    <s v="Light Hard"/>
    <x v="8"/>
    <s v="ACTIVE"/>
    <s v="YES"/>
    <n v="29504"/>
    <s v="Mamadas"/>
    <s v="NIVEL 11 (3 E)"/>
    <n v="11"/>
    <s v="PPD"/>
    <n v="1"/>
    <n v="3"/>
    <n v="0.3"/>
    <n v="0.7"/>
    <m/>
    <m/>
    <s v=""/>
    <x v="35"/>
    <n v="1"/>
  </r>
  <r>
    <n v="23935"/>
    <m/>
    <n v="274"/>
    <n v="27403"/>
    <n v="27403"/>
    <x v="33"/>
    <x v="0"/>
    <s v="CVAS"/>
    <x v="0"/>
    <x v="0"/>
    <s v="Light Hard"/>
    <s v="Light"/>
    <s v="Light Hard"/>
    <x v="8"/>
    <s v="ACTIVE"/>
    <s v="YES"/>
    <n v="29505"/>
    <s v="Ibericas"/>
    <s v="NIVEL 9 (2 Euros)"/>
    <n v="9"/>
    <s v="PPD"/>
    <n v="1"/>
    <n v="2"/>
    <n v="0.3"/>
    <n v="0.7"/>
    <m/>
    <m/>
    <s v=""/>
    <x v="36"/>
    <n v="1"/>
  </r>
  <r>
    <n v="23937"/>
    <m/>
    <n v="274"/>
    <n v="27402"/>
    <n v="27402"/>
    <x v="26"/>
    <x v="0"/>
    <s v="CVAS"/>
    <x v="0"/>
    <x v="0"/>
    <s v="Light Hard"/>
    <s v="Light"/>
    <s v="Light Hard"/>
    <x v="8"/>
    <s v="ACTIVE"/>
    <s v="YES"/>
    <n v="29506"/>
    <s v="Putas"/>
    <s v="NIVEL 11 (3 E)"/>
    <n v="11"/>
    <s v="PPD"/>
    <n v="1"/>
    <n v="3"/>
    <n v="0.3"/>
    <n v="0.7"/>
    <m/>
    <m/>
    <s v=""/>
    <x v="37"/>
    <n v="1"/>
  </r>
  <r>
    <n v="23939"/>
    <m/>
    <n v="272"/>
    <n v="27202"/>
    <n v="27202"/>
    <x v="34"/>
    <x v="0"/>
    <s v="CVAS"/>
    <x v="0"/>
    <x v="0"/>
    <s v="Light Hard"/>
    <s v="Light"/>
    <s v="Light Hard"/>
    <x v="8"/>
    <s v="ACTIVE"/>
    <s v="YES"/>
    <n v="29507"/>
    <s v="Sexo en publico"/>
    <s v="NIVEL 9 (2 Euros)"/>
    <n v="9"/>
    <s v="PPD"/>
    <n v="1"/>
    <n v="2"/>
    <n v="0.3"/>
    <n v="0.7"/>
    <m/>
    <m/>
    <s v=""/>
    <x v="38"/>
    <n v="1"/>
  </r>
  <r>
    <n v="23941"/>
    <m/>
    <n v="272"/>
    <n v="27203"/>
    <n v="27203"/>
    <x v="26"/>
    <x v="0"/>
    <s v="CVAS"/>
    <x v="0"/>
    <x v="0"/>
    <s v="Light Hard"/>
    <s v="Light"/>
    <s v="Light Hard"/>
    <x v="8"/>
    <s v="ACTIVE"/>
    <s v="YES"/>
    <n v="29508"/>
    <s v="Follamigos"/>
    <s v="NIVEL 11 (3 E)"/>
    <n v="11"/>
    <s v="PPD"/>
    <n v="1"/>
    <n v="3"/>
    <n v="0.3"/>
    <n v="0.7"/>
    <m/>
    <m/>
    <s v=""/>
    <x v="39"/>
    <n v="1"/>
  </r>
  <r>
    <n v="24096"/>
    <m/>
    <n v="231"/>
    <n v="89"/>
    <n v="89"/>
    <x v="29"/>
    <x v="0"/>
    <s v="CVAS"/>
    <x v="0"/>
    <x v="0"/>
    <s v="Light Soft"/>
    <s v="Light"/>
    <s v="Light Soft"/>
    <x v="11"/>
    <s v="ACTIVE"/>
    <s v="YES"/>
    <n v="29687"/>
    <s v="MoviSexy"/>
    <s v="NIVEL 12 (5 E)"/>
    <n v="12"/>
    <s v="Monthly subscription"/>
    <n v="25"/>
    <n v="5"/>
    <n v="0.3"/>
    <n v="0.7"/>
    <m/>
    <m/>
    <s v=""/>
    <x v="40"/>
    <n v="1"/>
  </r>
  <r>
    <n v="24300"/>
    <m/>
    <n v="583"/>
    <n v="58301"/>
    <n v="58301"/>
    <x v="35"/>
    <x v="24"/>
    <s v="CVAS"/>
    <x v="0"/>
    <x v="0"/>
    <s v="Light TV"/>
    <s v="Light"/>
    <s v="Light TV"/>
    <x v="12"/>
    <s v="ACTIVE"/>
    <s v="YES"/>
    <n v="29810"/>
    <s v="Paquete TV Adultos"/>
    <s v="NIVEL 38 (20 Euros)"/>
    <n v="38"/>
    <s v="Monthly subscription"/>
    <n v="484"/>
    <n v="20"/>
    <n v="0.3"/>
    <n v="0.7"/>
    <m/>
    <m/>
    <s v=""/>
    <x v="41"/>
    <n v="1"/>
  </r>
  <r>
    <n v="24981"/>
    <m/>
    <n v="273"/>
    <n v="27303"/>
    <n v="27303"/>
    <x v="26"/>
    <x v="0"/>
    <s v="CVAS"/>
    <x v="0"/>
    <x v="0"/>
    <s v="Light Hard"/>
    <s v="Light"/>
    <s v="Light Hard"/>
    <x v="8"/>
    <s v="ACTIVE"/>
    <s v="YES"/>
    <n v="30412"/>
    <s v="Gay"/>
    <s v="NIVEL 9 (2 E)"/>
    <n v="9"/>
    <s v="PPD"/>
    <n v="1"/>
    <n v="2"/>
    <n v="0.3"/>
    <n v="0.7"/>
    <m/>
    <m/>
    <s v=""/>
    <x v="42"/>
    <n v="1"/>
  </r>
  <r>
    <n v="24983"/>
    <m/>
    <n v="273"/>
    <n v="27302"/>
    <n v="27302"/>
    <x v="26"/>
    <x v="0"/>
    <s v="CVAS"/>
    <x v="0"/>
    <x v="0"/>
    <s v="Light Hard"/>
    <s v="Light"/>
    <s v="Light Hard"/>
    <x v="8"/>
    <s v="ACTIVE"/>
    <s v="YES"/>
    <n v="30413"/>
    <s v="Gay"/>
    <s v="NIVEL 11 (3 E)"/>
    <n v="11"/>
    <s v="PPD"/>
    <n v="1"/>
    <n v="3"/>
    <n v="0.3"/>
    <n v="0.7"/>
    <m/>
    <m/>
    <s v=""/>
    <x v="42"/>
    <n v="1"/>
  </r>
  <r>
    <n v="24985"/>
    <m/>
    <n v="278"/>
    <n v="27803"/>
    <n v="27803"/>
    <x v="26"/>
    <x v="0"/>
    <s v="CVAS"/>
    <x v="0"/>
    <x v="0"/>
    <s v="Light Hard"/>
    <s v="Light"/>
    <s v="Light Hard"/>
    <x v="8"/>
    <s v="ACTIVE"/>
    <s v="YES"/>
    <n v="30414"/>
    <s v="Maduras"/>
    <s v="NIVEL 9 (2 E)"/>
    <n v="9"/>
    <s v="PPD"/>
    <n v="1"/>
    <n v="2"/>
    <n v="0.3"/>
    <n v="0.7"/>
    <m/>
    <m/>
    <s v=""/>
    <x v="43"/>
    <n v="1"/>
  </r>
  <r>
    <n v="24987"/>
    <m/>
    <n v="278"/>
    <n v="27802"/>
    <n v="27802"/>
    <x v="26"/>
    <x v="0"/>
    <s v="CVAS"/>
    <x v="0"/>
    <x v="0"/>
    <s v="Light Hard"/>
    <s v="Light"/>
    <s v="Light Hard"/>
    <x v="8"/>
    <s v="ACTIVE"/>
    <s v="YES"/>
    <n v="30415"/>
    <s v="Maduras"/>
    <s v="NIVEL 11 (3 E)"/>
    <n v="11"/>
    <s v="PPD"/>
    <n v="1"/>
    <n v="3"/>
    <n v="0.3"/>
    <n v="0.7"/>
    <m/>
    <m/>
    <s v=""/>
    <x v="43"/>
    <n v="1"/>
  </r>
  <r>
    <n v="25069"/>
    <m/>
    <n v="346"/>
    <n v="34602"/>
    <n v="34602"/>
    <x v="26"/>
    <x v="0"/>
    <s v="CVAS"/>
    <x v="0"/>
    <x v="0"/>
    <s v="Light Hard"/>
    <s v="Light"/>
    <s v="Light Hard"/>
    <x v="0"/>
    <s v="ACTIVE"/>
    <s v="YES"/>
    <n v="30455"/>
    <s v="Abuelos Cachondos"/>
    <s v="NIVEL 11 (3 E)"/>
    <n v="11"/>
    <s v="PPD"/>
    <n v="1"/>
    <n v="3"/>
    <n v="0.3"/>
    <n v="0.7"/>
    <m/>
    <m/>
    <s v=""/>
    <x v="44"/>
    <n v="1"/>
  </r>
  <r>
    <n v="25126"/>
    <m/>
    <n v="454"/>
    <n v="45402"/>
    <n v="45402"/>
    <x v="26"/>
    <x v="0"/>
    <s v="CVAS"/>
    <x v="0"/>
    <x v="0"/>
    <s v="Light Soft"/>
    <s v="Light"/>
    <s v="Light Soft"/>
    <x v="10"/>
    <s v="ACTIVE"/>
    <s v="YES"/>
    <n v="30486"/>
    <s v="Webcams"/>
    <s v="NIVEL 8 (1.5)"/>
    <n v="8"/>
    <s v="PPD"/>
    <n v="1"/>
    <n v="1.5"/>
    <n v="0.3"/>
    <n v="0.7"/>
    <m/>
    <m/>
    <s v=""/>
    <x v="45"/>
    <n v="1"/>
  </r>
  <r>
    <n v="25130"/>
    <m/>
    <n v="455"/>
    <n v="45502"/>
    <n v="45502"/>
    <x v="26"/>
    <x v="0"/>
    <s v="CVAS"/>
    <x v="0"/>
    <x v="0"/>
    <s v="Light Soft"/>
    <s v="Light"/>
    <s v="Light Soft"/>
    <x v="10"/>
    <s v="ACTIVE"/>
    <s v="YES"/>
    <n v="30488"/>
    <s v="Oriental"/>
    <s v="NIVEL 8 (1.5)"/>
    <n v="8"/>
    <s v="PPD"/>
    <n v="1"/>
    <n v="1.5"/>
    <n v="0.3"/>
    <n v="0.7"/>
    <m/>
    <m/>
    <s v=""/>
    <x v="46"/>
    <n v="1"/>
  </r>
  <r>
    <n v="25134"/>
    <m/>
    <n v="453"/>
    <n v="45302"/>
    <n v="45302"/>
    <x v="26"/>
    <x v="0"/>
    <s v="CVAS"/>
    <x v="0"/>
    <x v="0"/>
    <s v="Light Soft"/>
    <s v="Light"/>
    <s v="Light Soft"/>
    <x v="10"/>
    <s v="ACTIVE"/>
    <s v="YES"/>
    <n v="30490"/>
    <s v="Culazos"/>
    <s v="NIVEL 8 (1.5)"/>
    <n v="8"/>
    <s v="PPD"/>
    <n v="1"/>
    <n v="1.5"/>
    <n v="0.3"/>
    <n v="0.7"/>
    <m/>
    <m/>
    <s v=""/>
    <x v="47"/>
    <n v="1"/>
  </r>
  <r>
    <n v="25138"/>
    <m/>
    <n v="452"/>
    <n v="45202"/>
    <n v="45202"/>
    <x v="26"/>
    <x v="0"/>
    <s v="CVAS"/>
    <x v="0"/>
    <x v="0"/>
    <s v="Light Soft"/>
    <s v="Light"/>
    <s v="Light Soft"/>
    <x v="10"/>
    <s v="ACTIVE"/>
    <s v="YES"/>
    <n v="30492"/>
    <s v="Chicas humedas"/>
    <s v="NIVEL 8 (1.5)"/>
    <n v="8"/>
    <s v="PPD"/>
    <n v="1"/>
    <n v="1.5"/>
    <n v="0.3"/>
    <n v="0.7"/>
    <m/>
    <m/>
    <s v=""/>
    <x v="48"/>
    <n v="1"/>
  </r>
  <r>
    <n v="25142"/>
    <m/>
    <n v="456"/>
    <n v="45602"/>
    <n v="45602"/>
    <x v="26"/>
    <x v="0"/>
    <s v="CVAS"/>
    <x v="0"/>
    <x v="0"/>
    <s v="Light Soft"/>
    <s v="Light"/>
    <s v="Light Soft"/>
    <x v="10"/>
    <s v="ACTIVE"/>
    <s v="YES"/>
    <n v="30494"/>
    <s v="Jovencitas"/>
    <s v="NIVEL 8 (1.5)"/>
    <n v="8"/>
    <s v="PPD"/>
    <n v="1"/>
    <n v="1.5"/>
    <n v="0.3"/>
    <n v="0.7"/>
    <m/>
    <m/>
    <s v=""/>
    <x v="34"/>
    <n v="1"/>
  </r>
  <r>
    <n v="25146"/>
    <m/>
    <n v="451"/>
    <n v="45101"/>
    <n v="45101"/>
    <x v="26"/>
    <x v="0"/>
    <s v="CVAS"/>
    <x v="0"/>
    <x v="0"/>
    <s v="Light Soft"/>
    <s v="Light"/>
    <s v="Light Soft"/>
    <x v="10"/>
    <s v="ACTIVE"/>
    <s v="YES"/>
    <n v="30496"/>
    <s v="Porn Stars"/>
    <s v="NIVEL 8 (1.5)"/>
    <n v="8"/>
    <s v="PPD"/>
    <n v="1"/>
    <n v="1.5"/>
    <n v="0.3"/>
    <n v="0.7"/>
    <m/>
    <m/>
    <s v=""/>
    <x v="49"/>
    <n v="1"/>
  </r>
  <r>
    <n v="25150"/>
    <m/>
    <n v="457"/>
    <n v="45702"/>
    <n v="45702"/>
    <x v="26"/>
    <x v="0"/>
    <s v="CVAS"/>
    <x v="0"/>
    <x v="0"/>
    <s v="Light Soft"/>
    <s v="Light"/>
    <s v="Light Soft"/>
    <x v="10"/>
    <s v="ACTIVE"/>
    <s v="YES"/>
    <n v="30498"/>
    <s v="Stripers"/>
    <s v="NIVEL 8 (1.5)"/>
    <n v="8"/>
    <s v="PPD"/>
    <n v="1"/>
    <n v="1.5"/>
    <n v="0.3"/>
    <n v="0.7"/>
    <m/>
    <m/>
    <s v=""/>
    <x v="50"/>
    <n v="1"/>
  </r>
  <r>
    <n v="25162"/>
    <m/>
    <n v="276"/>
    <n v="27601"/>
    <n v="27601"/>
    <x v="26"/>
    <x v="0"/>
    <s v="CVAS"/>
    <x v="0"/>
    <x v="0"/>
    <s v="Light Soft"/>
    <s v="Light"/>
    <s v="Light Soft"/>
    <x v="8"/>
    <s v="ACTIVE"/>
    <s v="YES"/>
    <n v="30504"/>
    <s v="Chicas Malas"/>
    <s v="NIVEL 8 (1.5)"/>
    <n v="8"/>
    <s v="PPD"/>
    <n v="1"/>
    <n v="1.5"/>
    <n v="0.3"/>
    <n v="0.7"/>
    <m/>
    <m/>
    <s v=""/>
    <x v="51"/>
    <n v="1"/>
  </r>
  <r>
    <n v="25172"/>
    <m/>
    <n v="277"/>
    <n v="27701"/>
    <n v="27701"/>
    <x v="26"/>
    <x v="0"/>
    <s v="CVAS"/>
    <x v="0"/>
    <x v="0"/>
    <s v="Light Soft"/>
    <s v="Light"/>
    <s v="Light Soft"/>
    <x v="8"/>
    <s v="ACTIVE"/>
    <s v="YES"/>
    <n v="30509"/>
    <s v="Macizos"/>
    <s v="NIVEL 8 (1.5)"/>
    <n v="8"/>
    <s v="PPD"/>
    <n v="1"/>
    <n v="1.5"/>
    <n v="0.3"/>
    <n v="0.7"/>
    <m/>
    <m/>
    <s v=""/>
    <x v="52"/>
    <n v="1"/>
  </r>
  <r>
    <n v="25376"/>
    <m/>
    <n v="587"/>
    <n v="58701"/>
    <n v="58701"/>
    <x v="29"/>
    <x v="0"/>
    <s v="CVAS"/>
    <x v="0"/>
    <x v="0"/>
    <s v="Light TV"/>
    <s v="Light"/>
    <s v="Light TV"/>
    <x v="7"/>
    <s v="INACTIVE"/>
    <s v="YES"/>
    <n v="30710"/>
    <s v=" Private XXX"/>
    <s v="NIVEL 28 (6 E)"/>
    <n v="28"/>
    <s v="Monthly subscription"/>
    <n v="25"/>
    <n v="6"/>
    <n v="0.3"/>
    <n v="0.7"/>
    <m/>
    <m/>
    <s v=""/>
    <x v="13"/>
    <n v="1"/>
  </r>
  <r>
    <n v="25398"/>
    <m/>
    <n v="510"/>
    <n v="51001"/>
    <n v="51001"/>
    <x v="26"/>
    <x v="0"/>
    <s v="CVAS"/>
    <x v="0"/>
    <x v="0"/>
    <s v="Light Soft"/>
    <s v="Light"/>
    <s v="Light Soft"/>
    <x v="10"/>
    <s v="ACTIVE"/>
    <s v="YES"/>
    <n v="30718"/>
    <s v="Wicked"/>
    <s v="NIVEL 10 (2.5)"/>
    <n v="10"/>
    <s v="PPD"/>
    <n v="1"/>
    <n v="2.5"/>
    <n v="0.3"/>
    <n v="0.7"/>
    <m/>
    <m/>
    <s v=""/>
    <x v="26"/>
    <n v="1"/>
  </r>
  <r>
    <n v="25399"/>
    <m/>
    <n v="277"/>
    <n v="27702"/>
    <n v="27702"/>
    <x v="26"/>
    <x v="0"/>
    <s v="CVAS"/>
    <x v="0"/>
    <x v="0"/>
    <s v="Light Soft"/>
    <s v="Light"/>
    <s v="Light Soft"/>
    <x v="8"/>
    <s v="ACTIVE"/>
    <s v="YES"/>
    <n v="30511"/>
    <s v="Macizos"/>
    <s v="NIVEL 10 (2.5)"/>
    <n v="10"/>
    <s v="PPD"/>
    <n v="1"/>
    <n v="2.5"/>
    <n v="0.3"/>
    <n v="0.7"/>
    <m/>
    <m/>
    <s v=""/>
    <x v="52"/>
    <n v="1"/>
  </r>
  <r>
    <n v="25401"/>
    <m/>
    <n v="276"/>
    <n v="27602"/>
    <n v="27602"/>
    <x v="26"/>
    <x v="0"/>
    <s v="CVAS"/>
    <x v="0"/>
    <x v="0"/>
    <s v="Light Soft"/>
    <s v="Light"/>
    <s v="Light Soft"/>
    <x v="8"/>
    <s v="ACTIVE"/>
    <s v="YES"/>
    <n v="30505"/>
    <s v="Latinas"/>
    <s v="NIVEL 10 (2.5)"/>
    <n v="10"/>
    <s v="PPD"/>
    <n v="1"/>
    <n v="2.5"/>
    <n v="0.3"/>
    <n v="0.7"/>
    <m/>
    <m/>
    <s v=""/>
    <x v="53"/>
    <n v="1"/>
  </r>
  <r>
    <n v="25404"/>
    <m/>
    <n v="457"/>
    <n v="45701"/>
    <n v="45701"/>
    <x v="26"/>
    <x v="0"/>
    <s v="CVAS"/>
    <x v="0"/>
    <x v="0"/>
    <s v="Light Soft"/>
    <s v="Light"/>
    <s v="Light Soft"/>
    <x v="10"/>
    <s v="ACTIVE"/>
    <s v="YES"/>
    <n v="30499"/>
    <s v="Stripers"/>
    <s v="NIVEL 10 (2.5)"/>
    <n v="10"/>
    <s v="PPD"/>
    <n v="1"/>
    <n v="2.5"/>
    <n v="0.3"/>
    <n v="0.7"/>
    <m/>
    <m/>
    <s v=""/>
    <x v="50"/>
    <n v="1"/>
  </r>
  <r>
    <n v="25405"/>
    <m/>
    <n v="451"/>
    <n v="45102"/>
    <n v="45102"/>
    <x v="26"/>
    <x v="0"/>
    <s v="CVAS"/>
    <x v="0"/>
    <x v="0"/>
    <s v="Light Soft"/>
    <s v="Light"/>
    <s v="Light Soft"/>
    <x v="10"/>
    <s v="ACTIVE"/>
    <s v="YES"/>
    <n v="30497"/>
    <s v="Porn Stars"/>
    <s v="NIVEL 10 (2.5)"/>
    <n v="10"/>
    <s v="PPD"/>
    <n v="1"/>
    <n v="2.5"/>
    <n v="0.3"/>
    <n v="0.7"/>
    <m/>
    <m/>
    <s v=""/>
    <x v="49"/>
    <n v="1"/>
  </r>
  <r>
    <n v="25407"/>
    <m/>
    <n v="452"/>
    <n v="45201"/>
    <n v="45201"/>
    <x v="26"/>
    <x v="0"/>
    <s v="CVAS"/>
    <x v="0"/>
    <x v="0"/>
    <s v="Light Soft"/>
    <s v="Light"/>
    <s v="Light Soft"/>
    <x v="10"/>
    <s v="ACTIVE"/>
    <s v="YES"/>
    <n v="30493"/>
    <s v="Chicas humedas"/>
    <s v="NIVEL 10 (2.5)"/>
    <n v="10"/>
    <s v="PPD"/>
    <n v="1"/>
    <n v="2.5"/>
    <n v="0.3"/>
    <n v="0.7"/>
    <m/>
    <m/>
    <s v=""/>
    <x v="48"/>
    <n v="1"/>
  </r>
  <r>
    <n v="25408"/>
    <m/>
    <n v="453"/>
    <n v="45301"/>
    <n v="45301"/>
    <x v="26"/>
    <x v="0"/>
    <s v="CVAS"/>
    <x v="0"/>
    <x v="0"/>
    <s v="Light Soft"/>
    <s v="Light"/>
    <s v="Light Soft"/>
    <x v="10"/>
    <s v="ACTIVE"/>
    <s v="YES"/>
    <n v="30491"/>
    <s v="Culazos"/>
    <s v="NIVEL 10 (2.5)"/>
    <n v="10"/>
    <s v="PPD"/>
    <n v="1"/>
    <n v="2.5"/>
    <n v="0.3"/>
    <n v="0.7"/>
    <m/>
    <m/>
    <s v=""/>
    <x v="47"/>
    <n v="1"/>
  </r>
  <r>
    <n v="25409"/>
    <m/>
    <n v="455"/>
    <n v="45501"/>
    <n v="45501"/>
    <x v="26"/>
    <x v="0"/>
    <s v="CVAS"/>
    <x v="0"/>
    <x v="0"/>
    <s v="Light Soft"/>
    <s v="Light"/>
    <s v="Light Soft"/>
    <x v="10"/>
    <s v="ACTIVE"/>
    <s v="YES"/>
    <n v="30489"/>
    <s v="Oriental"/>
    <s v="NIVEL 10 (2.5)"/>
    <n v="10"/>
    <s v="PPD"/>
    <n v="1"/>
    <n v="2.5"/>
    <n v="0.3"/>
    <n v="0.7"/>
    <m/>
    <m/>
    <s v=""/>
    <x v="46"/>
    <n v="1"/>
  </r>
  <r>
    <n v="25410"/>
    <m/>
    <n v="454"/>
    <n v="45401"/>
    <n v="45401"/>
    <x v="26"/>
    <x v="0"/>
    <s v="CVAS"/>
    <x v="0"/>
    <x v="0"/>
    <s v="Light Soft"/>
    <s v="Light"/>
    <s v="Light Soft"/>
    <x v="10"/>
    <s v="ACTIVE"/>
    <s v="YES"/>
    <n v="30487"/>
    <s v="webcams"/>
    <s v="NIVEL 10 (2.5)"/>
    <n v="10"/>
    <s v="PPD"/>
    <n v="1"/>
    <n v="2.5"/>
    <n v="0.3"/>
    <n v="0.7"/>
    <m/>
    <m/>
    <s v=""/>
    <x v="45"/>
    <n v="1"/>
  </r>
  <r>
    <n v="25414"/>
    <m/>
    <n v="309"/>
    <n v="30902"/>
    <n v="30902"/>
    <x v="26"/>
    <x v="0"/>
    <s v="CVAS"/>
    <x v="0"/>
    <x v="0"/>
    <s v="Light Soft"/>
    <s v="Light"/>
    <s v="Light Soft"/>
    <x v="0"/>
    <s v="ACTIVE"/>
    <s v="YES"/>
    <n v="30719"/>
    <s v="Tattoo"/>
    <s v="NIVEL 8 (1.5)"/>
    <n v="8"/>
    <s v="PPD"/>
    <n v="1"/>
    <n v="1.5"/>
    <n v="0.3"/>
    <n v="0.7"/>
    <m/>
    <m/>
    <s v=""/>
    <x v="54"/>
    <n v="1"/>
  </r>
  <r>
    <n v="25415"/>
    <m/>
    <n v="309"/>
    <n v="30901"/>
    <n v="30901"/>
    <x v="26"/>
    <x v="0"/>
    <s v="CVAS"/>
    <x v="0"/>
    <x v="0"/>
    <s v="Light Soft"/>
    <s v="Light"/>
    <s v="Light Soft"/>
    <x v="0"/>
    <s v="ACTIVE"/>
    <s v="YES"/>
    <n v="30720"/>
    <s v="Tattoo"/>
    <s v="NIVEL 10 (2.5)"/>
    <n v="10"/>
    <s v="PPD"/>
    <n v="1"/>
    <n v="2.5"/>
    <n v="0.3"/>
    <n v="0.7"/>
    <m/>
    <m/>
    <s v=""/>
    <x v="54"/>
    <n v="1"/>
  </r>
  <r>
    <n v="25417"/>
    <m/>
    <n v="304"/>
    <n v="30401"/>
    <n v="30401"/>
    <x v="26"/>
    <x v="0"/>
    <s v="CVAS"/>
    <x v="0"/>
    <x v="0"/>
    <s v="Light Soft"/>
    <s v="Light"/>
    <s v="Light Soft"/>
    <x v="0"/>
    <s v="ACTIVE"/>
    <s v="YES"/>
    <n v="30721"/>
    <s v="Lencería"/>
    <s v="NIVEL 10 (2.5)"/>
    <n v="10"/>
    <s v="PPD"/>
    <n v="1"/>
    <n v="2.5"/>
    <n v="0.3"/>
    <n v="0.7"/>
    <m/>
    <m/>
    <s v=""/>
    <x v="55"/>
    <n v="1"/>
  </r>
  <r>
    <n v="25419"/>
    <m/>
    <n v="304"/>
    <n v="30402"/>
    <n v="30402"/>
    <x v="26"/>
    <x v="0"/>
    <s v="CVAS"/>
    <x v="0"/>
    <x v="0"/>
    <s v="Light Soft"/>
    <s v="Light"/>
    <s v="Light Soft"/>
    <x v="0"/>
    <s v="ACTIVE"/>
    <s v="YES"/>
    <n v="30722"/>
    <s v="Lencería"/>
    <s v="NIVEL 8 (1.5)"/>
    <n v="8"/>
    <s v="PPD"/>
    <n v="1"/>
    <n v="1.5"/>
    <n v="0.3"/>
    <n v="0.7"/>
    <m/>
    <m/>
    <s v=""/>
    <x v="55"/>
    <n v="1"/>
  </r>
  <r>
    <n v="25422"/>
    <m/>
    <n v="254"/>
    <n v="25402"/>
    <n v="25402"/>
    <x v="36"/>
    <x v="25"/>
    <s v="CVAS"/>
    <x v="4"/>
    <x v="4"/>
    <s v=""/>
    <s v="Music"/>
    <s v=""/>
    <x v="13"/>
    <s v="ACTIVE"/>
    <s v="YES"/>
    <n v="30723"/>
    <s v="MOVIREAL-20-UNIVE"/>
    <s v="NIVEL 56 (1.99 Euros)"/>
    <n v="56"/>
    <s v="PPD"/>
    <n v="1"/>
    <n v="1.99"/>
    <n v="0.26910000000000001"/>
    <n v="0.24909999999999999"/>
    <n v="0.3518"/>
    <n v="0.13"/>
    <s v="UNIVERSAL"/>
    <x v="56"/>
    <n v="1"/>
  </r>
  <r>
    <n v="25424"/>
    <m/>
    <n v="254"/>
    <n v="25403"/>
    <n v="25403"/>
    <x v="37"/>
    <x v="26"/>
    <s v="CVAS"/>
    <x v="4"/>
    <x v="4"/>
    <s v=""/>
    <s v="Music"/>
    <s v=""/>
    <x v="13"/>
    <s v="ACTIVE"/>
    <s v="YES"/>
    <n v="30724"/>
    <s v="MOVIREAL-20-SONY"/>
    <s v="NIVEL 56 (1.99 Euros)"/>
    <n v="56"/>
    <s v="PPD"/>
    <n v="1"/>
    <n v="1.99"/>
    <n v="0.24399999999999999"/>
    <n v="0.22399999999999998"/>
    <n v="0.40200000000000002"/>
    <n v="0.13"/>
    <s v="SONY"/>
    <x v="57"/>
    <n v="1"/>
  </r>
  <r>
    <n v="25428"/>
    <m/>
    <n v="254"/>
    <n v="25404"/>
    <n v="25404"/>
    <x v="38"/>
    <x v="27"/>
    <s v="CVAS"/>
    <x v="4"/>
    <x v="4"/>
    <s v=""/>
    <s v="Music"/>
    <s v=""/>
    <x v="13"/>
    <s v="ACTIVE"/>
    <s v="YES"/>
    <n v="30726"/>
    <s v="MOVIREAL-20-WARNE"/>
    <s v="NIVEL 56 (1.99 Euros)"/>
    <n v="56"/>
    <s v="PPD"/>
    <n v="1"/>
    <n v="1.99"/>
    <n v="0.25659999999999999"/>
    <n v="0.2366"/>
    <n v="0.37689999999999996"/>
    <n v="0.13"/>
    <s v="WARNER"/>
    <x v="58"/>
    <n v="1"/>
  </r>
  <r>
    <n v="25432"/>
    <m/>
    <n v="254"/>
    <n v="25405"/>
    <n v="25405"/>
    <x v="39"/>
    <x v="28"/>
    <s v="CVAS"/>
    <x v="4"/>
    <x v="4"/>
    <s v=""/>
    <s v="Music"/>
    <s v=""/>
    <x v="13"/>
    <s v="ACTIVE"/>
    <s v="YES"/>
    <n v="30728"/>
    <s v="MOVIREAL-20-GENX"/>
    <s v="NIVEL 56 (1.99 Euros)"/>
    <n v="56"/>
    <s v="PPD"/>
    <n v="1"/>
    <n v="1.99"/>
    <n v="0.245"/>
    <n v="0.22500000000000001"/>
    <n v="0.4"/>
    <n v="0.13"/>
    <s v="GENEXIES"/>
    <x v="59"/>
    <n v="1"/>
  </r>
  <r>
    <n v="25437"/>
    <m/>
    <n v="305"/>
    <n v="30501"/>
    <n v="30501"/>
    <x v="26"/>
    <x v="0"/>
    <s v="CVAS"/>
    <x v="0"/>
    <x v="0"/>
    <s v="Light Soft"/>
    <s v="Light"/>
    <s v="Light Soft"/>
    <x v="0"/>
    <s v="ACTIVE"/>
    <s v="YES"/>
    <n v="30730"/>
    <s v="Morenazas"/>
    <s v="NIVEL 10 (2.5)"/>
    <n v="10"/>
    <s v="PPD"/>
    <n v="1"/>
    <n v="2.5"/>
    <n v="0.3"/>
    <n v="0.7"/>
    <m/>
    <m/>
    <s v=""/>
    <x v="60"/>
    <n v="1"/>
  </r>
  <r>
    <n v="25442"/>
    <m/>
    <n v="305"/>
    <n v="30502"/>
    <n v="30502"/>
    <x v="26"/>
    <x v="0"/>
    <s v="CVAS"/>
    <x v="0"/>
    <x v="0"/>
    <s v="Light Soft"/>
    <s v="Light"/>
    <s v="Light Soft"/>
    <x v="0"/>
    <s v="ACTIVE"/>
    <s v="YES"/>
    <n v="30732"/>
    <s v="Morenazas"/>
    <s v="NIVEL 8 (1.5)"/>
    <n v="8"/>
    <s v="PPD"/>
    <n v="1"/>
    <n v="1.5"/>
    <n v="0.3"/>
    <n v="0.7"/>
    <m/>
    <m/>
    <s v=""/>
    <x v="60"/>
    <n v="1"/>
  </r>
  <r>
    <n v="25452"/>
    <m/>
    <n v="466"/>
    <n v="46602"/>
    <n v="46602"/>
    <x v="40"/>
    <x v="29"/>
    <s v="CVAS"/>
    <x v="4"/>
    <x v="4"/>
    <s v=""/>
    <s v="Music"/>
    <s v=""/>
    <x v="13"/>
    <s v="ACTIVE"/>
    <s v="YES"/>
    <n v="30738"/>
    <s v="Tonos de Humor"/>
    <s v="NIVEL 9 (2 E)"/>
    <n v="9"/>
    <s v="PPD"/>
    <n v="1"/>
    <n v="2"/>
    <n v="0.6"/>
    <n v="0.4"/>
    <m/>
    <m/>
    <s v=""/>
    <x v="61"/>
    <n v="1"/>
  </r>
  <r>
    <n v="25454"/>
    <m/>
    <n v="306"/>
    <n v="30601"/>
    <n v="30601"/>
    <x v="26"/>
    <x v="0"/>
    <s v="CVAS"/>
    <x v="0"/>
    <x v="0"/>
    <s v="Light Soft"/>
    <s v="Light"/>
    <s v="Light Soft"/>
    <x v="0"/>
    <s v="ACTIVE"/>
    <s v="YES"/>
    <n v="30739"/>
    <s v="Mulatas"/>
    <s v="NIVEL 10 (2.5)"/>
    <n v="10"/>
    <s v="PPD"/>
    <n v="1"/>
    <n v="2.5"/>
    <n v="0.3"/>
    <n v="0.7"/>
    <m/>
    <m/>
    <s v=""/>
    <x v="62"/>
    <n v="1"/>
  </r>
  <r>
    <n v="25456"/>
    <m/>
    <n v="306"/>
    <n v="30602"/>
    <n v="30602"/>
    <x v="26"/>
    <x v="0"/>
    <s v="CVAS"/>
    <x v="0"/>
    <x v="0"/>
    <s v="Light Soft"/>
    <s v="Light"/>
    <s v="Light Soft"/>
    <x v="0"/>
    <s v="ACTIVE"/>
    <s v="YES"/>
    <n v="30744"/>
    <s v="Mulatas"/>
    <s v="NIVEL 8 (1.5)"/>
    <n v="8"/>
    <s v="PPD"/>
    <n v="1"/>
    <n v="1.5"/>
    <n v="0.3"/>
    <n v="0.7"/>
    <m/>
    <m/>
    <s v=""/>
    <x v="62"/>
    <n v="1"/>
  </r>
  <r>
    <n v="25458"/>
    <m/>
    <n v="307"/>
    <n v="30701"/>
    <n v="30701"/>
    <x v="26"/>
    <x v="0"/>
    <s v="CVAS"/>
    <x v="0"/>
    <x v="0"/>
    <s v="Light Soft"/>
    <s v="Light"/>
    <s v="Light Soft"/>
    <x v="0"/>
    <s v="ACTIVE"/>
    <s v="YES"/>
    <n v="30745"/>
    <s v="Rubias"/>
    <s v="NIVEL 10 (2.5)"/>
    <n v="10"/>
    <s v="PPD"/>
    <n v="1"/>
    <n v="2.5"/>
    <n v="0.3"/>
    <n v="0.7"/>
    <m/>
    <m/>
    <s v=""/>
    <x v="63"/>
    <n v="1"/>
  </r>
  <r>
    <n v="25460"/>
    <m/>
    <n v="307"/>
    <n v="30702"/>
    <n v="30702"/>
    <x v="26"/>
    <x v="0"/>
    <s v="CVAS"/>
    <x v="0"/>
    <x v="0"/>
    <s v="Light Soft"/>
    <s v="Light"/>
    <s v="Light Soft"/>
    <x v="0"/>
    <s v="ACTIVE"/>
    <s v="YES"/>
    <n v="30746"/>
    <s v="Rubias"/>
    <s v="NIVEL 8 (1.5)"/>
    <n v="8"/>
    <s v="PPD"/>
    <n v="1"/>
    <n v="1.5"/>
    <n v="0.3"/>
    <n v="0.7"/>
    <m/>
    <m/>
    <s v=""/>
    <x v="63"/>
    <n v="1"/>
  </r>
  <r>
    <n v="25462"/>
    <m/>
    <n v="308"/>
    <n v="30801"/>
    <n v="30801"/>
    <x v="26"/>
    <x v="0"/>
    <s v="CVAS"/>
    <x v="0"/>
    <x v="0"/>
    <s v="Light Soft"/>
    <s v="Light"/>
    <s v="Light Soft"/>
    <x v="0"/>
    <s v="ACTIVE"/>
    <s v="YES"/>
    <n v="30747"/>
    <s v="Supertangas"/>
    <s v="NIVEL 10 (2.5)"/>
    <n v="10"/>
    <s v="PPD"/>
    <n v="1"/>
    <n v="2.5"/>
    <n v="0.3"/>
    <n v="0.7"/>
    <m/>
    <m/>
    <s v=""/>
    <x v="64"/>
    <n v="1"/>
  </r>
  <r>
    <n v="25464"/>
    <m/>
    <n v="308"/>
    <n v="30802"/>
    <n v="30802"/>
    <x v="26"/>
    <x v="0"/>
    <s v="CVAS"/>
    <x v="0"/>
    <x v="0"/>
    <s v="Light Soft"/>
    <s v="Light"/>
    <s v="Light Soft"/>
    <x v="0"/>
    <s v="ACTIVE"/>
    <s v="YES"/>
    <n v="30748"/>
    <s v="Supertangas"/>
    <s v="NIVEL 8 (1.5)"/>
    <n v="8"/>
    <s v="PPD"/>
    <n v="1"/>
    <n v="1.5"/>
    <n v="0.3"/>
    <n v="0.7"/>
    <m/>
    <m/>
    <s v=""/>
    <x v="64"/>
    <n v="1"/>
  </r>
  <r>
    <n v="25609"/>
    <m/>
    <n v="364"/>
    <n v="36401"/>
    <n v="36401"/>
    <x v="41"/>
    <x v="30"/>
    <s v="CVAS"/>
    <x v="1"/>
    <x v="1"/>
    <s v=""/>
    <s v="Others"/>
    <s v="Images"/>
    <x v="6"/>
    <s v="ACTIVE"/>
    <s v="YES"/>
    <n v="30468"/>
    <s v="Susc Fond MB Xhtm"/>
    <s v="NIVEL 22 (4 E)"/>
    <n v="22"/>
    <s v="Monthly subscription"/>
    <n v="25"/>
    <n v="4"/>
    <n v="0.4"/>
    <n v="0.6"/>
    <m/>
    <m/>
    <s v=""/>
    <x v="65"/>
    <n v="1"/>
  </r>
  <r>
    <n v="25707"/>
    <m/>
    <n v="456"/>
    <n v="45601"/>
    <n v="45601"/>
    <x v="26"/>
    <x v="0"/>
    <s v="CVAS"/>
    <x v="0"/>
    <x v="0"/>
    <s v="Light Soft"/>
    <s v="Light"/>
    <s v="Light Soft"/>
    <x v="10"/>
    <s v="ACTIVE"/>
    <s v="YES"/>
    <n v="30495"/>
    <s v="Jovencitas"/>
    <s v="NIVEL 10 (2.5)"/>
    <n v="10"/>
    <s v="PPD"/>
    <n v="1"/>
    <n v="2.5"/>
    <n v="0.3"/>
    <n v="0.7"/>
    <m/>
    <m/>
    <s v=""/>
    <x v="34"/>
    <n v="1"/>
  </r>
  <r>
    <n v="25712"/>
    <m/>
    <n v="280"/>
    <n v="28001"/>
    <n v="28001"/>
    <x v="26"/>
    <x v="0"/>
    <s v="CVAS"/>
    <x v="0"/>
    <x v="0"/>
    <s v="Light Soft"/>
    <s v="Light"/>
    <s v="Light Soft"/>
    <x v="8"/>
    <s v="ACTIVE"/>
    <s v="YES"/>
    <n v="30906"/>
    <s v="Vecinitas"/>
    <s v="NIVEL 10 (2.5)"/>
    <n v="10"/>
    <s v="PPD"/>
    <n v="1"/>
    <n v="2.5"/>
    <n v="0.3"/>
    <n v="0.7"/>
    <m/>
    <m/>
    <s v=""/>
    <x v="66"/>
    <n v="1"/>
  </r>
  <r>
    <n v="25814"/>
    <m/>
    <n v="254"/>
    <n v="25401"/>
    <n v="25401"/>
    <x v="42"/>
    <x v="31"/>
    <s v="CVAS"/>
    <x v="4"/>
    <x v="4"/>
    <s v=""/>
    <s v="Music"/>
    <s v=""/>
    <x v="13"/>
    <s v="ACTIVE"/>
    <s v="YES"/>
    <n v="31007"/>
    <s v="Tonos Reales"/>
    <s v="NIVEL 60 (3.99 Euros)"/>
    <n v="60"/>
    <s v="Monthly subscription"/>
    <n v="25"/>
    <n v="3.99"/>
    <n v="0.27500000000000002"/>
    <n v="0.19500000000000001"/>
    <n v="0.4"/>
    <n v="0.13"/>
    <s v="TODOS"/>
    <x v="67"/>
    <n v="1"/>
  </r>
  <r>
    <n v="25828"/>
    <m/>
    <n v="365"/>
    <n v="36501"/>
    <n v="36501"/>
    <x v="43"/>
    <x v="32"/>
    <s v="CVAS"/>
    <x v="1"/>
    <x v="1"/>
    <s v=""/>
    <s v="Others"/>
    <s v="Images"/>
    <x v="6"/>
    <s v="ACTIVE"/>
    <s v="YES"/>
    <n v="31009"/>
    <s v="Fondo Avatares"/>
    <s v="NIVEL 11 (3 E)"/>
    <n v="11"/>
    <s v="Monthly subscription"/>
    <n v="25"/>
    <n v="3"/>
    <n v="0.4"/>
    <n v="0.6"/>
    <m/>
    <m/>
    <s v=""/>
    <x v="68"/>
    <n v="1"/>
  </r>
  <r>
    <n v="25849"/>
    <m/>
    <n v="605"/>
    <n v="60501"/>
    <n v="60501"/>
    <x v="29"/>
    <x v="0"/>
    <s v="CVAS"/>
    <x v="0"/>
    <x v="0"/>
    <s v="Light Hard"/>
    <s v="Light"/>
    <s v="Light Hard"/>
    <x v="5"/>
    <s v="ACTIVE"/>
    <s v="YES"/>
    <n v="31025"/>
    <s v="Porno Travieso"/>
    <s v="NIVEL 20 (10 E)"/>
    <n v="20"/>
    <s v="Monthly subscription"/>
    <n v="25"/>
    <n v="10"/>
    <n v="0.3"/>
    <n v="0.7"/>
    <m/>
    <m/>
    <s v=""/>
    <x v="69"/>
    <n v="1"/>
  </r>
  <r>
    <n v="25855"/>
    <m/>
    <n v="606"/>
    <n v="60601"/>
    <n v="60601"/>
    <x v="29"/>
    <x v="0"/>
    <s v="CVAS"/>
    <x v="0"/>
    <x v="0"/>
    <s v="Light Hard"/>
    <s v="Light"/>
    <s v="Light Hard"/>
    <x v="5"/>
    <s v="INACTIVE"/>
    <s v="YES"/>
    <n v="31044"/>
    <s v="You Porn XXX/Tu Porno"/>
    <s v="NIVEL 20 (10 E)"/>
    <n v="20"/>
    <s v="Monthly subscription"/>
    <n v="25"/>
    <n v="10"/>
    <n v="0.3"/>
    <n v="0.7"/>
    <m/>
    <m/>
    <s v=""/>
    <x v="70"/>
    <n v="1"/>
  </r>
  <r>
    <n v="25857"/>
    <m/>
    <n v="466"/>
    <n v="46601"/>
    <n v="46601"/>
    <x v="44"/>
    <x v="33"/>
    <s v="CVAS"/>
    <x v="4"/>
    <x v="4"/>
    <s v=""/>
    <s v="Music"/>
    <s v=""/>
    <x v="13"/>
    <s v="ACTIVE"/>
    <s v="YES"/>
    <n v="31045"/>
    <s v="Tonos de Humor"/>
    <s v="NIVEL 11 (3 E)"/>
    <n v="11"/>
    <s v="Monthly subscription"/>
    <n v="25"/>
    <n v="3"/>
    <n v="0.65"/>
    <n v="0.35"/>
    <m/>
    <m/>
    <s v=""/>
    <x v="71"/>
    <n v="1"/>
  </r>
  <r>
    <n v="28347"/>
    <m/>
    <n v="358"/>
    <n v="35801"/>
    <n v="35801"/>
    <x v="45"/>
    <x v="34"/>
    <s v="CVAS"/>
    <x v="1"/>
    <x v="1"/>
    <s v=""/>
    <s v="Others"/>
    <s v="Images"/>
    <x v="6"/>
    <s v="ACTIVE"/>
    <s v="YES"/>
    <n v="32026"/>
    <s v="Fondos Dinamicos"/>
    <s v="NIVEL 9 (2 E)"/>
    <n v="9"/>
    <s v="PPD"/>
    <n v="1"/>
    <n v="2"/>
    <n v="0.4"/>
    <n v="0.6"/>
    <m/>
    <m/>
    <s v=""/>
    <x v="72"/>
    <n v="1"/>
  </r>
  <r>
    <n v="28390"/>
    <m/>
    <m/>
    <m/>
    <m/>
    <x v="46"/>
    <x v="35"/>
    <s v="CVAS"/>
    <x v="0"/>
    <x v="0"/>
    <m/>
    <s v="Others"/>
    <m/>
    <x v="10"/>
    <s v="INACTIVE"/>
    <s v="YES"/>
    <m/>
    <s v="Cheap &amp; Nasty"/>
    <m/>
    <m/>
    <s v="Weekly subscription"/>
    <m/>
    <m/>
    <m/>
    <m/>
    <m/>
    <m/>
    <m/>
    <x v="73"/>
    <n v="4.25"/>
  </r>
  <r>
    <n v="28428"/>
    <m/>
    <n v="507"/>
    <n v="50701"/>
    <n v="50701"/>
    <x v="47"/>
    <x v="0"/>
    <s v="CVAS"/>
    <x v="0"/>
    <x v="0"/>
    <s v="Light Hard"/>
    <s v="Light"/>
    <s v="Light Hard"/>
    <x v="10"/>
    <s v="ACTIVE"/>
    <s v="YES"/>
    <n v="32060"/>
    <s v="Playhouse"/>
    <s v="NIVEL 58 (2.99 Euros)"/>
    <n v="58"/>
    <s v="Weekly subscription"/>
    <n v="908"/>
    <n v="2.99"/>
    <n v="0.3"/>
    <n v="0.7"/>
    <m/>
    <m/>
    <s v=""/>
    <x v="74"/>
    <n v="4.25"/>
  </r>
  <r>
    <n v="28488"/>
    <m/>
    <n v="298"/>
    <n v="29801"/>
    <n v="29801"/>
    <x v="47"/>
    <x v="0"/>
    <s v="CVAS"/>
    <x v="0"/>
    <x v="0"/>
    <s v="Light Hard"/>
    <s v="Light"/>
    <s v="Light Hard"/>
    <x v="0"/>
    <s v="ACTIVE"/>
    <s v="YES"/>
    <n v="32084"/>
    <s v="Video X Porn"/>
    <s v="NIVEL 9 (2 E)"/>
    <n v="9"/>
    <s v="Weekly subscription"/>
    <n v="908"/>
    <n v="2"/>
    <n v="0.3"/>
    <n v="0.7"/>
    <m/>
    <m/>
    <s v=""/>
    <x v="75"/>
    <n v="4.25"/>
  </r>
  <r>
    <n v="28622"/>
    <m/>
    <n v="303"/>
    <n v="30301"/>
    <n v="30301"/>
    <x v="47"/>
    <x v="0"/>
    <s v="CVAS"/>
    <x v="0"/>
    <x v="0"/>
    <s v="Light Soft"/>
    <s v="Light"/>
    <s v="Light Soft"/>
    <x v="0"/>
    <s v="INACTIVE"/>
    <s v="YES"/>
    <n v="32251"/>
    <s v="Mundo DVD Porno"/>
    <s v="NIVEL 58 (2.99 Euros)"/>
    <n v="58"/>
    <s v="Weekly subscription"/>
    <n v="908"/>
    <n v="2.99"/>
    <n v="0.3"/>
    <n v="0.7"/>
    <m/>
    <m/>
    <s v=""/>
    <x v="21"/>
    <n v="4.25"/>
  </r>
  <r>
    <n v="28632"/>
    <m/>
    <n v="302"/>
    <n v="30201"/>
    <n v="30201"/>
    <x v="47"/>
    <x v="0"/>
    <s v="CVAS"/>
    <x v="0"/>
    <x v="0"/>
    <s v="Light Hard"/>
    <s v="Light"/>
    <s v="Light Hard"/>
    <x v="0"/>
    <s v="INACTIVE"/>
    <s v="YES"/>
    <n v="32256"/>
    <s v="Mundo DVD Porno Legacy"/>
    <s v="NIVEL 9 (2 E)"/>
    <n v="9"/>
    <s v="Weekly subscription"/>
    <n v="908"/>
    <n v="2"/>
    <n v="0.3"/>
    <n v="0.7"/>
    <m/>
    <m/>
    <s v=""/>
    <x v="21"/>
    <n v="4.25"/>
  </r>
  <r>
    <n v="28767"/>
    <m/>
    <n v="458"/>
    <n v="45802"/>
    <n v="45802"/>
    <x v="26"/>
    <x v="0"/>
    <s v="CVAS"/>
    <x v="0"/>
    <x v="0"/>
    <s v="Light Soft"/>
    <s v="Light"/>
    <s v="Light Soft"/>
    <x v="10"/>
    <s v="ACTIVE"/>
    <s v="YES"/>
    <n v="32325"/>
    <s v="Tera Patrick Soft"/>
    <s v="NIVEL 8 (1.5)"/>
    <n v="8"/>
    <s v="PPD"/>
    <n v="1"/>
    <n v="1.5"/>
    <n v="0.3"/>
    <n v="0.7"/>
    <m/>
    <m/>
    <s v=""/>
    <x v="76"/>
    <n v="1"/>
  </r>
  <r>
    <n v="28769"/>
    <m/>
    <n v="458"/>
    <n v="45801"/>
    <n v="45801"/>
    <x v="26"/>
    <x v="0"/>
    <s v="CVAS"/>
    <x v="0"/>
    <x v="0"/>
    <s v="Light Soft"/>
    <s v="Light"/>
    <s v="Light Soft"/>
    <x v="10"/>
    <s v="ACTIVE"/>
    <s v="YES"/>
    <n v="32344"/>
    <s v="Tera Patrick Soft"/>
    <s v="NIVEL 10 (2.5)"/>
    <n v="10"/>
    <s v="PPD"/>
    <n v="1"/>
    <n v="2.5"/>
    <n v="0.3"/>
    <n v="0.7"/>
    <m/>
    <m/>
    <s v=""/>
    <x v="76"/>
    <n v="1"/>
  </r>
  <r>
    <n v="28773"/>
    <m/>
    <n v="282"/>
    <n v="28201"/>
    <n v="28201"/>
    <x v="47"/>
    <x v="0"/>
    <s v="CVAS"/>
    <x v="0"/>
    <x v="0"/>
    <s v="Light Hard"/>
    <s v="Light"/>
    <s v="Light Hard"/>
    <x v="8"/>
    <s v="ACTIVE"/>
    <s v="YES"/>
    <n v="32346"/>
    <s v="excitame"/>
    <s v="NIVEL 7 (1 E)"/>
    <n v="7"/>
    <s v="Weekly subscription"/>
    <n v="908"/>
    <n v="1"/>
    <n v="0.3"/>
    <n v="0.7"/>
    <m/>
    <m/>
    <s v=""/>
    <x v="77"/>
    <n v="4.25"/>
  </r>
  <r>
    <n v="28775"/>
    <m/>
    <n v="281"/>
    <n v="28101"/>
    <n v="28101"/>
    <x v="47"/>
    <x v="0"/>
    <s v="CVAS"/>
    <x v="0"/>
    <x v="0"/>
    <s v="Light Hard"/>
    <s v="Light"/>
    <s v="Light Hard"/>
    <x v="8"/>
    <s v="ACTIVE"/>
    <s v="YES"/>
    <n v="32347"/>
    <s v="excitame"/>
    <s v="NIVEL 9 (2 E)"/>
    <n v="9"/>
    <s v="Weekly subscription"/>
    <n v="908"/>
    <n v="2"/>
    <n v="0.3"/>
    <n v="0.7"/>
    <m/>
    <m/>
    <s v=""/>
    <x v="77"/>
    <n v="4.25"/>
  </r>
  <r>
    <n v="29012"/>
    <m/>
    <n v="230"/>
    <n v="88"/>
    <n v="88"/>
    <x v="29"/>
    <x v="0"/>
    <s v="CVAS"/>
    <x v="0"/>
    <x v="0"/>
    <s v="Light Hard"/>
    <s v="Light"/>
    <s v="Light Hard"/>
    <x v="11"/>
    <s v="ACTIVE"/>
    <s v="YES"/>
    <n v="32506"/>
    <s v="MoviSexy XXX"/>
    <s v="NIVEL 20 (10 E)"/>
    <n v="20"/>
    <s v="Monthly subscription"/>
    <n v="25"/>
    <n v="10"/>
    <n v="0.3"/>
    <n v="0.7"/>
    <m/>
    <m/>
    <s v=""/>
    <x v="40"/>
    <n v="1"/>
  </r>
  <r>
    <n v="29032"/>
    <m/>
    <n v="586"/>
    <n v="58601"/>
    <n v="58601"/>
    <x v="48"/>
    <x v="36"/>
    <s v="CVAS"/>
    <x v="0"/>
    <x v="0"/>
    <s v="Light TV"/>
    <s v="Light"/>
    <s v="Light TV"/>
    <x v="9"/>
    <s v="INACTIVE"/>
    <s v="YES"/>
    <n v="32526"/>
    <s v="Playboy Tv"/>
    <s v="NIVEL 12 (5 E)"/>
    <n v="12"/>
    <s v="Monthly subscription"/>
    <n v="25"/>
    <n v="5"/>
    <n v="0.3"/>
    <n v="0.7"/>
    <m/>
    <m/>
    <s v=""/>
    <x v="78"/>
    <n v="1"/>
  </r>
  <r>
    <n v="29148"/>
    <m/>
    <n v="247"/>
    <n v="24702"/>
    <n v="24702"/>
    <x v="26"/>
    <x v="0"/>
    <s v="CVAS"/>
    <x v="0"/>
    <x v="0"/>
    <s v="Light Hard"/>
    <s v="Light"/>
    <s v="Light Hard"/>
    <x v="0"/>
    <s v="ACTIVE"/>
    <s v="YES"/>
    <n v="32664"/>
    <s v="En Familia!"/>
    <s v="NIVEL 11 (3 E)"/>
    <n v="11"/>
    <s v="PPD"/>
    <n v="1"/>
    <n v="3"/>
    <n v="0.3"/>
    <n v="0.7"/>
    <m/>
    <m/>
    <s v=""/>
    <x v="79"/>
    <n v="1"/>
  </r>
  <r>
    <n v="29152"/>
    <m/>
    <n v="248"/>
    <n v="24802"/>
    <n v="24802"/>
    <x v="26"/>
    <x v="0"/>
    <s v="CVAS"/>
    <x v="0"/>
    <x v="0"/>
    <s v="Light Hard"/>
    <s v="Light"/>
    <s v="Light Hard"/>
    <x v="0"/>
    <s v="ACTIVE"/>
    <s v="YES"/>
    <n v="32666"/>
    <s v="Grandes Pollas"/>
    <s v="NIVEL 11 (3 E)"/>
    <n v="11"/>
    <s v="PPD"/>
    <n v="1"/>
    <n v="3"/>
    <n v="0.3"/>
    <n v="0.7"/>
    <m/>
    <m/>
    <s v=""/>
    <x v="80"/>
    <n v="1"/>
  </r>
  <r>
    <n v="29158"/>
    <m/>
    <n v="213"/>
    <n v="69"/>
    <n v="21369"/>
    <x v="49"/>
    <x v="37"/>
    <s v="CVAS"/>
    <x v="3"/>
    <x v="3"/>
    <s v=""/>
    <s v="Games"/>
    <s v=""/>
    <x v="4"/>
    <s v="ACTIVE"/>
    <s v="YES"/>
    <n v="32669"/>
    <s v="Susc gameloft 3e"/>
    <s v="NIVEL 11 (3 E)"/>
    <n v="11"/>
    <s v="Monthly subscription"/>
    <n v="25"/>
    <n v="3"/>
    <n v="0.5"/>
    <n v="0.5"/>
    <m/>
    <m/>
    <s v=""/>
    <x v="81"/>
    <n v="1"/>
  </r>
  <r>
    <n v="29247"/>
    <m/>
    <n v="229"/>
    <n v="87"/>
    <n v="87"/>
    <x v="47"/>
    <x v="0"/>
    <s v="CVAS"/>
    <x v="0"/>
    <x v="0"/>
    <s v="Light Hard"/>
    <s v="Light"/>
    <s v="Light Hard"/>
    <x v="11"/>
    <s v="ACTIVE"/>
    <s v="YES"/>
    <n v="32506"/>
    <s v="MoviSexy XXX"/>
    <s v="NIVEL 58 (2.99 Euros)"/>
    <n v="58"/>
    <s v="Weekly subscription"/>
    <n v="908"/>
    <n v="2.99"/>
    <n v="0.3"/>
    <n v="0.7"/>
    <m/>
    <m/>
    <s v=""/>
    <x v="40"/>
    <n v="4.25"/>
  </r>
  <r>
    <n v="29249"/>
    <m/>
    <n v="232"/>
    <n v="90"/>
    <n v="90"/>
    <x v="47"/>
    <x v="0"/>
    <s v="CVAS"/>
    <x v="0"/>
    <x v="0"/>
    <s v="Light Soft"/>
    <s v="Light"/>
    <s v="Light Soft"/>
    <x v="11"/>
    <s v="ACTIVE"/>
    <s v="YES"/>
    <n v="29687"/>
    <s v="MoviSexy"/>
    <s v="NIVEL 56 (1.99 Euros)"/>
    <n v="56"/>
    <s v="Weekly subscription"/>
    <n v="908"/>
    <n v="1.99"/>
    <n v="0.3"/>
    <n v="0.7"/>
    <m/>
    <m/>
    <s v=""/>
    <x v="40"/>
    <n v="4.25"/>
  </r>
  <r>
    <n v="29288"/>
    <m/>
    <n v="310"/>
    <n v="31001"/>
    <n v="31001"/>
    <x v="26"/>
    <x v="0"/>
    <s v="CVAS"/>
    <x v="0"/>
    <x v="0"/>
    <s v="Light Soft"/>
    <s v="Light"/>
    <s v="Light Soft"/>
    <x v="0"/>
    <s v="ACTIVE"/>
    <s v="YES"/>
    <n v="32744"/>
    <s v="Videoclub X"/>
    <s v="NIVEL 10 (2.5)"/>
    <n v="10"/>
    <s v="PPD"/>
    <n v="1"/>
    <n v="2.5"/>
    <n v="0.3"/>
    <n v="0.7"/>
    <m/>
    <m/>
    <s v=""/>
    <x v="82"/>
    <n v="1"/>
  </r>
  <r>
    <n v="29290"/>
    <m/>
    <n v="310"/>
    <n v="31002"/>
    <n v="31002"/>
    <x v="26"/>
    <x v="0"/>
    <s v="CVAS"/>
    <x v="0"/>
    <x v="0"/>
    <s v="Light Soft"/>
    <s v="Light"/>
    <s v="Light Soft"/>
    <x v="0"/>
    <s v="ACTIVE"/>
    <s v="YES"/>
    <n v="32745"/>
    <s v="Videoclub X"/>
    <s v="NIVEL 22 (4 E)"/>
    <n v="22"/>
    <s v="PPD"/>
    <n v="1"/>
    <n v="4"/>
    <n v="0.3"/>
    <n v="0.7"/>
    <m/>
    <m/>
    <s v=""/>
    <x v="82"/>
    <n v="1"/>
  </r>
  <r>
    <n v="29748"/>
    <m/>
    <n v="603"/>
    <n v="60301"/>
    <n v="60301"/>
    <x v="47"/>
    <x v="0"/>
    <s v="CVAS"/>
    <x v="0"/>
    <x v="0"/>
    <s v="Light Hard"/>
    <s v="Light"/>
    <s v="Light Hard"/>
    <x v="7"/>
    <s v="ACTIVE"/>
    <s v="YES"/>
    <n v="33004"/>
    <s v="Private"/>
    <s v="NIVEL 58 (2.99 Euros)"/>
    <n v="58"/>
    <s v="Weekly subscription"/>
    <n v="908"/>
    <n v="2.99"/>
    <n v="0.3"/>
    <n v="0.7"/>
    <m/>
    <m/>
    <s v=""/>
    <x v="13"/>
    <n v="4.25"/>
  </r>
  <r>
    <n v="29751"/>
    <m/>
    <n v="602"/>
    <n v="60201"/>
    <n v="60201"/>
    <x v="47"/>
    <x v="0"/>
    <s v="CVAS"/>
    <x v="0"/>
    <x v="0"/>
    <s v="Light Soft"/>
    <s v="Light"/>
    <s v="Light Soft"/>
    <x v="7"/>
    <s v="INACTIVE"/>
    <s v="YES"/>
    <n v="33005"/>
    <s v="Private"/>
    <s v="NIVEL 58 (2.99 Euros)"/>
    <n v="58"/>
    <s v="Weekly subscription"/>
    <n v="908"/>
    <n v="2.99"/>
    <n v="0.3"/>
    <n v="0.7"/>
    <m/>
    <m/>
    <s v=""/>
    <x v="13"/>
    <n v="4.25"/>
  </r>
  <r>
    <n v="30088"/>
    <m/>
    <n v="283"/>
    <n v="28301"/>
    <n v="28301"/>
    <x v="47"/>
    <x v="0"/>
    <s v="CVAS"/>
    <x v="0"/>
    <x v="0"/>
    <s v="Light Hard"/>
    <s v="Light"/>
    <s v="Light Hard"/>
    <x v="8"/>
    <s v="ACTIVE"/>
    <s v="YES"/>
    <n v="33304"/>
    <s v="Puta Locura / Mr 69"/>
    <s v="NIVEL 58 (2.99 Euros)"/>
    <n v="58"/>
    <s v="Weekly subscription"/>
    <n v="908"/>
    <n v="2.99"/>
    <n v="0.3"/>
    <n v="0.7"/>
    <m/>
    <m/>
    <s v=""/>
    <x v="83"/>
    <n v="4.25"/>
  </r>
  <r>
    <n v="30191"/>
    <m/>
    <n v="228"/>
    <n v="86"/>
    <n v="86"/>
    <x v="47"/>
    <x v="0"/>
    <s v="CVAS"/>
    <x v="0"/>
    <x v="0"/>
    <s v="Light Hard"/>
    <s v="Light"/>
    <s v="Light Hard"/>
    <x v="11"/>
    <s v="ACTIVE"/>
    <s v="YES"/>
    <n v="33425"/>
    <s v="Megazorrones"/>
    <s v="NIVEL 58 (2.99 Euros)"/>
    <n v="58"/>
    <s v="Weekly subscription"/>
    <n v="908"/>
    <n v="2.99"/>
    <n v="0.3"/>
    <n v="0.7"/>
    <m/>
    <m/>
    <s v=""/>
    <x v="84"/>
    <n v="4.25"/>
  </r>
  <r>
    <n v="30193"/>
    <m/>
    <n v="227"/>
    <n v="85"/>
    <n v="85"/>
    <x v="29"/>
    <x v="0"/>
    <s v="CVAS"/>
    <x v="0"/>
    <x v="0"/>
    <s v="Light Hard"/>
    <s v="Light"/>
    <s v="Light Hard"/>
    <x v="11"/>
    <s v="ACTIVE"/>
    <s v="YES"/>
    <n v="33425"/>
    <s v="Megazorrones"/>
    <s v="NIVEL 20 (10 E)"/>
    <n v="20"/>
    <s v="Monthly subscription"/>
    <n v="25"/>
    <n v="10"/>
    <n v="0.3"/>
    <n v="0.7"/>
    <m/>
    <m/>
    <s v=""/>
    <x v="84"/>
    <n v="1"/>
  </r>
  <r>
    <n v="30201"/>
    <m/>
    <n v="488"/>
    <n v="48802"/>
    <n v="48802"/>
    <x v="26"/>
    <x v="0"/>
    <s v="CVAS"/>
    <x v="0"/>
    <x v="0"/>
    <s v="Light Hard"/>
    <s v="Light"/>
    <s v="Light Hard"/>
    <x v="10"/>
    <s v="ACTIVE"/>
    <s v="YES"/>
    <n v="33429"/>
    <s v="Por Culo"/>
    <s v="NIVEL 11 (3 E)"/>
    <n v="11"/>
    <s v="PPD"/>
    <n v="1"/>
    <n v="3"/>
    <n v="0.3"/>
    <n v="0.7"/>
    <m/>
    <m/>
    <s v=""/>
    <x v="85"/>
    <n v="1"/>
  </r>
  <r>
    <n v="30205"/>
    <m/>
    <n v="479"/>
    <n v="47902"/>
    <n v="47902"/>
    <x v="26"/>
    <x v="0"/>
    <s v="CVAS"/>
    <x v="0"/>
    <x v="0"/>
    <s v="Light Hard"/>
    <s v="Light"/>
    <s v="Light Hard"/>
    <x v="10"/>
    <s v="ACTIVE"/>
    <s v="YES"/>
    <n v="33431"/>
    <s v="Enfermeras"/>
    <s v="NIVEL 11 (3 E)"/>
    <n v="11"/>
    <s v="PPD"/>
    <n v="1"/>
    <n v="3"/>
    <n v="0.3"/>
    <n v="0.7"/>
    <m/>
    <m/>
    <s v=""/>
    <x v="86"/>
    <n v="1"/>
  </r>
  <r>
    <n v="30230"/>
    <m/>
    <n v="482"/>
    <n v="48203"/>
    <n v="48203"/>
    <x v="26"/>
    <x v="0"/>
    <s v="CVAS"/>
    <x v="0"/>
    <x v="0"/>
    <s v="Light Hard"/>
    <s v="Light"/>
    <s v="Light Hard"/>
    <x v="10"/>
    <s v="ACTIVE"/>
    <s v="YES"/>
    <n v="33445"/>
    <s v="Ex Novias"/>
    <s v="NIVEL 11 (3 E)"/>
    <n v="11"/>
    <s v="PPD"/>
    <n v="1"/>
    <n v="3"/>
    <n v="0.3"/>
    <n v="0.7"/>
    <m/>
    <m/>
    <s v=""/>
    <x v="87"/>
    <n v="1"/>
  </r>
  <r>
    <n v="30234"/>
    <m/>
    <n v="492"/>
    <n v="49202"/>
    <n v="49202"/>
    <x v="26"/>
    <x v="0"/>
    <s v="CVAS"/>
    <x v="0"/>
    <x v="0"/>
    <s v="Light Hard"/>
    <s v="Light"/>
    <s v="Light Hard"/>
    <x v="10"/>
    <s v="ACTIVE"/>
    <s v="YES"/>
    <n v="33447"/>
    <s v="Sexo de Lujo"/>
    <s v="NIVEL 11 (3 E)"/>
    <n v="11"/>
    <s v="PPD"/>
    <n v="1"/>
    <n v="3"/>
    <n v="0.3"/>
    <n v="0.7"/>
    <m/>
    <m/>
    <s v=""/>
    <x v="88"/>
    <n v="1"/>
  </r>
  <r>
    <n v="30238"/>
    <m/>
    <n v="494"/>
    <n v="49402"/>
    <n v="49402"/>
    <x v="26"/>
    <x v="0"/>
    <s v="CVAS"/>
    <x v="0"/>
    <x v="0"/>
    <s v="Light Hard"/>
    <s v="Light"/>
    <s v="Light Hard"/>
    <x v="10"/>
    <s v="ACTIVE"/>
    <s v="YES"/>
    <n v="33449"/>
    <s v="Tetonas"/>
    <s v="NIVEL 11 (3 E)"/>
    <n v="11"/>
    <s v="PPD"/>
    <n v="1"/>
    <n v="3"/>
    <n v="0.3"/>
    <n v="0.7"/>
    <m/>
    <m/>
    <s v=""/>
    <x v="89"/>
    <n v="1"/>
  </r>
  <r>
    <n v="30242"/>
    <m/>
    <n v="498"/>
    <n v="49802"/>
    <n v="49802"/>
    <x v="26"/>
    <x v="0"/>
    <s v="CVAS"/>
    <x v="0"/>
    <x v="0"/>
    <s v="Light Hard"/>
    <s v="Light"/>
    <s v="Light Hard"/>
    <x v="10"/>
    <s v="ACTIVE"/>
    <s v="YES"/>
    <n v="33451"/>
    <s v="Universitarias"/>
    <s v="NIVEL 11 (3 E)"/>
    <n v="11"/>
    <s v="PPD"/>
    <n v="1"/>
    <n v="3"/>
    <n v="0.3"/>
    <n v="0.7"/>
    <m/>
    <m/>
    <s v=""/>
    <x v="90"/>
    <n v="1"/>
  </r>
  <r>
    <n v="30246"/>
    <m/>
    <n v="486"/>
    <n v="48602"/>
    <n v="48602"/>
    <x v="26"/>
    <x v="0"/>
    <s v="CVAS"/>
    <x v="0"/>
    <x v="0"/>
    <s v="Light Hard"/>
    <s v="Light"/>
    <s v="Light Hard"/>
    <x v="10"/>
    <s v="ACTIVE"/>
    <s v="YES"/>
    <n v="33453"/>
    <s v="Orgias"/>
    <s v="NIVEL 11 (3 E)"/>
    <n v="11"/>
    <s v="PPD"/>
    <n v="1"/>
    <n v="3"/>
    <n v="0.3"/>
    <n v="0.7"/>
    <m/>
    <m/>
    <s v=""/>
    <x v="91"/>
    <n v="1"/>
  </r>
  <r>
    <n v="30271"/>
    <m/>
    <n v="485"/>
    <n v="48502"/>
    <n v="48502"/>
    <x v="26"/>
    <x v="0"/>
    <s v="CVAS"/>
    <x v="0"/>
    <x v="0"/>
    <s v="Light Hard"/>
    <s v="Light"/>
    <s v="Light Hard"/>
    <x v="10"/>
    <s v="ACTIVE"/>
    <s v="YES"/>
    <n v="33505"/>
    <s v="Orgasmos Femeninos"/>
    <s v="NIVEL 11 (3 E)"/>
    <n v="11"/>
    <s v="PPD"/>
    <n v="1"/>
    <n v="3"/>
    <n v="0.3"/>
    <n v="0.7"/>
    <m/>
    <m/>
    <s v=""/>
    <x v="92"/>
    <n v="1"/>
  </r>
  <r>
    <n v="30275"/>
    <m/>
    <n v="496"/>
    <n v="49602"/>
    <n v="49602"/>
    <x v="26"/>
    <x v="0"/>
    <s v="CVAS"/>
    <x v="0"/>
    <x v="0"/>
    <s v="Light Hard"/>
    <s v="Light"/>
    <s v="Light Hard"/>
    <x v="10"/>
    <s v="ACTIVE"/>
    <s v="YES"/>
    <n v="33507"/>
    <s v="Travestis"/>
    <s v="NIVEL 11 (3 E)"/>
    <n v="11"/>
    <s v="PPD"/>
    <n v="1"/>
    <n v="3"/>
    <n v="0.3"/>
    <n v="0.7"/>
    <m/>
    <m/>
    <s v=""/>
    <x v="93"/>
    <n v="1"/>
  </r>
  <r>
    <n v="30279"/>
    <m/>
    <n v="484"/>
    <n v="48402"/>
    <n v="48402"/>
    <x v="26"/>
    <x v="0"/>
    <s v="CVAS"/>
    <x v="0"/>
    <x v="0"/>
    <s v="Light Hard"/>
    <s v="Light"/>
    <s v="Light Hard"/>
    <x v="10"/>
    <s v="ACTIVE"/>
    <s v="YES"/>
    <n v="33509"/>
    <s v="Mulatas"/>
    <s v="NIVEL 11 (3 E)"/>
    <n v="11"/>
    <s v="PPD"/>
    <n v="1"/>
    <n v="3"/>
    <n v="0.3"/>
    <n v="0.7"/>
    <m/>
    <m/>
    <s v=""/>
    <x v="62"/>
    <n v="1"/>
  </r>
  <r>
    <n v="30283"/>
    <m/>
    <n v="493"/>
    <n v="49302"/>
    <n v="49302"/>
    <x v="26"/>
    <x v="0"/>
    <s v="CVAS"/>
    <x v="0"/>
    <x v="0"/>
    <s v="Light Hard"/>
    <s v="Light"/>
    <s v="Light Hard"/>
    <x v="10"/>
    <s v="ACTIVE"/>
    <s v="YES"/>
    <n v="33511"/>
    <s v="Sexo Oriental"/>
    <s v="NIVEL 11 (3 E)"/>
    <n v="11"/>
    <s v="PPD"/>
    <n v="1"/>
    <n v="3"/>
    <n v="0.3"/>
    <n v="0.7"/>
    <m/>
    <m/>
    <s v=""/>
    <x v="94"/>
    <n v="1"/>
  </r>
  <r>
    <n v="30287"/>
    <m/>
    <n v="497"/>
    <n v="49702"/>
    <n v="49702"/>
    <x v="26"/>
    <x v="0"/>
    <s v="CVAS"/>
    <x v="0"/>
    <x v="0"/>
    <s v="Light Hard"/>
    <s v="Light"/>
    <s v="Light Hard"/>
    <x v="10"/>
    <s v="ACTIVE"/>
    <s v="YES"/>
    <n v="33513"/>
    <s v="Tríos"/>
    <s v="NIVEL 11 (3 E)"/>
    <n v="11"/>
    <s v="PPD"/>
    <n v="1"/>
    <n v="3"/>
    <n v="0.3"/>
    <n v="0.7"/>
    <m/>
    <m/>
    <s v=""/>
    <x v="95"/>
    <n v="1"/>
  </r>
  <r>
    <n v="30291"/>
    <m/>
    <n v="483"/>
    <n v="48302"/>
    <n v="48302"/>
    <x v="26"/>
    <x v="0"/>
    <s v="CVAS"/>
    <x v="0"/>
    <x v="0"/>
    <s v="Light Hard"/>
    <s v="Light"/>
    <s v="Light Hard"/>
    <x v="10"/>
    <s v="ACTIVE"/>
    <s v="YES"/>
    <n v="33515"/>
    <s v="Gordas"/>
    <s v="NIVEL 11 (3 E)"/>
    <n v="11"/>
    <s v="PPD"/>
    <n v="1"/>
    <n v="3"/>
    <n v="0.3"/>
    <n v="0.7"/>
    <m/>
    <m/>
    <s v=""/>
    <x v="96"/>
    <n v="1"/>
  </r>
  <r>
    <n v="30295"/>
    <m/>
    <n v="481"/>
    <n v="48102"/>
    <n v="48102"/>
    <x v="26"/>
    <x v="0"/>
    <s v="CVAS"/>
    <x v="0"/>
    <x v="0"/>
    <s v="Light Hard"/>
    <s v="Light"/>
    <s v="Light Hard"/>
    <x v="10"/>
    <s v="ACTIVE"/>
    <s v="YES"/>
    <n v="33517"/>
    <s v="Especial Coños"/>
    <s v="NIVEL 11 (3 E)"/>
    <n v="11"/>
    <s v="PPD"/>
    <n v="1"/>
    <n v="3"/>
    <n v="0.3"/>
    <n v="0.7"/>
    <m/>
    <m/>
    <s v=""/>
    <x v="97"/>
    <n v="1"/>
  </r>
  <r>
    <n v="30471"/>
    <m/>
    <n v="478"/>
    <n v="47802"/>
    <n v="47802"/>
    <x v="26"/>
    <x v="0"/>
    <s v="CVAS"/>
    <x v="0"/>
    <x v="0"/>
    <s v="Light Hard"/>
    <s v="Light"/>
    <s v="Light Hard"/>
    <x v="10"/>
    <s v="ACTIVE"/>
    <s v="YES"/>
    <n v="33665"/>
    <s v="Club de Intercambios"/>
    <s v="NIVEL 11 (3 E)"/>
    <n v="11"/>
    <s v="PPD"/>
    <n v="1"/>
    <n v="3"/>
    <n v="0.3"/>
    <n v="0.7"/>
    <m/>
    <m/>
    <s v=""/>
    <x v="98"/>
    <n v="1"/>
  </r>
  <r>
    <n v="30475"/>
    <m/>
    <n v="490"/>
    <n v="49002"/>
    <n v="49002"/>
    <x v="50"/>
    <x v="0"/>
    <s v="CVAS"/>
    <x v="0"/>
    <x v="0"/>
    <s v="Light Hard"/>
    <s v="Light"/>
    <s v="Light Hard"/>
    <x v="10"/>
    <s v="ACTIVE"/>
    <s v="YES"/>
    <n v="33667"/>
    <s v="Sexo Casero"/>
    <s v="NIVEL 11 (3 E)"/>
    <n v="11"/>
    <s v="PPD"/>
    <n v="1"/>
    <n v="3"/>
    <n v="0.3"/>
    <n v="0.7"/>
    <m/>
    <m/>
    <s v=""/>
    <x v="99"/>
    <n v="1"/>
  </r>
  <r>
    <n v="30710"/>
    <m/>
    <n v="153"/>
    <n v="27"/>
    <n v="15327"/>
    <x v="51"/>
    <x v="38"/>
    <s v="CVAS"/>
    <x v="3"/>
    <x v="3"/>
    <s v=""/>
    <s v="Games"/>
    <s v=""/>
    <x v="14"/>
    <s v="ACTIVE"/>
    <s v="YES"/>
    <n v="33905"/>
    <s v="Susc Sem EA 0,99e"/>
    <s v="NIVEL 54 (0.99 Euros)"/>
    <n v="54"/>
    <s v="Weekly subscription"/>
    <n v="908"/>
    <n v="0.99"/>
    <n v="0.5"/>
    <n v="0.5"/>
    <m/>
    <m/>
    <s v=""/>
    <x v="100"/>
    <n v="4.25"/>
  </r>
  <r>
    <n v="30714"/>
    <m/>
    <m/>
    <s v="X"/>
    <s v="X"/>
    <x v="52"/>
    <x v="39"/>
    <s v="CVAS"/>
    <x v="3"/>
    <x v="3"/>
    <s v=""/>
    <s v="Games"/>
    <s v=""/>
    <x v="14"/>
    <s v="ACTIVE"/>
    <s v="YES"/>
    <n v="33907"/>
    <s v="TP Seman EA 0,99e"/>
    <s v="NIVEL 54 (0.99 Euros)"/>
    <n v="54"/>
    <s v="Weekly subscription"/>
    <n v="908"/>
    <n v="0.99"/>
    <n v="0.5"/>
    <n v="0.5"/>
    <m/>
    <m/>
    <s v=""/>
    <x v="100"/>
    <n v="4.25"/>
  </r>
  <r>
    <n v="30791"/>
    <m/>
    <n v="243"/>
    <n v="24302"/>
    <n v="24302"/>
    <x v="26"/>
    <x v="0"/>
    <s v="CVAS"/>
    <x v="0"/>
    <x v="0"/>
    <s v="Light Hard"/>
    <s v="Light"/>
    <s v="Light Hard"/>
    <x v="0"/>
    <s v="ACTIVE"/>
    <s v="YES"/>
    <n v="33965"/>
    <s v="Aficionados Españoles"/>
    <s v="NIVEL 11 (3 E)"/>
    <n v="11"/>
    <s v="PPD"/>
    <n v="1"/>
    <n v="3"/>
    <n v="0.3"/>
    <n v="0.7"/>
    <m/>
    <m/>
    <s v=""/>
    <x v="101"/>
    <n v="1"/>
  </r>
  <r>
    <n v="30880"/>
    <m/>
    <n v="294"/>
    <n v="29402"/>
    <n v="29402"/>
    <x v="53"/>
    <x v="40"/>
    <s v="CVAS"/>
    <x v="3"/>
    <x v="3"/>
    <s v=""/>
    <s v="Games"/>
    <s v=""/>
    <x v="8"/>
    <s v="ACTIVE"/>
    <s v="YES"/>
    <n v="34085"/>
    <s v="Susc Real Network"/>
    <s v="NIVEL 11 (3 E)"/>
    <n v="11"/>
    <s v="Monthly subscription"/>
    <n v="25"/>
    <n v="3"/>
    <n v="0.5"/>
    <n v="0.5"/>
    <m/>
    <m/>
    <s v=""/>
    <x v="102"/>
    <n v="1"/>
  </r>
  <r>
    <n v="31036"/>
    <m/>
    <n v="474"/>
    <n v="47401"/>
    <n v="47401"/>
    <x v="54"/>
    <x v="41"/>
    <s v="CVAS"/>
    <x v="3"/>
    <x v="3"/>
    <s v=""/>
    <s v="Games"/>
    <s v=""/>
    <x v="8"/>
    <s v="ACTIVE"/>
    <s v="YES"/>
    <n v="34267"/>
    <s v="Susc Sem Play2Me"/>
    <s v="NIVEL 54 (0.99 Euros)"/>
    <n v="54"/>
    <s v="Weekly subscription"/>
    <n v="908"/>
    <n v="0.99"/>
    <n v="0.5"/>
    <n v="0.5"/>
    <m/>
    <m/>
    <s v=""/>
    <x v="14"/>
    <n v="4.25"/>
  </r>
  <r>
    <n v="31039"/>
    <m/>
    <n v="342"/>
    <n v="34204"/>
    <n v="34204"/>
    <x v="55"/>
    <x v="42"/>
    <s v="CVAS"/>
    <x v="3"/>
    <x v="3"/>
    <s v=""/>
    <s v="Games"/>
    <s v=""/>
    <x v="8"/>
    <s v="ACTIVE"/>
    <s v="YES"/>
    <n v="34268"/>
    <s v="Play2me"/>
    <s v="NIVEL 60 (3.99 Euros)"/>
    <n v="60"/>
    <s v="PPD"/>
    <n v="1"/>
    <n v="3.99"/>
    <n v="0.5"/>
    <n v="0.5"/>
    <m/>
    <m/>
    <s v=""/>
    <x v="14"/>
    <n v="1"/>
  </r>
  <r>
    <n v="31041"/>
    <m/>
    <n v="342"/>
    <n v="34203"/>
    <n v="34203"/>
    <x v="56"/>
    <x v="43"/>
    <s v="CVAS"/>
    <x v="3"/>
    <x v="3"/>
    <s v=""/>
    <s v="Games"/>
    <s v=""/>
    <x v="8"/>
    <s v="ACTIVE"/>
    <s v="YES"/>
    <n v="34269"/>
    <s v="Juegos P2M 2,99"/>
    <s v="NIVEL 58 (2.99 Euros)"/>
    <n v="58"/>
    <s v="PPD"/>
    <n v="1"/>
    <n v="2.99"/>
    <n v="0.5"/>
    <n v="0.5"/>
    <m/>
    <m/>
    <s v=""/>
    <x v="14"/>
    <n v="1"/>
  </r>
  <r>
    <n v="31043"/>
    <m/>
    <n v="342"/>
    <n v="34202"/>
    <n v="34202"/>
    <x v="57"/>
    <x v="44"/>
    <s v="CVAS"/>
    <x v="3"/>
    <x v="3"/>
    <s v=""/>
    <s v="Games"/>
    <s v=""/>
    <x v="8"/>
    <s v="ACTIVE"/>
    <s v="YES"/>
    <n v="34270"/>
    <s v="Juegos P2M 1,99"/>
    <s v="NIVEL 56 (1.99 Euros)"/>
    <n v="56"/>
    <s v="PPD"/>
    <n v="1"/>
    <n v="1.99"/>
    <n v="0.5"/>
    <n v="0.5"/>
    <m/>
    <m/>
    <s v=""/>
    <x v="14"/>
    <n v="1"/>
  </r>
  <r>
    <n v="31048"/>
    <m/>
    <n v="383"/>
    <n v="38301"/>
    <n v="38301"/>
    <x v="58"/>
    <x v="45"/>
    <s v="CVAS"/>
    <x v="0"/>
    <x v="0"/>
    <s v="Light Hard"/>
    <s v="Light"/>
    <s v="Light Hard"/>
    <x v="15"/>
    <s v="ACTIVE"/>
    <s v="YES"/>
    <n v="34284"/>
    <s v="La Calle del Sexo"/>
    <s v="NIVEL 58 (2.99 Euros)"/>
    <n v="58"/>
    <s v="Weekly subscription"/>
    <n v="908"/>
    <n v="2.99"/>
    <n v="0.3"/>
    <n v="0.7"/>
    <m/>
    <m/>
    <s v=""/>
    <x v="103"/>
    <n v="4.25"/>
  </r>
  <r>
    <n v="31150"/>
    <m/>
    <n v="213"/>
    <n v="70"/>
    <n v="21370"/>
    <x v="59"/>
    <x v="46"/>
    <s v="CVAS"/>
    <x v="3"/>
    <x v="3"/>
    <s v=""/>
    <s v="Games"/>
    <s v=""/>
    <x v="4"/>
    <s v="ACTIVE"/>
    <s v="YES"/>
    <n v="34385"/>
    <s v="Juegos 2,99 euros"/>
    <s v="NIVEL 58 (2.99 Euros)"/>
    <n v="58"/>
    <s v="PPD"/>
    <n v="1"/>
    <n v="2.99"/>
    <n v="0.5"/>
    <n v="0.5"/>
    <m/>
    <m/>
    <s v=""/>
    <x v="81"/>
    <n v="1"/>
  </r>
  <r>
    <n v="31192"/>
    <m/>
    <n v="367"/>
    <n v="36701"/>
    <n v="36701"/>
    <x v="60"/>
    <x v="47"/>
    <s v="CVAS"/>
    <x v="1"/>
    <x v="1"/>
    <s v=""/>
    <s v="Others"/>
    <s v="Images"/>
    <x v="6"/>
    <s v="ACTIVE"/>
    <s v="YES"/>
    <n v="34424"/>
    <s v="Tf Plana Videos "/>
    <s v="NIVEL 56 (1.99 Euros)"/>
    <n v="56"/>
    <s v="Weekly subscription"/>
    <n v="908"/>
    <n v="1.99"/>
    <n v="0.4"/>
    <n v="0.6"/>
    <m/>
    <m/>
    <s v=""/>
    <x v="104"/>
    <n v="4.25"/>
  </r>
  <r>
    <n v="31208"/>
    <m/>
    <n v="425"/>
    <n v="42501"/>
    <n v="42501"/>
    <x v="47"/>
    <x v="0"/>
    <s v="CVAS"/>
    <x v="4"/>
    <x v="4"/>
    <s v=""/>
    <s v="Music"/>
    <s v=""/>
    <x v="2"/>
    <s v="INACTIVE"/>
    <s v="YES"/>
    <n v="34444"/>
    <s v="Chat Musica"/>
    <s v="NIVEL 54 (0.99 Euros)"/>
    <n v="54"/>
    <s v="Weekly subscription"/>
    <n v="908"/>
    <n v="0.99"/>
    <n v="0.4"/>
    <n v="0.6"/>
    <m/>
    <m/>
    <s v=""/>
    <x v="105"/>
    <n v="4.25"/>
  </r>
  <r>
    <n v="31272"/>
    <m/>
    <n v="240"/>
    <n v="98"/>
    <n v="98"/>
    <x v="29"/>
    <x v="0"/>
    <s v="CVAS"/>
    <x v="0"/>
    <x v="0"/>
    <s v="Light Hard"/>
    <s v="Light"/>
    <s v="Light Hard"/>
    <x v="11"/>
    <s v="ACTIVE"/>
    <s v="YES"/>
    <n v="34506"/>
    <s v="Xvideos Club"/>
    <s v="NIVEL 20 (10 E)"/>
    <n v="20"/>
    <s v="Monthly subscription"/>
    <n v="25"/>
    <n v="10"/>
    <n v="0.3"/>
    <n v="0.7"/>
    <m/>
    <m/>
    <s v=""/>
    <x v="106"/>
    <n v="1"/>
  </r>
  <r>
    <n v="31368"/>
    <m/>
    <n v="446"/>
    <n v="44601"/>
    <n v="44601"/>
    <x v="61"/>
    <x v="0"/>
    <s v="CVAS"/>
    <x v="4"/>
    <x v="4"/>
    <s v=""/>
    <s v="Music"/>
    <s v=""/>
    <x v="16"/>
    <s v="ACTIVE"/>
    <s v="YES"/>
    <n v="34624"/>
    <s v="Musica x Paises"/>
    <s v="NIVEL 54 (0.99 Euros)"/>
    <n v="54"/>
    <s v="Weekly subscription"/>
    <n v="908"/>
    <n v="0.99"/>
    <n v="0.7"/>
    <n v="0.3"/>
    <m/>
    <m/>
    <s v=""/>
    <x v="107"/>
    <n v="4.25"/>
  </r>
  <r>
    <n v="31370"/>
    <m/>
    <n v="436"/>
    <n v="43601"/>
    <n v="43601"/>
    <x v="62"/>
    <x v="0"/>
    <s v="CVAS"/>
    <x v="4"/>
    <x v="4"/>
    <s v=""/>
    <s v="Music"/>
    <s v=""/>
    <x v="16"/>
    <s v="ACTIVE"/>
    <s v="YES"/>
    <n v="34625"/>
    <s v="Bandas Sonoras"/>
    <s v="NIVEL 54 (0.99 Euros)"/>
    <n v="54"/>
    <s v="Weekly subscription"/>
    <n v="908"/>
    <n v="0.99"/>
    <n v="0.6"/>
    <n v="0.4"/>
    <m/>
    <m/>
    <s v=""/>
    <x v="108"/>
    <n v="4.25"/>
  </r>
  <r>
    <n v="31548"/>
    <m/>
    <n v="378"/>
    <n v="37803"/>
    <n v="37803"/>
    <x v="26"/>
    <x v="0"/>
    <s v="CVAS"/>
    <x v="0"/>
    <x v="0"/>
    <s v="Light Hard"/>
    <s v="Light"/>
    <s v="Light Hard"/>
    <x v="17"/>
    <s v="ACTIVE"/>
    <s v="YES"/>
    <n v="34784"/>
    <s v="GayMobile+18"/>
    <s v="NIVEL 9 (2 E)"/>
    <n v="9"/>
    <s v="PPD"/>
    <n v="1"/>
    <n v="2"/>
    <n v="0.3"/>
    <n v="0.7"/>
    <m/>
    <m/>
    <s v=""/>
    <x v="109"/>
    <n v="1"/>
  </r>
  <r>
    <n v="31550"/>
    <m/>
    <n v="378"/>
    <n v="37802"/>
    <n v="37802"/>
    <x v="26"/>
    <x v="0"/>
    <s v="CVAS"/>
    <x v="0"/>
    <x v="0"/>
    <s v="Light Hard"/>
    <s v="Light"/>
    <s v="Light Hard"/>
    <x v="17"/>
    <s v="ACTIVE"/>
    <s v="YES"/>
    <n v="34785"/>
    <s v="GayMobile+18"/>
    <s v="NIVEL 11 (3 E)"/>
    <n v="11"/>
    <s v="PPD"/>
    <n v="1"/>
    <n v="3"/>
    <n v="0.3"/>
    <n v="0.7"/>
    <m/>
    <m/>
    <s v=""/>
    <x v="109"/>
    <n v="1"/>
  </r>
  <r>
    <n v="31568"/>
    <m/>
    <n v="502"/>
    <n v="50202"/>
    <n v="50202"/>
    <x v="47"/>
    <x v="0"/>
    <s v="CVAS"/>
    <x v="0"/>
    <x v="0"/>
    <s v="Light Hard"/>
    <s v="Light"/>
    <s v="Light Hard"/>
    <x v="10"/>
    <s v="ACTIVE"/>
    <s v="YES"/>
    <n v="34787"/>
    <s v="Digital Sin"/>
    <s v="NIVEL 58 (2.99 Euros)"/>
    <n v="58"/>
    <s v="Weekly subscription"/>
    <n v="908"/>
    <n v="2.99"/>
    <n v="0.3"/>
    <n v="0.7"/>
    <m/>
    <m/>
    <s v=""/>
    <x v="110"/>
    <n v="4.25"/>
  </r>
  <r>
    <n v="31570"/>
    <m/>
    <n v="509"/>
    <n v="50901"/>
    <n v="50901"/>
    <x v="47"/>
    <x v="0"/>
    <s v="CVAS"/>
    <x v="0"/>
    <x v="0"/>
    <s v="Light Hard"/>
    <s v="Light"/>
    <s v="Light Hard"/>
    <x v="10"/>
    <s v="INACTIVE"/>
    <s v="YES"/>
    <n v="34788"/>
    <s v="Wicked"/>
    <s v="NIVEL 58 (2.99 Euros)"/>
    <n v="58"/>
    <s v="Weekly subscription"/>
    <n v="908"/>
    <n v="2.99"/>
    <n v="0.3"/>
    <n v="0.7"/>
    <m/>
    <m/>
    <s v=""/>
    <x v="26"/>
    <n v="4.25"/>
  </r>
  <r>
    <n v="31572"/>
    <m/>
    <n v="504"/>
    <n v="50401"/>
    <n v="50401"/>
    <x v="47"/>
    <x v="0"/>
    <s v="CVAS"/>
    <x v="0"/>
    <x v="0"/>
    <s v="Light Hard"/>
    <s v="Light"/>
    <s v="Light Hard"/>
    <x v="10"/>
    <s v="INACTIVE"/>
    <s v="YES"/>
    <n v="34789"/>
    <s v="Nectar"/>
    <s v="NIVEL 58 (2.99 Euros)"/>
    <n v="58"/>
    <s v="Weekly subscription"/>
    <n v="908"/>
    <n v="2.99"/>
    <n v="0.3"/>
    <n v="0.7"/>
    <m/>
    <m/>
    <s v=""/>
    <x v="111"/>
    <n v="4.25"/>
  </r>
  <r>
    <n v="31574"/>
    <m/>
    <n v="505"/>
    <n v="50501"/>
    <n v="50501"/>
    <x v="47"/>
    <x v="0"/>
    <s v="CVAS"/>
    <x v="0"/>
    <x v="0"/>
    <s v="Light Hard"/>
    <s v="Light"/>
    <s v="Light Hard"/>
    <x v="10"/>
    <s v="INACTIVE"/>
    <s v="YES"/>
    <n v="34790"/>
    <s v="New Sensations"/>
    <s v="NIVEL 58 (2.99 Euros)"/>
    <n v="58"/>
    <s v="Weekly subscription"/>
    <n v="908"/>
    <n v="2.99"/>
    <n v="0.3"/>
    <n v="0.7"/>
    <m/>
    <m/>
    <s v=""/>
    <x v="112"/>
    <n v="4.25"/>
  </r>
  <r>
    <n v="31581"/>
    <m/>
    <n v="378"/>
    <n v="37801"/>
    <n v="37801"/>
    <x v="47"/>
    <x v="0"/>
    <s v="CVAS"/>
    <x v="0"/>
    <x v="0"/>
    <s v="Light Hard"/>
    <s v="Light"/>
    <s v="Light Hard"/>
    <x v="17"/>
    <s v="ACTIVE"/>
    <s v="YES"/>
    <n v="34786"/>
    <s v="GayMobile+18"/>
    <s v="NIVEL 58 (2.99 Euros)"/>
    <n v="58"/>
    <s v="Weekly subscription"/>
    <n v="908"/>
    <n v="2.99"/>
    <n v="0.3"/>
    <n v="0.7"/>
    <m/>
    <m/>
    <s v=""/>
    <x v="109"/>
    <n v="4.25"/>
  </r>
  <r>
    <n v="31608"/>
    <m/>
    <n v="500"/>
    <n v="50001"/>
    <n v="50001"/>
    <x v="47"/>
    <x v="0"/>
    <s v="CVAS"/>
    <x v="0"/>
    <x v="0"/>
    <s v="Light Hard"/>
    <s v="Light"/>
    <s v="Light Hard"/>
    <x v="10"/>
    <s v="INACTIVE"/>
    <s v="YES"/>
    <n v="34804"/>
    <s v="Tera Patrick"/>
    <s v="NIVEL 58 (2.99 Euros)"/>
    <n v="58"/>
    <s v="Weekly subscription"/>
    <n v="908"/>
    <n v="2.99"/>
    <n v="0.3"/>
    <n v="0.7"/>
    <m/>
    <m/>
    <s v=""/>
    <x v="76"/>
    <n v="4.25"/>
  </r>
  <r>
    <n v="31610"/>
    <m/>
    <n v="584"/>
    <n v="58401"/>
    <n v="58401"/>
    <x v="47"/>
    <x v="0"/>
    <s v="CVAS"/>
    <x v="0"/>
    <x v="0"/>
    <s v="Light TV"/>
    <s v="Light"/>
    <s v="Light TV"/>
    <x v="18"/>
    <s v="ACTIVE"/>
    <s v="YES"/>
    <n v="34805"/>
    <s v="Passion HD"/>
    <s v="NIVEL 58 (2.99 Euros)"/>
    <n v="58"/>
    <s v="Weekly subscription"/>
    <n v="908"/>
    <n v="2.99"/>
    <n v="0.3"/>
    <n v="0.7"/>
    <m/>
    <m/>
    <s v=""/>
    <x v="113"/>
    <n v="4.25"/>
  </r>
  <r>
    <n v="31612"/>
    <m/>
    <n v="585"/>
    <n v="58501"/>
    <n v="58501"/>
    <x v="47"/>
    <x v="0"/>
    <s v="CVAS"/>
    <x v="0"/>
    <x v="0"/>
    <s v="Light TV"/>
    <s v="Light"/>
    <s v="Light TV"/>
    <x v="9"/>
    <s v="INACTIVE"/>
    <s v="YES"/>
    <n v="34806"/>
    <s v="Canal Penthouse"/>
    <s v="NIVEL 58 (2.99 Euros)"/>
    <n v="58"/>
    <s v="Weekly subscription"/>
    <n v="908"/>
    <n v="2.99"/>
    <n v="0.3"/>
    <n v="0.7"/>
    <m/>
    <m/>
    <s v=""/>
    <x v="114"/>
    <n v="4.25"/>
  </r>
  <r>
    <n v="31688"/>
    <m/>
    <n v="359"/>
    <n v="35901"/>
    <n v="35901"/>
    <x v="63"/>
    <x v="48"/>
    <s v="CVAS"/>
    <x v="1"/>
    <x v="1"/>
    <s v=""/>
    <s v="Others"/>
    <s v="Images"/>
    <x v="6"/>
    <s v="ACTIVE"/>
    <s v="YES"/>
    <n v="34884"/>
    <s v="Temas Movistar"/>
    <s v="NIVEL 56 (1.99 Euros)"/>
    <n v="56"/>
    <s v="PPD"/>
    <n v="1"/>
    <n v="1.99"/>
    <n v="0.4"/>
    <n v="0.6"/>
    <m/>
    <m/>
    <s v=""/>
    <x v="115"/>
    <n v="1"/>
  </r>
  <r>
    <n v="31690"/>
    <m/>
    <n v="368"/>
    <n v="36801"/>
    <n v="36801"/>
    <x v="64"/>
    <x v="49"/>
    <s v="CVAS"/>
    <x v="1"/>
    <x v="1"/>
    <s v=""/>
    <s v="Others"/>
    <s v="Images"/>
    <x v="6"/>
    <s v="ACTIVE"/>
    <s v="YES"/>
    <n v="34885"/>
    <s v="TP Fondos Semanal"/>
    <s v="NIVEL 54 (0.99 Euros)"/>
    <n v="54"/>
    <s v="Weekly subscription"/>
    <n v="908"/>
    <n v="0.99"/>
    <n v="0.4"/>
    <n v="0.6"/>
    <m/>
    <m/>
    <s v=""/>
    <x v="116"/>
    <n v="4.25"/>
  </r>
  <r>
    <n v="31788"/>
    <m/>
    <n v="220"/>
    <n v="78"/>
    <n v="78"/>
    <x v="29"/>
    <x v="0"/>
    <s v="CVAS"/>
    <x v="0"/>
    <x v="0"/>
    <s v="Light Soft"/>
    <s v="Light"/>
    <s v="Light Soft"/>
    <x v="11"/>
    <s v="ACTIVE"/>
    <s v="YES"/>
    <n v="34964"/>
    <s v="Fashion TV"/>
    <s v="NIVEL 12 (5 E)"/>
    <n v="12"/>
    <s v="Monthly subscription"/>
    <n v="25"/>
    <n v="5"/>
    <n v="0.3"/>
    <n v="0.7"/>
    <m/>
    <m/>
    <s v=""/>
    <x v="117"/>
    <n v="1"/>
  </r>
  <r>
    <n v="31792"/>
    <m/>
    <n v="246"/>
    <n v="24601"/>
    <n v="24601"/>
    <x v="65"/>
    <x v="0"/>
    <s v="CVAS"/>
    <x v="0"/>
    <x v="0"/>
    <s v="Light Hard"/>
    <s v="Light"/>
    <s v="Light Soft"/>
    <x v="0"/>
    <s v="INACTIVE"/>
    <s v="YES"/>
    <n v="34967"/>
    <s v="Divinas Mamas"/>
    <s v="NIVEL 58 (2.99 Euros)"/>
    <n v="58"/>
    <s v="Weekly subscription"/>
    <n v="908"/>
    <n v="2.99"/>
    <n v="0.3"/>
    <n v="0.7"/>
    <m/>
    <m/>
    <s v=""/>
    <x v="27"/>
    <n v="4.25"/>
  </r>
  <r>
    <n v="31794"/>
    <m/>
    <n v="243"/>
    <n v="24301"/>
    <n v="24301"/>
    <x v="47"/>
    <x v="0"/>
    <s v="CVAS"/>
    <x v="0"/>
    <x v="0"/>
    <s v="Light Soft"/>
    <s v="Light"/>
    <s v="Light Soft"/>
    <x v="0"/>
    <s v="INACTIVE"/>
    <s v="YES"/>
    <n v="34984"/>
    <s v="Aficionados Españoles"/>
    <s v="NIVEL 58 (2.99 Euros)"/>
    <n v="58"/>
    <s v="Weekly subscription"/>
    <n v="908"/>
    <n v="2.99"/>
    <n v="0.3"/>
    <n v="0.7"/>
    <m/>
    <m/>
    <s v=""/>
    <x v="101"/>
    <n v="4.25"/>
  </r>
  <r>
    <n v="31796"/>
    <m/>
    <n v="245"/>
    <n v="24501"/>
    <n v="24501"/>
    <x v="47"/>
    <x v="0"/>
    <s v="CVAS"/>
    <x v="0"/>
    <x v="0"/>
    <s v="Light Soft"/>
    <s v="Light"/>
    <s v="Light Soft"/>
    <x v="0"/>
    <s v="INACTIVE"/>
    <s v="YES"/>
    <n v="34985"/>
    <s v="Corridas"/>
    <s v="NIVEL 58 (2.99 Euros)"/>
    <n v="58"/>
    <s v="Weekly subscription"/>
    <n v="908"/>
    <n v="2.99"/>
    <n v="0.3"/>
    <n v="0.7"/>
    <m/>
    <m/>
    <s v=""/>
    <x v="28"/>
    <n v="4.25"/>
  </r>
  <r>
    <n v="31798"/>
    <m/>
    <n v="248"/>
    <n v="24801"/>
    <n v="24801"/>
    <x v="47"/>
    <x v="0"/>
    <s v="CVAS"/>
    <x v="0"/>
    <x v="0"/>
    <s v="Light Hard"/>
    <s v="Light"/>
    <s v="Light Hard"/>
    <x v="0"/>
    <s v="INACTIVE"/>
    <s v="YES"/>
    <n v="34986"/>
    <s v="Grandes Pollas"/>
    <s v="NIVEL 58 (2.99 Euros)"/>
    <n v="58"/>
    <s v="Weekly subscription"/>
    <n v="908"/>
    <n v="2.99"/>
    <n v="0.3"/>
    <n v="0.7"/>
    <m/>
    <m/>
    <s v=""/>
    <x v="80"/>
    <n v="4.25"/>
  </r>
  <r>
    <n v="31800"/>
    <m/>
    <n v="344"/>
    <n v="34401"/>
    <n v="34401"/>
    <x v="47"/>
    <x v="0"/>
    <s v="CVAS"/>
    <x v="0"/>
    <x v="0"/>
    <s v="Light Hard"/>
    <s v="Light"/>
    <s v="Light Hard"/>
    <x v="0"/>
    <s v="INACTIVE"/>
    <s v="YES"/>
    <n v="34987"/>
    <s v="Hardcore"/>
    <s v="NIVEL 58 (2.99 Euros)"/>
    <n v="58"/>
    <s v="Weekly subscription"/>
    <n v="908"/>
    <n v="2.99"/>
    <n v="0.3"/>
    <n v="0.7"/>
    <m/>
    <m/>
    <s v=""/>
    <x v="29"/>
    <n v="4.25"/>
  </r>
  <r>
    <n v="31802"/>
    <m/>
    <n v="249"/>
    <n v="24901"/>
    <n v="24901"/>
    <x v="47"/>
    <x v="0"/>
    <s v="CVAS"/>
    <x v="0"/>
    <x v="0"/>
    <s v="Light Soft"/>
    <s v="Light"/>
    <s v="Light Soft"/>
    <x v="0"/>
    <s v="INACTIVE"/>
    <s v="YES"/>
    <n v="34988"/>
    <s v="Hentai"/>
    <s v="NIVEL 58 (2.99 Euros)"/>
    <n v="58"/>
    <s v="Weekly subscription"/>
    <n v="908"/>
    <n v="2.99"/>
    <n v="0.3"/>
    <n v="0.7"/>
    <m/>
    <m/>
    <s v=""/>
    <x v="30"/>
    <n v="4.25"/>
  </r>
  <r>
    <n v="31804"/>
    <m/>
    <n v="247"/>
    <n v="24701"/>
    <n v="24701"/>
    <x v="47"/>
    <x v="0"/>
    <s v="CVAS"/>
    <x v="0"/>
    <x v="0"/>
    <s v="Light Soft"/>
    <s v="Light"/>
    <s v="Light Soft"/>
    <x v="0"/>
    <s v="INACTIVE"/>
    <s v="YES"/>
    <n v="34989"/>
    <s v="En Familia"/>
    <s v="NIVEL 58 (2.99 Euros)"/>
    <n v="58"/>
    <s v="Weekly subscription"/>
    <n v="908"/>
    <n v="2.99"/>
    <n v="0.3"/>
    <n v="0.7"/>
    <m/>
    <m/>
    <s v=""/>
    <x v="79"/>
    <n v="4.25"/>
  </r>
  <r>
    <n v="31806"/>
    <m/>
    <n v="250"/>
    <n v="25001"/>
    <n v="25001"/>
    <x v="47"/>
    <x v="0"/>
    <s v="CVAS"/>
    <x v="0"/>
    <x v="0"/>
    <s v="Light Soft"/>
    <s v="Light"/>
    <s v="Light Soft"/>
    <x v="0"/>
    <s v="INACTIVE"/>
    <s v="YES"/>
    <n v="34990"/>
    <s v="Lesbianas"/>
    <s v="NIVEL 58 (2.99 Euros)"/>
    <n v="58"/>
    <s v="Weekly subscription"/>
    <n v="908"/>
    <n v="2.99"/>
    <n v="0.3"/>
    <n v="0.7"/>
    <m/>
    <m/>
    <s v=""/>
    <x v="31"/>
    <n v="4.25"/>
  </r>
  <r>
    <n v="31808"/>
    <m/>
    <n v="244"/>
    <n v="24401"/>
    <n v="24401"/>
    <x v="47"/>
    <x v="0"/>
    <s v="CVAS"/>
    <x v="0"/>
    <x v="0"/>
    <s v="Light Hard"/>
    <s v="Light"/>
    <s v="Light Hard"/>
    <x v="0"/>
    <s v="INACTIVE"/>
    <s v="YES"/>
    <n v="34991"/>
    <s v="Cochinas Latinas"/>
    <s v="NIVEL 58 (2.99 Euros)"/>
    <n v="58"/>
    <s v="Weekly subscription"/>
    <n v="908"/>
    <n v="2.99"/>
    <n v="0.3"/>
    <n v="0.7"/>
    <m/>
    <m/>
    <s v=""/>
    <x v="32"/>
    <n v="4.25"/>
  </r>
  <r>
    <n v="31810"/>
    <m/>
    <n v="346"/>
    <n v="34601"/>
    <n v="34601"/>
    <x v="47"/>
    <x v="0"/>
    <s v="CVAS"/>
    <x v="0"/>
    <x v="0"/>
    <s v="Light Hard"/>
    <s v="Light"/>
    <s v="Light Hard"/>
    <x v="0"/>
    <s v="INACTIVE"/>
    <s v="YES"/>
    <n v="34992"/>
    <s v="Abuelos Cachondos"/>
    <s v="NIVEL 58 (2.99 Euros)"/>
    <n v="58"/>
    <s v="Weekly subscription"/>
    <n v="908"/>
    <n v="2.99"/>
    <n v="0.3"/>
    <n v="0.7"/>
    <m/>
    <m/>
    <s v=""/>
    <x v="44"/>
    <n v="4.25"/>
  </r>
  <r>
    <n v="31812"/>
    <m/>
    <n v="251"/>
    <n v="25101"/>
    <n v="25101"/>
    <x v="47"/>
    <x v="0"/>
    <s v="CVAS"/>
    <x v="0"/>
    <x v="0"/>
    <s v="Light Soft"/>
    <s v="Light"/>
    <s v="Light Soft"/>
    <x v="0"/>
    <s v="INACTIVE"/>
    <s v="YES"/>
    <n v="34993"/>
    <s v="Porno Profesional"/>
    <s v="NIVEL 58 (2.99 Euros)"/>
    <n v="58"/>
    <s v="Weekly subscription"/>
    <n v="908"/>
    <n v="2.99"/>
    <n v="0.3"/>
    <n v="0.7"/>
    <m/>
    <m/>
    <s v=""/>
    <x v="22"/>
    <n v="4.25"/>
  </r>
  <r>
    <n v="31868"/>
    <m/>
    <n v="493"/>
    <n v="49301"/>
    <n v="49301"/>
    <x v="47"/>
    <x v="0"/>
    <s v="CVAS"/>
    <x v="0"/>
    <x v="0"/>
    <s v="Light Soft"/>
    <s v="Light"/>
    <s v="Light Soft"/>
    <x v="10"/>
    <s v="INACTIVE"/>
    <s v="YES"/>
    <n v="35010"/>
    <s v="Sexo Oriental"/>
    <s v="NIVEL 58 (2.99 Euros)"/>
    <n v="58"/>
    <s v="Weekly subscription"/>
    <n v="908"/>
    <n v="2.99"/>
    <n v="0.3"/>
    <n v="0.7"/>
    <m/>
    <m/>
    <s v=""/>
    <x v="94"/>
    <n v="4.25"/>
  </r>
  <r>
    <n v="31872"/>
    <m/>
    <n v="488"/>
    <n v="48801"/>
    <n v="48801"/>
    <x v="47"/>
    <x v="0"/>
    <s v="CVAS"/>
    <x v="0"/>
    <x v="0"/>
    <s v="Light Hard"/>
    <s v="Light"/>
    <s v="Light Hard"/>
    <x v="10"/>
    <s v="INACTIVE"/>
    <s v="YES"/>
    <n v="35012"/>
    <s v="Por Culo"/>
    <s v="NIVEL 58 (2.99 Euros)"/>
    <n v="58"/>
    <s v="Weekly subscription"/>
    <n v="908"/>
    <n v="2.99"/>
    <n v="0.3"/>
    <n v="0.7"/>
    <m/>
    <m/>
    <s v=""/>
    <x v="85"/>
    <n v="4.25"/>
  </r>
  <r>
    <n v="31874"/>
    <m/>
    <n v="479"/>
    <n v="47901"/>
    <n v="47901"/>
    <x v="47"/>
    <x v="0"/>
    <s v="CVAS"/>
    <x v="0"/>
    <x v="0"/>
    <s v="Light Hard"/>
    <s v="Light"/>
    <s v="Light Soft"/>
    <x v="10"/>
    <s v="INACTIVE"/>
    <s v="YES"/>
    <n v="35013"/>
    <s v="Enfermeras"/>
    <s v="NIVEL 58 (2.99 Euros)"/>
    <n v="58"/>
    <s v="Weekly subscription"/>
    <n v="908"/>
    <n v="2.99"/>
    <n v="0.3"/>
    <n v="0.7"/>
    <m/>
    <m/>
    <s v=""/>
    <x v="86"/>
    <n v="4.25"/>
  </r>
  <r>
    <n v="31876"/>
    <m/>
    <n v="482"/>
    <n v="48202"/>
    <n v="48202"/>
    <x v="47"/>
    <x v="0"/>
    <s v="CVAS"/>
    <x v="0"/>
    <x v="0"/>
    <s v="Light Soft"/>
    <s v="Light"/>
    <s v="Light Soft"/>
    <x v="10"/>
    <s v="INACTIVE"/>
    <s v="YES"/>
    <n v="35014"/>
    <s v="Ex Novias"/>
    <s v="NIVEL 58 (2.99 Euros)"/>
    <n v="58"/>
    <s v="Weekly subscription"/>
    <n v="908"/>
    <n v="2.99"/>
    <n v="0.3"/>
    <n v="0.7"/>
    <m/>
    <m/>
    <s v=""/>
    <x v="87"/>
    <n v="4.25"/>
  </r>
  <r>
    <n v="31878"/>
    <m/>
    <n v="483"/>
    <n v="48301"/>
    <n v="48301"/>
    <x v="47"/>
    <x v="0"/>
    <s v="CVAS"/>
    <x v="0"/>
    <x v="0"/>
    <s v="Light Soft"/>
    <s v="Light"/>
    <s v="Light Soft"/>
    <x v="10"/>
    <s v="INACTIVE"/>
    <s v="YES"/>
    <n v="35015"/>
    <s v="Gordas"/>
    <s v="NIVEL 58 (2.99 Euros)"/>
    <n v="58"/>
    <s v="Weekly subscription"/>
    <n v="908"/>
    <n v="2.99"/>
    <n v="0.3"/>
    <n v="0.7"/>
    <m/>
    <m/>
    <s v=""/>
    <x v="96"/>
    <n v="4.25"/>
  </r>
  <r>
    <n v="31880"/>
    <m/>
    <n v="478"/>
    <n v="47801"/>
    <n v="47801"/>
    <x v="47"/>
    <x v="0"/>
    <s v="CVAS"/>
    <x v="0"/>
    <x v="0"/>
    <s v="Light Soft"/>
    <s v="Light"/>
    <s v="Light Soft"/>
    <x v="10"/>
    <s v="INACTIVE"/>
    <s v="YES"/>
    <n v="35016"/>
    <s v="Club de Intercambios"/>
    <s v="NIVEL 58 (2.99 Euros)"/>
    <n v="58"/>
    <s v="Weekly subscription"/>
    <n v="908"/>
    <n v="2.99"/>
    <n v="0.3"/>
    <n v="0.7"/>
    <m/>
    <m/>
    <s v=""/>
    <x v="98"/>
    <n v="4.25"/>
  </r>
  <r>
    <n v="31882"/>
    <m/>
    <n v="484"/>
    <n v="48401"/>
    <n v="48401"/>
    <x v="47"/>
    <x v="0"/>
    <s v="CVAS"/>
    <x v="0"/>
    <x v="0"/>
    <s v="Light Soft"/>
    <s v="Light"/>
    <s v="Light Soft"/>
    <x v="10"/>
    <s v="INACTIVE"/>
    <s v="YES"/>
    <n v="35017"/>
    <s v="Mulatas"/>
    <s v="NIVEL 58 (2.99 Euros)"/>
    <n v="58"/>
    <s v="Weekly subscription"/>
    <n v="908"/>
    <n v="2.99"/>
    <n v="0.3"/>
    <n v="0.7"/>
    <m/>
    <m/>
    <s v=""/>
    <x v="62"/>
    <n v="4.25"/>
  </r>
  <r>
    <n v="31884"/>
    <m/>
    <n v="485"/>
    <n v="48501"/>
    <n v="48501"/>
    <x v="47"/>
    <x v="0"/>
    <s v="CVAS"/>
    <x v="0"/>
    <x v="0"/>
    <s v="Light Hard"/>
    <s v="Light"/>
    <s v="Light Hard"/>
    <x v="10"/>
    <s v="INACTIVE"/>
    <s v="YES"/>
    <n v="35018"/>
    <s v="Orgasmos Femeninos"/>
    <s v="NIVEL 58 (2.99 Euros)"/>
    <n v="58"/>
    <s v="Weekly subscription"/>
    <n v="908"/>
    <n v="2.99"/>
    <n v="0.3"/>
    <n v="0.7"/>
    <m/>
    <m/>
    <s v=""/>
    <x v="92"/>
    <n v="4.25"/>
  </r>
  <r>
    <n v="31886"/>
    <m/>
    <n v="486"/>
    <n v="48601"/>
    <n v="48601"/>
    <x v="47"/>
    <x v="0"/>
    <s v="CVAS"/>
    <x v="0"/>
    <x v="0"/>
    <s v="Light Hard"/>
    <s v="Light"/>
    <s v="Light Hard"/>
    <x v="10"/>
    <s v="INACTIVE"/>
    <s v="YES"/>
    <n v="35019"/>
    <s v="Orgias"/>
    <s v="NIVEL 58 (2.99 Euros)"/>
    <n v="58"/>
    <s v="Weekly subscription"/>
    <n v="908"/>
    <n v="2.99"/>
    <n v="0.3"/>
    <n v="0.7"/>
    <m/>
    <m/>
    <s v=""/>
    <x v="91"/>
    <n v="4.25"/>
  </r>
  <r>
    <n v="31888"/>
    <m/>
    <n v="481"/>
    <n v="48101"/>
    <n v="48101"/>
    <x v="47"/>
    <x v="0"/>
    <s v="CVAS"/>
    <x v="0"/>
    <x v="0"/>
    <s v="Light Soft"/>
    <s v="Light"/>
    <s v="Light Soft"/>
    <x v="10"/>
    <s v="INACTIVE"/>
    <s v="YES"/>
    <n v="35020"/>
    <s v="Especial Coños"/>
    <s v="NIVEL 58 (2.99 Euros)"/>
    <n v="58"/>
    <s v="Weekly subscription"/>
    <n v="908"/>
    <n v="2.99"/>
    <n v="0.3"/>
    <n v="0.7"/>
    <m/>
    <m/>
    <s v=""/>
    <x v="97"/>
    <n v="4.25"/>
  </r>
  <r>
    <n v="31890"/>
    <m/>
    <n v="490"/>
    <n v="49001"/>
    <n v="49001"/>
    <x v="47"/>
    <x v="0"/>
    <s v="CVAS"/>
    <x v="0"/>
    <x v="0"/>
    <s v="Light Hard"/>
    <s v="Light"/>
    <s v="Light Hard"/>
    <x v="10"/>
    <s v="ACTIVE"/>
    <s v="YES"/>
    <n v="35021"/>
    <s v="Amateur"/>
    <s v="NIVEL 58 (2.99 Euros)"/>
    <n v="58"/>
    <s v="Weekly subscription"/>
    <n v="908"/>
    <n v="2.99"/>
    <n v="0.3"/>
    <n v="0.7"/>
    <m/>
    <m/>
    <s v=""/>
    <x v="118"/>
    <n v="4.25"/>
  </r>
  <r>
    <n v="31892"/>
    <m/>
    <n v="494"/>
    <n v="49401"/>
    <n v="49401"/>
    <x v="47"/>
    <x v="0"/>
    <s v="CVAS"/>
    <x v="0"/>
    <x v="0"/>
    <s v="Light Hard"/>
    <s v="Light"/>
    <s v="Light Hard"/>
    <x v="10"/>
    <s v="INACTIVE"/>
    <s v="YES"/>
    <n v="35022"/>
    <s v="Tetonas"/>
    <s v="NIVEL 58 (2.99 Euros)"/>
    <n v="58"/>
    <s v="Weekly subscription"/>
    <n v="908"/>
    <n v="2.99"/>
    <n v="0.3"/>
    <n v="0.7"/>
    <m/>
    <m/>
    <s v=""/>
    <x v="89"/>
    <n v="4.25"/>
  </r>
  <r>
    <n v="31894"/>
    <m/>
    <n v="496"/>
    <n v="49601"/>
    <n v="49601"/>
    <x v="47"/>
    <x v="0"/>
    <s v="CVAS"/>
    <x v="0"/>
    <x v="0"/>
    <s v="Light Soft"/>
    <s v="Light"/>
    <s v="Light Soft"/>
    <x v="10"/>
    <s v="INACTIVE"/>
    <s v="YES"/>
    <n v="35023"/>
    <s v="Travestis"/>
    <s v="NIVEL 58 (2.99 Euros)"/>
    <n v="58"/>
    <s v="Weekly subscription"/>
    <n v="908"/>
    <n v="2.99"/>
    <n v="0.3"/>
    <n v="0.7"/>
    <m/>
    <m/>
    <s v=""/>
    <x v="93"/>
    <n v="4.25"/>
  </r>
  <r>
    <n v="31896"/>
    <m/>
    <n v="497"/>
    <n v="49701"/>
    <n v="49701"/>
    <x v="47"/>
    <x v="0"/>
    <s v="CVAS"/>
    <x v="0"/>
    <x v="0"/>
    <s v="Light Soft"/>
    <s v="Light"/>
    <s v="Light Soft"/>
    <x v="10"/>
    <s v="INACTIVE"/>
    <s v="YES"/>
    <n v="35024"/>
    <s v="Tríos"/>
    <s v="NIVEL 58 (2.99 Euros)"/>
    <n v="58"/>
    <s v="Weekly subscription"/>
    <n v="908"/>
    <n v="2.99"/>
    <n v="0.3"/>
    <n v="0.7"/>
    <m/>
    <m/>
    <s v=""/>
    <x v="95"/>
    <n v="4.25"/>
  </r>
  <r>
    <n v="31898"/>
    <m/>
    <n v="498"/>
    <n v="49801"/>
    <n v="49801"/>
    <x v="47"/>
    <x v="0"/>
    <s v="CVAS"/>
    <x v="0"/>
    <x v="0"/>
    <s v="Light Hard"/>
    <s v="Light"/>
    <s v="Light Hard"/>
    <x v="10"/>
    <s v="INACTIVE"/>
    <s v="YES"/>
    <n v="35025"/>
    <s v="Universitarias"/>
    <s v="NIVEL 58 (2.99 Euros)"/>
    <n v="58"/>
    <s v="Weekly subscription"/>
    <n v="908"/>
    <n v="2.99"/>
    <n v="0.3"/>
    <n v="0.7"/>
    <m/>
    <m/>
    <s v=""/>
    <x v="90"/>
    <n v="4.25"/>
  </r>
  <r>
    <n v="31900"/>
    <m/>
    <n v="492"/>
    <n v="49201"/>
    <n v="49201"/>
    <x v="47"/>
    <x v="0"/>
    <s v="CVAS"/>
    <x v="0"/>
    <x v="0"/>
    <s v="Light Hard"/>
    <s v="Light"/>
    <s v="Light Hard"/>
    <x v="10"/>
    <s v="INACTIVE"/>
    <s v="YES"/>
    <n v="35026"/>
    <s v="Sexo de Lujo"/>
    <s v="NIVEL 58 (2.99 Euros)"/>
    <n v="58"/>
    <s v="Weekly subscription"/>
    <n v="908"/>
    <n v="2.99"/>
    <n v="0.3"/>
    <n v="0.7"/>
    <m/>
    <m/>
    <s v=""/>
    <x v="88"/>
    <n v="4.25"/>
  </r>
  <r>
    <n v="31902"/>
    <m/>
    <n v="272"/>
    <n v="27201"/>
    <n v="27201"/>
    <x v="47"/>
    <x v="0"/>
    <s v="CVAS"/>
    <x v="0"/>
    <x v="0"/>
    <s v="Light Hard"/>
    <s v="Light"/>
    <s v="Light Hard"/>
    <x v="8"/>
    <s v="INACTIVE"/>
    <s v="YES"/>
    <n v="35027"/>
    <s v="Follamigos"/>
    <s v="NIVEL 58 (2.99 Euros)"/>
    <n v="58"/>
    <s v="Weekly subscription"/>
    <n v="908"/>
    <n v="2.99"/>
    <n v="0.3"/>
    <n v="0.7"/>
    <m/>
    <m/>
    <s v=""/>
    <x v="39"/>
    <n v="4.25"/>
  </r>
  <r>
    <n v="31906"/>
    <m/>
    <n v="271"/>
    <n v="27101"/>
    <n v="27101"/>
    <x v="47"/>
    <x v="0"/>
    <s v="CVAS"/>
    <x v="0"/>
    <x v="0"/>
    <s v="Light Hard"/>
    <s v="Light"/>
    <s v="Light Hard"/>
    <x v="8"/>
    <s v="INACTIVE"/>
    <s v="YES"/>
    <n v="35029"/>
    <s v="Casadas"/>
    <s v="NIVEL 58 (2.99 Euros)"/>
    <n v="58"/>
    <s v="Weekly subscription"/>
    <n v="908"/>
    <n v="2.99"/>
    <n v="0.3"/>
    <n v="0.7"/>
    <m/>
    <m/>
    <s v=""/>
    <x v="33"/>
    <n v="4.25"/>
  </r>
  <r>
    <n v="31908"/>
    <m/>
    <n v="275"/>
    <n v="27501"/>
    <n v="27501"/>
    <x v="47"/>
    <x v="0"/>
    <s v="CVAS"/>
    <x v="0"/>
    <x v="0"/>
    <s v="Light Soft"/>
    <s v="Light"/>
    <s v="Light Soft"/>
    <x v="8"/>
    <s v="INACTIVE"/>
    <s v="YES"/>
    <n v="35030"/>
    <s v="Jovencitas"/>
    <s v="NIVEL 58 (2.99 Euros)"/>
    <n v="58"/>
    <s v="Weekly subscription"/>
    <n v="908"/>
    <n v="2.99"/>
    <n v="0.3"/>
    <n v="0.7"/>
    <m/>
    <m/>
    <s v=""/>
    <x v="34"/>
    <n v="4.25"/>
  </r>
  <r>
    <n v="31910"/>
    <m/>
    <n v="278"/>
    <n v="27801"/>
    <n v="27801"/>
    <x v="47"/>
    <x v="0"/>
    <s v="CVAS"/>
    <x v="0"/>
    <x v="0"/>
    <s v="Light Soft"/>
    <s v="Light"/>
    <s v="Light Hard"/>
    <x v="8"/>
    <s v="INACTIVE"/>
    <s v="YES"/>
    <n v="35031"/>
    <s v="Maduras"/>
    <s v="NIVEL 58 (2.99 Euros)"/>
    <n v="58"/>
    <s v="Weekly subscription"/>
    <n v="908"/>
    <n v="2.99"/>
    <n v="0.3"/>
    <n v="0.7"/>
    <m/>
    <m/>
    <s v=""/>
    <x v="43"/>
    <n v="4.25"/>
  </r>
  <r>
    <n v="31912"/>
    <m/>
    <n v="279"/>
    <n v="27901"/>
    <n v="27901"/>
    <x v="47"/>
    <x v="0"/>
    <s v="CVAS"/>
    <x v="0"/>
    <x v="0"/>
    <s v="Light Hard"/>
    <s v="Light"/>
    <s v="Light Hard"/>
    <x v="8"/>
    <s v="INACTIVE"/>
    <s v="YES"/>
    <n v="35032"/>
    <s v="Mamadas"/>
    <s v="NIVEL 58 (2.99 Euros)"/>
    <n v="58"/>
    <s v="Weekly subscription"/>
    <n v="908"/>
    <n v="2.99"/>
    <n v="0.3"/>
    <n v="0.7"/>
    <m/>
    <m/>
    <s v=""/>
    <x v="35"/>
    <n v="4.25"/>
  </r>
  <r>
    <n v="31916"/>
    <m/>
    <n v="273"/>
    <n v="27301"/>
    <n v="27301"/>
    <x v="47"/>
    <x v="0"/>
    <s v="CVAS"/>
    <x v="0"/>
    <x v="0"/>
    <s v="Light Hard"/>
    <s v="Light"/>
    <s v="Light Hard"/>
    <x v="8"/>
    <s v="INACTIVE"/>
    <s v="YES"/>
    <n v="35034"/>
    <s v="Gay"/>
    <s v="NIVEL 58 (2.99 Euros)"/>
    <n v="58"/>
    <s v="Weekly subscription"/>
    <n v="908"/>
    <n v="2.99"/>
    <n v="0.3"/>
    <n v="0.7"/>
    <m/>
    <m/>
    <s v=""/>
    <x v="42"/>
    <n v="4.25"/>
  </r>
  <r>
    <n v="31918"/>
    <m/>
    <n v="274"/>
    <n v="27401"/>
    <n v="27401"/>
    <x v="47"/>
    <x v="0"/>
    <s v="CVAS"/>
    <x v="0"/>
    <x v="0"/>
    <s v="Light Hard"/>
    <s v="Light"/>
    <s v="Light Hard"/>
    <x v="8"/>
    <s v="INACTIVE"/>
    <s v="YES"/>
    <n v="35035"/>
    <s v="PornStars"/>
    <s v="NIVEL 58 (2.99 Euros)"/>
    <n v="58"/>
    <s v="Weekly subscription"/>
    <n v="908"/>
    <n v="2.99"/>
    <n v="0.3"/>
    <n v="0.7"/>
    <m/>
    <m/>
    <s v=""/>
    <x v="119"/>
    <n v="4.25"/>
  </r>
  <r>
    <n v="32053"/>
    <m/>
    <m/>
    <m/>
    <m/>
    <x v="66"/>
    <x v="50"/>
    <s v="CVAS"/>
    <x v="0"/>
    <x v="0"/>
    <m/>
    <s v="Others"/>
    <m/>
    <x v="11"/>
    <s v="INACTIVE"/>
    <s v="YES"/>
    <m/>
    <s v="Worldsex"/>
    <m/>
    <m/>
    <s v="Weekly subscription"/>
    <m/>
    <m/>
    <m/>
    <m/>
    <m/>
    <m/>
    <m/>
    <x v="120"/>
    <n v="4.25"/>
  </r>
  <r>
    <n v="32067"/>
    <m/>
    <n v="221"/>
    <n v="79"/>
    <n v="79"/>
    <x v="47"/>
    <x v="0"/>
    <s v="CVAS"/>
    <x v="5"/>
    <x v="2"/>
    <s v=""/>
    <s v="Others"/>
    <s v="Free Time"/>
    <x v="11"/>
    <s v="ACTIVE"/>
    <s v="YES"/>
    <n v="34964"/>
    <s v="Fashion TV"/>
    <s v="NIVEL 56 (1.99 Euros)"/>
    <n v="56"/>
    <s v="Weekly subscription"/>
    <n v="908"/>
    <n v="1.99"/>
    <n v="0.6"/>
    <n v="0.4"/>
    <m/>
    <m/>
    <s v=""/>
    <x v="117"/>
    <n v="4.25"/>
  </r>
  <r>
    <n v="32487"/>
    <m/>
    <n v="606"/>
    <n v="60602"/>
    <n v="60602"/>
    <x v="67"/>
    <x v="0"/>
    <s v="CVAS"/>
    <x v="0"/>
    <x v="0"/>
    <s v="Light Hard"/>
    <s v="Light"/>
    <s v="Light Hard"/>
    <x v="5"/>
    <s v="ACTIVE"/>
    <s v="YES"/>
    <n v="31044"/>
    <s v="Tu Porno"/>
    <s v="NIVEL 58 (2.99 Euros)"/>
    <n v="58"/>
    <s v="Weekly subscription"/>
    <n v="908"/>
    <n v="2.99"/>
    <n v="0.3"/>
    <n v="0.7"/>
    <m/>
    <m/>
    <s v=""/>
    <x v="121"/>
    <n v="4.25"/>
  </r>
  <r>
    <n v="32668"/>
    <m/>
    <n v="476"/>
    <n v="47603"/>
    <n v="47603"/>
    <x v="68"/>
    <x v="51"/>
    <s v="CVAS"/>
    <x v="3"/>
    <x v="3"/>
    <s v=""/>
    <s v="Games"/>
    <s v=""/>
    <x v="19"/>
    <s v="ACTIVE"/>
    <s v="YES"/>
    <n v="35704"/>
    <s v="Descarga 0,99 eur"/>
    <s v="NIVEL 54 (0.99 Euros)"/>
    <n v="54"/>
    <s v="PPD"/>
    <n v="1"/>
    <n v="0.99"/>
    <n v="0.5"/>
    <n v="0.5"/>
    <m/>
    <m/>
    <s v=""/>
    <x v="122"/>
    <n v="1"/>
  </r>
  <r>
    <n v="32670"/>
    <m/>
    <n v="476"/>
    <n v="47604"/>
    <n v="47604"/>
    <x v="69"/>
    <x v="52"/>
    <s v="CVAS"/>
    <x v="3"/>
    <x v="3"/>
    <s v=""/>
    <s v="Games"/>
    <s v=""/>
    <x v="19"/>
    <s v="ACTIVE"/>
    <s v="YES"/>
    <n v="35705"/>
    <s v="Descarga 1,49 eur"/>
    <s v="NIVEL 55 (1.49 Euros)"/>
    <n v="55"/>
    <s v="PPD"/>
    <n v="1"/>
    <n v="1.49"/>
    <n v="0.5"/>
    <n v="0.5"/>
    <m/>
    <m/>
    <s v=""/>
    <x v="122"/>
    <n v="1"/>
  </r>
  <r>
    <n v="32672"/>
    <m/>
    <n v="476"/>
    <n v="47605"/>
    <n v="47605"/>
    <x v="70"/>
    <x v="53"/>
    <s v="CVAS"/>
    <x v="3"/>
    <x v="3"/>
    <s v=""/>
    <s v="Games"/>
    <s v=""/>
    <x v="19"/>
    <s v="ACTIVE"/>
    <s v="YES"/>
    <n v="35706"/>
    <s v="Descarga 1,99 eur"/>
    <s v="NIVEL 56 (1.99 Euros)"/>
    <n v="56"/>
    <s v="PPD"/>
    <n v="1"/>
    <n v="1.99"/>
    <n v="0.5"/>
    <n v="0.5"/>
    <m/>
    <m/>
    <s v=""/>
    <x v="122"/>
    <n v="1"/>
  </r>
  <r>
    <n v="32674"/>
    <m/>
    <n v="476"/>
    <n v="47606"/>
    <n v="47606"/>
    <x v="71"/>
    <x v="54"/>
    <s v="CVAS"/>
    <x v="3"/>
    <x v="3"/>
    <s v=""/>
    <s v="Games"/>
    <s v=""/>
    <x v="19"/>
    <s v="ACTIVE"/>
    <s v="YES"/>
    <n v="35707"/>
    <s v="Descarga 2,99 eur"/>
    <s v="NIVEL 58 (2.99 Euros)"/>
    <n v="58"/>
    <s v="PPD"/>
    <n v="1"/>
    <n v="2.99"/>
    <n v="0.5"/>
    <n v="0.5"/>
    <m/>
    <m/>
    <s v=""/>
    <x v="122"/>
    <n v="1"/>
  </r>
  <r>
    <n v="32676"/>
    <m/>
    <n v="476"/>
    <n v="47607"/>
    <n v="47607"/>
    <x v="72"/>
    <x v="55"/>
    <s v="CVAS"/>
    <x v="3"/>
    <x v="3"/>
    <s v=""/>
    <s v="Games"/>
    <s v=""/>
    <x v="19"/>
    <s v="ACTIVE"/>
    <s v="YES"/>
    <n v="35708"/>
    <s v="Descarga 3,99 eur"/>
    <s v="NIVEL 60 (3.99 Euros)"/>
    <n v="60"/>
    <s v="PPD"/>
    <n v="1"/>
    <n v="3.99"/>
    <n v="0.5"/>
    <n v="0.5"/>
    <m/>
    <m/>
    <s v=""/>
    <x v="122"/>
    <n v="1"/>
  </r>
  <r>
    <n v="32680"/>
    <m/>
    <n v="477"/>
    <n v="47702"/>
    <n v="47702"/>
    <x v="73"/>
    <x v="56"/>
    <s v="CVAS"/>
    <x v="3"/>
    <x v="3"/>
    <s v=""/>
    <s v="Games"/>
    <s v=""/>
    <x v="19"/>
    <s v="ACTIVE"/>
    <s v="YES"/>
    <n v="35710"/>
    <s v="Amigo Games"/>
    <s v="NIVEL 54 (0.99 Euros)"/>
    <n v="54"/>
    <s v="Weekly subscription"/>
    <n v="908"/>
    <n v="0.99"/>
    <n v="0.5"/>
    <n v="0.5"/>
    <m/>
    <m/>
    <s v=""/>
    <x v="122"/>
    <n v="4.25"/>
  </r>
  <r>
    <n v="32848"/>
    <m/>
    <n v="293"/>
    <n v="29302"/>
    <n v="29302"/>
    <x v="74"/>
    <x v="57"/>
    <s v="CVAS"/>
    <x v="3"/>
    <x v="3"/>
    <s v=""/>
    <s v="Games"/>
    <s v=""/>
    <x v="8"/>
    <s v="ACTIVE"/>
    <s v="YES"/>
    <n v="35824"/>
    <s v="Susc Juegos Sexy"/>
    <s v="NIVEL 54 (0.99 Euros)"/>
    <n v="54"/>
    <s v="Weekly subscription"/>
    <n v="908"/>
    <n v="0.99"/>
    <n v="0.5"/>
    <n v="0.5"/>
    <m/>
    <m/>
    <s v=""/>
    <x v="123"/>
    <n v="4.25"/>
  </r>
  <r>
    <n v="33109"/>
    <m/>
    <n v="293"/>
    <n v="29303"/>
    <n v="29303"/>
    <x v="75"/>
    <x v="58"/>
    <s v="CVAS"/>
    <x v="3"/>
    <x v="3"/>
    <s v=""/>
    <s v="Games"/>
    <s v=""/>
    <x v="8"/>
    <s v="ACTIVE"/>
    <s v="YES"/>
    <n v="36045"/>
    <s v="Juegos Sexy"/>
    <s v="NIVEL 54 (0.99 Euros)"/>
    <n v="54"/>
    <s v="PPD"/>
    <n v="1"/>
    <n v="0.99"/>
    <n v="0.5"/>
    <n v="0.5"/>
    <m/>
    <m/>
    <s v=""/>
    <x v="123"/>
    <n v="1"/>
  </r>
  <r>
    <n v="33115"/>
    <m/>
    <n v="293"/>
    <n v="29304"/>
    <n v="29304"/>
    <x v="76"/>
    <x v="59"/>
    <s v="CVAS"/>
    <x v="3"/>
    <x v="3"/>
    <s v=""/>
    <s v="Games"/>
    <s v=""/>
    <x v="8"/>
    <s v="ACTIVE"/>
    <s v="YES"/>
    <n v="36048"/>
    <s v="Juegos Sexy 3,99"/>
    <s v="NIVEL 60 (3.99 Euros)"/>
    <n v="60"/>
    <s v="PPD"/>
    <n v="1"/>
    <n v="3.99"/>
    <n v="0.5"/>
    <n v="0.5"/>
    <m/>
    <m/>
    <s v=""/>
    <x v="123"/>
    <n v="1"/>
  </r>
  <r>
    <n v="33289"/>
    <m/>
    <n v="473"/>
    <n v="47306"/>
    <n v="47306"/>
    <x v="77"/>
    <x v="60"/>
    <s v="CVAS"/>
    <x v="3"/>
    <x v="3"/>
    <s v=""/>
    <s v="Games"/>
    <s v=""/>
    <x v="8"/>
    <s v="ACTIVE"/>
    <s v="YES"/>
    <n v="36205"/>
    <s v="Juegos HD Android"/>
    <s v="NIVEL 62 (4.99 Euros)"/>
    <n v="62"/>
    <s v="PPD"/>
    <n v="1"/>
    <n v="4.99"/>
    <m/>
    <m/>
    <m/>
    <m/>
    <s v=""/>
    <x v="14"/>
    <n v="1"/>
  </r>
  <r>
    <n v="33310"/>
    <m/>
    <n v="217"/>
    <n v="75"/>
    <n v="75"/>
    <x v="78"/>
    <x v="0"/>
    <s v="CVAS"/>
    <x v="0"/>
    <x v="0"/>
    <s v="Light Soft"/>
    <s v="Light"/>
    <s v="Light Soft"/>
    <x v="11"/>
    <s v="ACTIVE"/>
    <s v="YES"/>
    <n v="36225"/>
    <s v="Club Sexy"/>
    <s v="NIVEL 58 (2.99 Euros)"/>
    <n v="58"/>
    <s v="Weekly subscription"/>
    <n v="908"/>
    <n v="2.99"/>
    <n v="0.3"/>
    <n v="0.7"/>
    <m/>
    <m/>
    <s v=""/>
    <x v="124"/>
    <n v="4.25"/>
  </r>
  <r>
    <n v="33752"/>
    <m/>
    <m/>
    <m/>
    <m/>
    <x v="66"/>
    <x v="50"/>
    <s v="CVAS"/>
    <x v="6"/>
    <x v="2"/>
    <m/>
    <s v="Others"/>
    <m/>
    <x v="11"/>
    <s v="INACTIVE"/>
    <s v="YES"/>
    <m/>
    <s v="Susc Cam Oculta "/>
    <m/>
    <m/>
    <s v="Weekly subscription"/>
    <m/>
    <m/>
    <m/>
    <m/>
    <m/>
    <m/>
    <m/>
    <x v="125"/>
    <n v="4.25"/>
  </r>
  <r>
    <n v="34311"/>
    <m/>
    <n v="254"/>
    <n v="25406"/>
    <n v="25406"/>
    <x v="79"/>
    <x v="61"/>
    <s v="CVAS"/>
    <x v="4"/>
    <x v="4"/>
    <s v=""/>
    <s v="Music"/>
    <s v=""/>
    <x v="13"/>
    <s v="ACTIVE"/>
    <s v="YES"/>
    <n v="37085"/>
    <s v="GNTRalt199"/>
    <s v="NIVEL 56 (1.99 Euros)"/>
    <n v="56"/>
    <s v="PPD"/>
    <n v="1"/>
    <n v="1.99"/>
    <n v="0.245"/>
    <n v="0.22500000000000001"/>
    <n v="0.4"/>
    <n v="0.13"/>
    <s v="ALTAFONTE"/>
    <x v="126"/>
    <n v="1"/>
  </r>
  <r>
    <n v="34313"/>
    <m/>
    <n v="254"/>
    <n v="25407"/>
    <n v="25407"/>
    <x v="80"/>
    <x v="62"/>
    <s v="CVAS"/>
    <x v="4"/>
    <x v="4"/>
    <s v=""/>
    <s v="Music"/>
    <s v=""/>
    <x v="13"/>
    <s v="ACTIVE"/>
    <s v="YES"/>
    <n v="37086"/>
    <s v="GNTTorc199"/>
    <s v="NIVEL 56 (1.99 Euros)"/>
    <n v="56"/>
    <s v="PPD"/>
    <n v="1"/>
    <n v="1.99"/>
    <n v="0.245"/>
    <n v="0.22500000000000001"/>
    <n v="0.4"/>
    <n v="0.13"/>
    <s v="THE ORCHARD"/>
    <x v="127"/>
    <n v="1"/>
  </r>
  <r>
    <n v="34328"/>
    <m/>
    <n v="467"/>
    <n v="46714"/>
    <n v="46714"/>
    <x v="81"/>
    <x v="63"/>
    <s v="CVAS"/>
    <x v="4"/>
    <x v="4"/>
    <s v=""/>
    <s v="Music"/>
    <s v=""/>
    <x v="13"/>
    <s v="ACTIVE"/>
    <s v="YES"/>
    <n v="37104"/>
    <s v="GNFTwar149"/>
    <s v="NIVEL 55 (1.49 Euros)"/>
    <n v="55"/>
    <s v="PPD"/>
    <n v="1"/>
    <n v="1.49"/>
    <n v="0.19329999999999997"/>
    <n v="0.17329999999999998"/>
    <n v="0.50340000000000007"/>
    <n v="0.13"/>
    <s v="WARNER"/>
    <x v="128"/>
    <n v="1"/>
  </r>
  <r>
    <n v="34330"/>
    <m/>
    <n v="463"/>
    <n v="46306"/>
    <n v="46306"/>
    <x v="82"/>
    <x v="64"/>
    <s v="CVAS"/>
    <x v="4"/>
    <x v="4"/>
    <s v=""/>
    <s v="Music"/>
    <s v=""/>
    <x v="13"/>
    <s v="ACTIVE"/>
    <s v="YES"/>
    <n v="37105"/>
    <s v="Musica.MP3.war99"/>
    <s v="NIVEL 54 (0.99 Euros)"/>
    <n v="54"/>
    <s v="PPD"/>
    <n v="1"/>
    <n v="0.99"/>
    <n v="0.1925"/>
    <n v="0.17249999999999999"/>
    <n v="0.50509999999999999"/>
    <n v="0.13"/>
    <s v="WARNER"/>
    <x v="129"/>
    <n v="1"/>
  </r>
  <r>
    <n v="34332"/>
    <m/>
    <n v="467"/>
    <n v="46712"/>
    <n v="46712"/>
    <x v="83"/>
    <x v="65"/>
    <s v="CVAS"/>
    <x v="4"/>
    <x v="4"/>
    <s v=""/>
    <s v="Music"/>
    <s v=""/>
    <x v="13"/>
    <s v="ACTIVE"/>
    <s v="YES"/>
    <n v="37106"/>
    <s v="GNFTson149"/>
    <s v="NIVEL 55 (1.49 Euros)"/>
    <n v="55"/>
    <s v="PPD"/>
    <n v="1"/>
    <n v="1.49"/>
    <n v="0.17660000000000001"/>
    <n v="0.15659999999999999"/>
    <n v="0.53689999999999993"/>
    <n v="0.13"/>
    <s v="SONY"/>
    <x v="130"/>
    <n v="1"/>
  </r>
  <r>
    <n v="34334"/>
    <m/>
    <n v="463"/>
    <n v="46303"/>
    <n v="46303"/>
    <x v="84"/>
    <x v="66"/>
    <s v="CVAS"/>
    <x v="4"/>
    <x v="4"/>
    <s v=""/>
    <s v="Music"/>
    <s v=""/>
    <x v="13"/>
    <s v="ACTIVE"/>
    <s v="YES"/>
    <n v="37107"/>
    <s v="GNFTson99"/>
    <s v="NIVEL 54 (0.99 Euros)"/>
    <n v="54"/>
    <s v="PPD"/>
    <n v="1"/>
    <n v="0.99"/>
    <n v="0.16719999999999999"/>
    <n v="0.1472"/>
    <n v="0.55559999999999998"/>
    <n v="0.13"/>
    <s v="SONY"/>
    <x v="131"/>
    <n v="1"/>
  </r>
  <r>
    <n v="34336"/>
    <m/>
    <n v="467"/>
    <n v="46713"/>
    <n v="46713"/>
    <x v="85"/>
    <x v="67"/>
    <s v="CVAS"/>
    <x v="4"/>
    <x v="4"/>
    <s v=""/>
    <s v="Music"/>
    <s v=""/>
    <x v="13"/>
    <s v="ACTIVE"/>
    <s v="YES"/>
    <n v="37108"/>
    <s v="GNFTuni149"/>
    <s v="NIVEL 55 (1.49 Euros)"/>
    <n v="55"/>
    <s v="PPD"/>
    <n v="1"/>
    <n v="1.49"/>
    <n v="0.17660000000000001"/>
    <n v="0.15659999999999999"/>
    <n v="0.53689999999999993"/>
    <n v="0.13"/>
    <s v="UNIVERSAL"/>
    <x v="132"/>
    <n v="1"/>
  </r>
  <r>
    <n v="34338"/>
    <m/>
    <n v="463"/>
    <n v="46304"/>
    <n v="46304"/>
    <x v="86"/>
    <x v="68"/>
    <s v="CVAS"/>
    <x v="4"/>
    <x v="4"/>
    <s v=""/>
    <s v="Music"/>
    <s v=""/>
    <x v="13"/>
    <s v="ACTIVE"/>
    <s v="YES"/>
    <n v="37109"/>
    <s v="GNFTuni99"/>
    <s v="NIVEL 54 (0.99 Euros)"/>
    <n v="54"/>
    <s v="PPD"/>
    <n v="1"/>
    <n v="0.99"/>
    <n v="0.16719999999999999"/>
    <n v="0.1472"/>
    <n v="0.55559999999999998"/>
    <n v="0.13"/>
    <s v="UNIVERSAL"/>
    <x v="133"/>
    <n v="1"/>
  </r>
  <r>
    <n v="34344"/>
    <m/>
    <n v="467"/>
    <n v="46711"/>
    <n v="46711"/>
    <x v="87"/>
    <x v="69"/>
    <s v="CVAS"/>
    <x v="4"/>
    <x v="4"/>
    <s v=""/>
    <s v="Music"/>
    <s v=""/>
    <x v="13"/>
    <s v="ACTIVE"/>
    <s v="YES"/>
    <n v="37112"/>
    <s v="GNFTorc149"/>
    <s v="NIVEL 55 (1.49 Euros)"/>
    <n v="55"/>
    <s v="PPD"/>
    <n v="1"/>
    <n v="1.49"/>
    <n v="0.19500000000000001"/>
    <n v="0.17499999999999999"/>
    <n v="0.5"/>
    <n v="0.13"/>
    <s v="THE ORCHARD"/>
    <x v="134"/>
    <n v="1"/>
  </r>
  <r>
    <n v="34346"/>
    <m/>
    <n v="463"/>
    <n v="46305"/>
    <n v="46305"/>
    <x v="88"/>
    <x v="70"/>
    <s v="CVAS"/>
    <x v="4"/>
    <x v="4"/>
    <s v=""/>
    <s v="Music"/>
    <s v=""/>
    <x v="13"/>
    <s v="ACTIVE"/>
    <s v="YES"/>
    <n v="37113"/>
    <s v="GNFTorc099"/>
    <s v="NIVEL 54 (0.99 Euros)"/>
    <n v="54"/>
    <s v="PPD"/>
    <n v="1"/>
    <n v="0.99"/>
    <n v="0.14499999999999999"/>
    <n v="0.22500000000000001"/>
    <n v="0.5"/>
    <n v="0.13"/>
    <s v="THE ORCHARD"/>
    <x v="135"/>
    <n v="1"/>
  </r>
  <r>
    <n v="34348"/>
    <m/>
    <n v="467"/>
    <n v="46709"/>
    <n v="46709"/>
    <x v="89"/>
    <x v="71"/>
    <s v="CVAS"/>
    <x v="4"/>
    <x v="4"/>
    <s v=""/>
    <s v="Music"/>
    <s v=""/>
    <x v="13"/>
    <s v="ACTIVE"/>
    <s v="YES"/>
    <n v="37114"/>
    <s v="GNFTalt149"/>
    <s v="NIVEL 55 (1.49 Euros)"/>
    <n v="55"/>
    <s v="PPD"/>
    <n v="1"/>
    <n v="1.49"/>
    <n v="0.19500000000000001"/>
    <n v="0.17499999999999999"/>
    <n v="0.5"/>
    <n v="0.13"/>
    <s v="ALTAFONTE"/>
    <x v="136"/>
    <n v="1"/>
  </r>
  <r>
    <n v="34350"/>
    <m/>
    <n v="463"/>
    <n v="46301"/>
    <n v="46301"/>
    <x v="90"/>
    <x v="72"/>
    <s v="CVAS"/>
    <x v="4"/>
    <x v="4"/>
    <s v=""/>
    <s v="Music"/>
    <s v=""/>
    <x v="13"/>
    <s v="ACTIVE"/>
    <s v="YES"/>
    <n v="37115"/>
    <s v="GNFTalt99"/>
    <s v="NIVEL 54 (0.99 Euros)"/>
    <n v="54"/>
    <s v="PPD"/>
    <n v="1"/>
    <n v="0.99"/>
    <n v="0.19500000000000001"/>
    <n v="0.17499999999999999"/>
    <n v="0.5"/>
    <n v="0.13"/>
    <s v="ALTAFONTE"/>
    <x v="137"/>
    <n v="1"/>
  </r>
  <r>
    <n v="34352"/>
    <m/>
    <n v="467"/>
    <n v="46710"/>
    <n v="46710"/>
    <x v="91"/>
    <x v="73"/>
    <s v="CVAS"/>
    <x v="4"/>
    <x v="4"/>
    <s v=""/>
    <s v="Music"/>
    <s v=""/>
    <x v="13"/>
    <s v="ACTIVE"/>
    <s v="YES"/>
    <n v="37116"/>
    <s v="GNFTgen149"/>
    <s v="NIVEL 55 (1.49 Euros)"/>
    <n v="55"/>
    <s v="PPD"/>
    <n v="1"/>
    <n v="1.49"/>
    <n v="0.245"/>
    <n v="0.22500000000000001"/>
    <n v="0.4"/>
    <n v="0.13"/>
    <s v="GENEXIES"/>
    <x v="138"/>
    <n v="1"/>
  </r>
  <r>
    <n v="34354"/>
    <m/>
    <n v="463"/>
    <n v="46302"/>
    <n v="46302"/>
    <x v="92"/>
    <x v="74"/>
    <s v="CVAS"/>
    <x v="4"/>
    <x v="4"/>
    <s v=""/>
    <s v="Music"/>
    <s v=""/>
    <x v="13"/>
    <s v="ACTIVE"/>
    <s v="YES"/>
    <n v="37117"/>
    <s v="GNFTgen99"/>
    <s v="NIVEL 54 (0.99 Euros)"/>
    <n v="54"/>
    <s v="PPD"/>
    <n v="1"/>
    <n v="0.99"/>
    <n v="0.245"/>
    <n v="0.22500000000000001"/>
    <n v="0.4"/>
    <n v="0.13"/>
    <s v="GENEXIES"/>
    <x v="139"/>
    <n v="1"/>
  </r>
  <r>
    <n v="34356"/>
    <m/>
    <n v="465"/>
    <n v="46504"/>
    <n v="46504"/>
    <x v="93"/>
    <x v="75"/>
    <s v="CVAS"/>
    <x v="4"/>
    <x v="4"/>
    <s v=""/>
    <s v="Music"/>
    <s v=""/>
    <x v="13"/>
    <s v="ACTIVE"/>
    <s v="YES"/>
    <n v="37118"/>
    <s v="GNFVwar199"/>
    <s v="NIVEL 56 (1.99 Euros)"/>
    <n v="56"/>
    <s v="PPD"/>
    <n v="1"/>
    <n v="1.99"/>
    <n v="0.24399999999999999"/>
    <n v="0.22399999999999998"/>
    <n v="0.40200000000000002"/>
    <n v="0.13"/>
    <s v="WARNER"/>
    <x v="140"/>
    <n v="1"/>
  </r>
  <r>
    <n v="34358"/>
    <m/>
    <n v="465"/>
    <n v="46502"/>
    <n v="46502"/>
    <x v="94"/>
    <x v="76"/>
    <s v="CVAS"/>
    <x v="4"/>
    <x v="4"/>
    <s v=""/>
    <s v="Music"/>
    <s v=""/>
    <x v="13"/>
    <s v="ACTIVE"/>
    <s v="YES"/>
    <n v="37119"/>
    <s v="GNFVson199"/>
    <s v="NIVEL 56 (1.99 Euros)"/>
    <n v="56"/>
    <s v="PPD"/>
    <n v="1"/>
    <n v="1.99"/>
    <n v="0.24399999999999999"/>
    <n v="0.22399999999999998"/>
    <n v="0.40200000000000002"/>
    <n v="0.13"/>
    <s v="SONY"/>
    <x v="141"/>
    <n v="1"/>
  </r>
  <r>
    <n v="34361"/>
    <m/>
    <n v="465"/>
    <n v="46503"/>
    <n v="46503"/>
    <x v="95"/>
    <x v="77"/>
    <s v="CVAS"/>
    <x v="4"/>
    <x v="4"/>
    <s v=""/>
    <s v="Music"/>
    <s v=""/>
    <x v="13"/>
    <s v="ACTIVE"/>
    <s v="YES"/>
    <n v="37120"/>
    <s v="GNFVuni199"/>
    <s v="NIVEL 56 (1.99 Euros)"/>
    <n v="56"/>
    <s v="PPD"/>
    <n v="1"/>
    <n v="1.99"/>
    <n v="0.20379999999999998"/>
    <n v="0.18379999999999999"/>
    <n v="0.4824"/>
    <n v="0.13"/>
    <s v="UNIVERSAL"/>
    <x v="142"/>
    <n v="1"/>
  </r>
  <r>
    <n v="34365"/>
    <m/>
    <n v="465"/>
    <n v="46505"/>
    <n v="46505"/>
    <x v="96"/>
    <x v="78"/>
    <s v="CVAS"/>
    <x v="4"/>
    <x v="4"/>
    <s v=""/>
    <s v="Music"/>
    <s v=""/>
    <x v="13"/>
    <s v="ACTIVE"/>
    <s v="YES"/>
    <n v="37122"/>
    <s v="GNFVorc199"/>
    <s v="NIVEL 56 (1.99 Euros)"/>
    <n v="56"/>
    <s v="PPD"/>
    <n v="1"/>
    <n v="1.99"/>
    <n v="0.29499999999999998"/>
    <n v="0.17499999999999999"/>
    <n v="0.4"/>
    <n v="0.13"/>
    <s v="THE ORCHARD"/>
    <x v="143"/>
    <n v="1"/>
  </r>
  <r>
    <n v="34367"/>
    <m/>
    <n v="465"/>
    <n v="46506"/>
    <n v="46506"/>
    <x v="97"/>
    <x v="79"/>
    <s v="CVAS"/>
    <x v="4"/>
    <x v="4"/>
    <s v=""/>
    <s v="Music"/>
    <s v=""/>
    <x v="13"/>
    <s v="ACTIVE"/>
    <s v="YES"/>
    <n v="37123"/>
    <s v="GNFValt199"/>
    <s v="NIVEL 56 (1.99 Euros)"/>
    <n v="56"/>
    <s v="PPD"/>
    <n v="1"/>
    <n v="1.99"/>
    <n v="0.29499999999999998"/>
    <n v="0.17499999999999999"/>
    <n v="0.4"/>
    <n v="0.13"/>
    <s v="ALTAFONTE"/>
    <x v="144"/>
    <n v="1"/>
  </r>
  <r>
    <n v="34369"/>
    <m/>
    <n v="465"/>
    <n v="46501"/>
    <n v="46501"/>
    <x v="98"/>
    <x v="80"/>
    <s v="CVAS"/>
    <x v="4"/>
    <x v="4"/>
    <s v=""/>
    <s v="Music"/>
    <s v=""/>
    <x v="13"/>
    <s v="ACTIVE"/>
    <s v="YES"/>
    <n v="37124"/>
    <s v="GNFVgen199"/>
    <s v="NIVEL 56 (1.99 Euros)"/>
    <n v="56"/>
    <s v="PPD"/>
    <n v="1"/>
    <n v="1.99"/>
    <n v="0.19500000000000001"/>
    <n v="0.17499999999999999"/>
    <n v="0.5"/>
    <n v="0.13"/>
    <s v="GENEXIES"/>
    <x v="145"/>
    <n v="1"/>
  </r>
  <r>
    <n v="34371"/>
    <m/>
    <n v="467"/>
    <n v="46707"/>
    <n v="46707"/>
    <x v="99"/>
    <x v="27"/>
    <s v="CVAS"/>
    <x v="4"/>
    <x v="4"/>
    <s v=""/>
    <s v="Music"/>
    <s v=""/>
    <x v="13"/>
    <s v="ACTIVE"/>
    <s v="YES"/>
    <n v="37125"/>
    <s v="GNTRwar199"/>
    <s v="NIVEL 56 (1.99 Euros)"/>
    <n v="56"/>
    <s v="PPD"/>
    <n v="1"/>
    <n v="1.99"/>
    <n v="0.25659999999999999"/>
    <n v="0.2366"/>
    <n v="0.37689999999999996"/>
    <n v="0.13"/>
    <s v="WARNER"/>
    <x v="58"/>
    <n v="1"/>
  </r>
  <r>
    <n v="34373"/>
    <m/>
    <n v="467"/>
    <n v="46705"/>
    <n v="46705"/>
    <x v="100"/>
    <x v="26"/>
    <s v="CVAS"/>
    <x v="4"/>
    <x v="4"/>
    <s v=""/>
    <s v="Music"/>
    <s v=""/>
    <x v="13"/>
    <s v="ACTIVE"/>
    <s v="YES"/>
    <n v="37126"/>
    <s v="GNTRson199"/>
    <s v="NIVEL 56 (1.99 Euros)"/>
    <n v="56"/>
    <s v="PPD"/>
    <n v="1"/>
    <n v="1.99"/>
    <n v="0.24399999999999999"/>
    <n v="0.22399999999999998"/>
    <n v="0.40200000000000002"/>
    <n v="0.13"/>
    <s v="SONY"/>
    <x v="57"/>
    <n v="1"/>
  </r>
  <r>
    <n v="34375"/>
    <m/>
    <n v="467"/>
    <n v="46706"/>
    <n v="46706"/>
    <x v="101"/>
    <x v="25"/>
    <s v="CVAS"/>
    <x v="4"/>
    <x v="4"/>
    <s v=""/>
    <s v="Music"/>
    <s v=""/>
    <x v="13"/>
    <s v="ACTIVE"/>
    <s v="YES"/>
    <n v="37127"/>
    <s v="GNTRuni199"/>
    <s v="NIVEL 56 (1.99 Euros)"/>
    <n v="56"/>
    <s v="PPD"/>
    <n v="1"/>
    <n v="1.99"/>
    <n v="0.26910000000000001"/>
    <n v="0.24909999999999999"/>
    <n v="0.3518"/>
    <n v="0.13"/>
    <s v="UNIVERSAL"/>
    <x v="56"/>
    <n v="1"/>
  </r>
  <r>
    <n v="34379"/>
    <m/>
    <n v="467"/>
    <n v="46704"/>
    <n v="46704"/>
    <x v="102"/>
    <x v="62"/>
    <s v="CVAS"/>
    <x v="4"/>
    <x v="4"/>
    <s v=""/>
    <s v="Music"/>
    <s v=""/>
    <x v="13"/>
    <s v="ACTIVE"/>
    <s v="YES"/>
    <n v="37129"/>
    <s v="GNTRorc199"/>
    <s v="NIVEL 56 (1.99 Euros)"/>
    <n v="56"/>
    <s v="PPD"/>
    <n v="1"/>
    <n v="1.99"/>
    <n v="0.245"/>
    <n v="0.22500000000000001"/>
    <n v="0.4"/>
    <n v="0.13"/>
    <s v="THE ORCHARD"/>
    <x v="127"/>
    <n v="1"/>
  </r>
  <r>
    <n v="34381"/>
    <m/>
    <n v="467"/>
    <n v="46702"/>
    <n v="46702"/>
    <x v="79"/>
    <x v="61"/>
    <s v="CVAS"/>
    <x v="4"/>
    <x v="4"/>
    <s v=""/>
    <s v="Music"/>
    <s v=""/>
    <x v="13"/>
    <s v="ACTIVE"/>
    <s v="YES"/>
    <n v="37130"/>
    <s v="GNTRalt199"/>
    <s v="NIVEL 56 (1.99 Euros)"/>
    <n v="56"/>
    <s v="PPD"/>
    <n v="1"/>
    <n v="1.99"/>
    <n v="0.245"/>
    <n v="0.22500000000000001"/>
    <n v="0.4"/>
    <n v="0.13"/>
    <s v="ALTAFONTE"/>
    <x v="126"/>
    <n v="1"/>
  </r>
  <r>
    <n v="34383"/>
    <m/>
    <n v="467"/>
    <n v="46703"/>
    <n v="46703"/>
    <x v="103"/>
    <x v="28"/>
    <s v="CVAS"/>
    <x v="4"/>
    <x v="4"/>
    <s v=""/>
    <s v="Music"/>
    <s v=""/>
    <x v="13"/>
    <s v="ACTIVE"/>
    <s v="YES"/>
    <n v="37131"/>
    <s v="GNTRgen199"/>
    <s v="NIVEL 56 (1.99 Euros)"/>
    <n v="56"/>
    <s v="PPD"/>
    <n v="1"/>
    <n v="1.99"/>
    <n v="0.245"/>
    <n v="0.22500000000000001"/>
    <n v="0.4"/>
    <n v="0.13"/>
    <s v="GENEXIES"/>
    <x v="59"/>
    <n v="1"/>
  </r>
  <r>
    <n v="34394"/>
    <m/>
    <n v="440"/>
    <n v="44001"/>
    <n v="44001"/>
    <x v="104"/>
    <x v="81"/>
    <s v="CVAS"/>
    <x v="7"/>
    <x v="5"/>
    <s v=""/>
    <s v="Others"/>
    <s v="Sports"/>
    <x v="20"/>
    <s v="ACTIVE"/>
    <s v="YES"/>
    <n v="37139"/>
    <s v="Deportes emocion"/>
    <s v="NIVEL 54 (0.99 Euros)"/>
    <n v="54"/>
    <s v="Weekly subscription"/>
    <n v="908"/>
    <n v="0.99"/>
    <n v="0.5"/>
    <n v="0.5"/>
    <m/>
    <m/>
    <s v=""/>
    <x v="146"/>
    <n v="4.25"/>
  </r>
  <r>
    <n v="34409"/>
    <m/>
    <n v="464"/>
    <n v="46402"/>
    <n v="46402"/>
    <x v="105"/>
    <x v="82"/>
    <s v="CVAS"/>
    <x v="4"/>
    <x v="4"/>
    <s v=""/>
    <s v="Music"/>
    <s v=""/>
    <x v="13"/>
    <s v="ACTIVE"/>
    <s v="YES"/>
    <n v="37144"/>
    <s v="Tarifa Plana Musica"/>
    <s v="NIVEL 105 (1,48 Euros)"/>
    <n v="105"/>
    <s v="Weekly subscription"/>
    <n v="908"/>
    <n v="1.48"/>
    <n v="0.22500000000000001"/>
    <n v="0.14499999999999999"/>
    <n v="0.5"/>
    <n v="0.13"/>
    <s v="TODOS"/>
    <x v="147"/>
    <n v="4.25"/>
  </r>
  <r>
    <n v="34410"/>
    <n v="34409"/>
    <n v="464"/>
    <n v="46401"/>
    <n v="46401"/>
    <x v="106"/>
    <x v="82"/>
    <s v="CVAS"/>
    <x v="4"/>
    <x v="4"/>
    <s v=""/>
    <s v="Music"/>
    <s v=""/>
    <x v="13"/>
    <s v="ACTIVE"/>
    <s v="YES"/>
    <n v="37144"/>
    <s v="Tarifa Plana Musica"/>
    <s v="NIVEL 0 (0 E)"/>
    <n v="0"/>
    <s v="Weekly subscription"/>
    <n v="641"/>
    <n v="0"/>
    <m/>
    <m/>
    <m/>
    <m/>
    <s v=""/>
    <x v="147"/>
    <n v="4.25"/>
  </r>
  <r>
    <n v="34668"/>
    <m/>
    <n v="429"/>
    <n v="42901"/>
    <n v="42901"/>
    <x v="107"/>
    <x v="83"/>
    <s v="CVAS"/>
    <x v="4"/>
    <x v="4"/>
    <s v=""/>
    <s v="Music"/>
    <s v=""/>
    <x v="2"/>
    <s v="INACTIVE"/>
    <s v="YES"/>
    <n v="37344"/>
    <s v="Novedades"/>
    <s v="NIVEL 55 (1.49 Euros)"/>
    <n v="55"/>
    <s v="Weekly subscription"/>
    <n v="908"/>
    <n v="1.49"/>
    <n v="0.6"/>
    <n v="0.4"/>
    <m/>
    <m/>
    <s v=""/>
    <x v="148"/>
    <n v="4.25"/>
  </r>
  <r>
    <n v="34828"/>
    <m/>
    <n v="590"/>
    <n v="59001"/>
    <n v="59001"/>
    <x v="108"/>
    <x v="0"/>
    <s v="CVAS"/>
    <x v="0"/>
    <x v="0"/>
    <s v="Light TV"/>
    <s v="Light"/>
    <s v="Light TV"/>
    <x v="0"/>
    <s v="ACTIVE"/>
    <s v="YES"/>
    <n v="37484"/>
    <s v="Pack Taquillas X"/>
    <s v="NIVEL 58 (2.99 Euros)"/>
    <n v="58"/>
    <s v="Weekly subscription"/>
    <n v="908"/>
    <n v="2.99"/>
    <n v="0.35"/>
    <n v="0.65"/>
    <m/>
    <m/>
    <s v=""/>
    <x v="149"/>
    <n v="4.25"/>
  </r>
  <r>
    <n v="35008"/>
    <m/>
    <n v="469"/>
    <n v="46901"/>
    <n v="46901"/>
    <x v="109"/>
    <x v="84"/>
    <s v="CVAS"/>
    <x v="4"/>
    <x v="4"/>
    <s v=""/>
    <s v="Music"/>
    <s v=""/>
    <x v="13"/>
    <s v="ACTIVE"/>
    <s v="YES"/>
    <n v="37604"/>
    <s v="Musica Dance"/>
    <s v="NIVEL 54 (0.99 Euros)"/>
    <n v="54"/>
    <s v="Weekly subscription"/>
    <n v="908"/>
    <n v="0.99"/>
    <n v="0.8"/>
    <n v="0.2"/>
    <m/>
    <m/>
    <s v=""/>
    <x v="150"/>
    <n v="4.25"/>
  </r>
  <r>
    <n v="35014"/>
    <m/>
    <n v="471"/>
    <n v="47101"/>
    <n v="47101"/>
    <x v="110"/>
    <x v="85"/>
    <s v="CVAS"/>
    <x v="4"/>
    <x v="4"/>
    <s v=""/>
    <s v="Music"/>
    <s v=""/>
    <x v="13"/>
    <s v="ACTIVE"/>
    <s v="YES"/>
    <n v="37607"/>
    <s v="Musica Flamenca"/>
    <s v="NIVEL 54 (0.99 Euros)"/>
    <n v="54"/>
    <s v="Weekly subscription"/>
    <n v="908"/>
    <n v="0.99"/>
    <n v="0.8"/>
    <n v="0.2"/>
    <m/>
    <m/>
    <s v=""/>
    <x v="151"/>
    <n v="4.25"/>
  </r>
  <r>
    <n v="35020"/>
    <m/>
    <n v="470"/>
    <n v="47001"/>
    <n v="47001"/>
    <x v="111"/>
    <x v="86"/>
    <s v="CVAS"/>
    <x v="4"/>
    <x v="4"/>
    <s v=""/>
    <s v="Music"/>
    <s v=""/>
    <x v="13"/>
    <s v="ACTIVE"/>
    <s v="YES"/>
    <n v="37610"/>
    <s v="Musica Española"/>
    <s v="NIVEL 54 (0.99 Euros)"/>
    <n v="54"/>
    <s v="Weekly subscription"/>
    <n v="908"/>
    <n v="0.99"/>
    <n v="0.8"/>
    <n v="0.2"/>
    <m/>
    <m/>
    <s v=""/>
    <x v="152"/>
    <n v="4.25"/>
  </r>
  <r>
    <n v="35031"/>
    <m/>
    <n v="591"/>
    <n v="59101"/>
    <n v="59101"/>
    <x v="47"/>
    <x v="0"/>
    <s v="CVAS"/>
    <x v="0"/>
    <x v="0"/>
    <s v="Light TV"/>
    <s v="Light"/>
    <s v="Light TV"/>
    <x v="0"/>
    <s v="INACTIVE"/>
    <s v="YES"/>
    <n v="37627"/>
    <s v="Taquilla X2"/>
    <s v="NIVEL 58 (2.99 Euros)"/>
    <n v="58"/>
    <s v="Weekly subscription"/>
    <n v="908"/>
    <n v="2.99"/>
    <n v="0.3"/>
    <n v="0.7"/>
    <m/>
    <m/>
    <s v=""/>
    <x v="149"/>
    <n v="4.25"/>
  </r>
  <r>
    <n v="35035"/>
    <m/>
    <n v="593"/>
    <n v="59301"/>
    <n v="59301"/>
    <x v="47"/>
    <x v="0"/>
    <s v="CVAS"/>
    <x v="0"/>
    <x v="0"/>
    <s v="Light TV"/>
    <s v="Light"/>
    <s v="Light TV"/>
    <x v="0"/>
    <s v="INACTIVE"/>
    <s v="YES"/>
    <n v="37629"/>
    <s v="Taquilla X4"/>
    <s v="NIVEL 58 (2.99 Euros)"/>
    <n v="58"/>
    <s v="Weekly subscription"/>
    <n v="908"/>
    <n v="2.99"/>
    <n v="0.3"/>
    <n v="0.7"/>
    <m/>
    <m/>
    <s v=""/>
    <x v="149"/>
    <n v="4.25"/>
  </r>
  <r>
    <n v="35037"/>
    <m/>
    <n v="594"/>
    <n v="59401"/>
    <n v="59401"/>
    <x v="47"/>
    <x v="0"/>
    <s v="CVAS"/>
    <x v="0"/>
    <x v="0"/>
    <s v="Light TV"/>
    <s v="Light"/>
    <s v="Light TV"/>
    <x v="0"/>
    <s v="INACTIVE"/>
    <s v="YES"/>
    <n v="37630"/>
    <s v="Taquilla X5"/>
    <s v="NIVEL 58 (2.99 Euros)"/>
    <n v="58"/>
    <s v="Weekly subscription"/>
    <n v="908"/>
    <n v="2.99"/>
    <n v="0.3"/>
    <n v="0.7"/>
    <m/>
    <m/>
    <s v=""/>
    <x v="149"/>
    <n v="4.25"/>
  </r>
  <r>
    <n v="35039"/>
    <m/>
    <n v="595"/>
    <n v="59501"/>
    <n v="59501"/>
    <x v="47"/>
    <x v="0"/>
    <s v="CVAS"/>
    <x v="0"/>
    <x v="0"/>
    <s v="Light TV"/>
    <s v="Light"/>
    <s v="Light TV"/>
    <x v="0"/>
    <s v="INACTIVE"/>
    <s v="YES"/>
    <n v="37631"/>
    <s v="Taquilla X6"/>
    <s v="NIVEL 58 (2.99 Euros)"/>
    <n v="58"/>
    <s v="Weekly subscription"/>
    <n v="908"/>
    <n v="2.99"/>
    <n v="0.3"/>
    <n v="0.7"/>
    <m/>
    <m/>
    <s v=""/>
    <x v="149"/>
    <n v="4.25"/>
  </r>
  <r>
    <n v="35041"/>
    <m/>
    <n v="596"/>
    <n v="59601"/>
    <n v="59601"/>
    <x v="47"/>
    <x v="0"/>
    <s v="CVAS"/>
    <x v="0"/>
    <x v="0"/>
    <s v="Light TV"/>
    <s v="Light"/>
    <s v="Light TV"/>
    <x v="0"/>
    <s v="INACTIVE"/>
    <s v="YES"/>
    <n v="37632"/>
    <s v="Taquilla X7"/>
    <s v="NIVEL 58 (2.99 Euros)"/>
    <n v="58"/>
    <s v="Weekly subscription"/>
    <n v="908"/>
    <n v="2.99"/>
    <n v="0.3"/>
    <n v="0.7"/>
    <m/>
    <m/>
    <s v=""/>
    <x v="149"/>
    <n v="4.25"/>
  </r>
  <r>
    <n v="35043"/>
    <m/>
    <n v="592"/>
    <n v="59201"/>
    <n v="59201"/>
    <x v="47"/>
    <x v="0"/>
    <s v="CVAS"/>
    <x v="0"/>
    <x v="0"/>
    <s v="Light TV"/>
    <s v="Light"/>
    <s v="Light TV"/>
    <x v="0"/>
    <s v="INACTIVE"/>
    <s v="YES"/>
    <n v="37633"/>
    <s v="Taquilla X3"/>
    <s v="NIVEL 58 (2.99 Euros)"/>
    <n v="58"/>
    <s v="Weekly subscription"/>
    <n v="908"/>
    <n v="2.99"/>
    <n v="0.3"/>
    <n v="0.7"/>
    <m/>
    <m/>
    <s v=""/>
    <x v="149"/>
    <n v="4.25"/>
  </r>
  <r>
    <n v="35293"/>
    <m/>
    <n v="294"/>
    <n v="29401"/>
    <n v="29401"/>
    <x v="112"/>
    <x v="40"/>
    <s v="CVAS"/>
    <x v="3"/>
    <x v="3"/>
    <s v=""/>
    <s v="Games"/>
    <s v=""/>
    <x v="8"/>
    <s v="ACTIVE"/>
    <s v="YES"/>
    <n v="34085"/>
    <s v="Susc Real Network"/>
    <s v="NIVEL 0 (0 E)"/>
    <n v="0"/>
    <s v="Monthly subscription"/>
    <n v="424"/>
    <n v="0"/>
    <m/>
    <m/>
    <m/>
    <m/>
    <s v=""/>
    <x v="102"/>
    <n v="1"/>
  </r>
  <r>
    <n v="35298"/>
    <n v="32680"/>
    <n v="477"/>
    <n v="47701"/>
    <n v="47701"/>
    <x v="113"/>
    <x v="56"/>
    <s v="CVAS"/>
    <x v="3"/>
    <x v="3"/>
    <s v=""/>
    <s v="Games"/>
    <s v=""/>
    <x v="19"/>
    <s v="ACTIVE"/>
    <s v="YES"/>
    <n v="35710"/>
    <s v="Amigo Games"/>
    <s v="NIVEL 0 (0 Euros)"/>
    <n v="0"/>
    <s v="Weekly subscription"/>
    <n v="641"/>
    <n v="0"/>
    <m/>
    <m/>
    <m/>
    <m/>
    <s v=""/>
    <x v="122"/>
    <n v="4.25"/>
  </r>
  <r>
    <n v="35299"/>
    <m/>
    <n v="293"/>
    <n v="29301"/>
    <n v="29301"/>
    <x v="114"/>
    <x v="57"/>
    <s v="CVAS"/>
    <x v="3"/>
    <x v="3"/>
    <s v=""/>
    <s v="Games"/>
    <s v=""/>
    <x v="8"/>
    <s v="ACTIVE"/>
    <s v="YES"/>
    <n v="35824"/>
    <s v="Susc Juegos Sexy"/>
    <s v="NIVEL 0 (0 Euros)"/>
    <n v="0"/>
    <s v="Weekly subscription"/>
    <n v="641"/>
    <n v="0"/>
    <m/>
    <m/>
    <m/>
    <m/>
    <s v=""/>
    <x v="123"/>
    <n v="4.25"/>
  </r>
  <r>
    <n v="35308"/>
    <m/>
    <n v="258"/>
    <n v="25801"/>
    <n v="25801"/>
    <x v="115"/>
    <x v="87"/>
    <s v="CVAS"/>
    <x v="3"/>
    <x v="3"/>
    <s v=""/>
    <s v="Games"/>
    <s v=""/>
    <x v="4"/>
    <s v="ACTIVE"/>
    <s v="YES"/>
    <n v="37824"/>
    <s v="Extra Juego Gloft"/>
    <s v="NIVEL 54 (0.99 Euros)"/>
    <n v="54"/>
    <s v="PPD"/>
    <n v="1"/>
    <n v="0.99"/>
    <n v="0.5"/>
    <n v="0.5"/>
    <m/>
    <m/>
    <s v=""/>
    <x v="5"/>
    <n v="1"/>
  </r>
  <r>
    <n v="35313"/>
    <m/>
    <n v="258"/>
    <n v="25802"/>
    <n v="25802"/>
    <x v="116"/>
    <x v="87"/>
    <s v="CVAS"/>
    <x v="3"/>
    <x v="3"/>
    <s v=""/>
    <s v="Games"/>
    <s v=""/>
    <x v="4"/>
    <s v="ACTIVE"/>
    <s v="YES"/>
    <n v="37825"/>
    <s v="Extra Juego Gloft"/>
    <s v="NIVEL 56 (1.99 Euros)"/>
    <n v="56"/>
    <s v="PPD"/>
    <n v="1"/>
    <n v="1.99"/>
    <n v="0.5"/>
    <n v="0.5"/>
    <m/>
    <m/>
    <s v=""/>
    <x v="5"/>
    <n v="1"/>
  </r>
  <r>
    <n v="35315"/>
    <m/>
    <n v="258"/>
    <n v="25803"/>
    <n v="25803"/>
    <x v="116"/>
    <x v="87"/>
    <s v="CVAS"/>
    <x v="3"/>
    <x v="3"/>
    <s v=""/>
    <s v="Games"/>
    <s v=""/>
    <x v="4"/>
    <s v="ACTIVE"/>
    <s v="YES"/>
    <n v="37826"/>
    <s v="Extra Juego Gloft"/>
    <s v="NIVEL 58 (2.99 Euros)"/>
    <n v="58"/>
    <s v="PPD"/>
    <n v="1"/>
    <n v="2.99"/>
    <n v="0.5"/>
    <n v="0.5"/>
    <m/>
    <m/>
    <s v=""/>
    <x v="5"/>
    <n v="1"/>
  </r>
  <r>
    <n v="35317"/>
    <m/>
    <n v="258"/>
    <n v="25804"/>
    <n v="25804"/>
    <x v="116"/>
    <x v="87"/>
    <s v="CVAS"/>
    <x v="3"/>
    <x v="3"/>
    <s v=""/>
    <s v="Games"/>
    <s v=""/>
    <x v="4"/>
    <s v="ACTIVE"/>
    <s v="YES"/>
    <n v="37827"/>
    <s v="Extra Juego Gloft"/>
    <s v="NIVEL 62 (4.99 Euros)"/>
    <n v="62"/>
    <s v="PPD"/>
    <n v="1"/>
    <n v="4.99"/>
    <n v="0.5"/>
    <n v="0.5"/>
    <m/>
    <m/>
    <s v=""/>
    <x v="5"/>
    <n v="1"/>
  </r>
  <r>
    <n v="35357"/>
    <m/>
    <n v="253"/>
    <n v="25302"/>
    <n v="25302"/>
    <x v="117"/>
    <x v="88"/>
    <s v="CVAS"/>
    <x v="4"/>
    <x v="4"/>
    <s v=""/>
    <s v="Music"/>
    <s v=""/>
    <x v="13"/>
    <s v="ACTIVE"/>
    <s v="YES"/>
    <n v="37869"/>
    <s v="Musica Latina"/>
    <s v="NIVEL 54 (0.99 Euros)"/>
    <n v="54"/>
    <s v="Weekly subscription"/>
    <n v="908"/>
    <n v="0.99"/>
    <n v="0.8"/>
    <n v="0.2"/>
    <m/>
    <m/>
    <s v=""/>
    <x v="153"/>
    <n v="4.25"/>
  </r>
  <r>
    <n v="35551"/>
    <m/>
    <n v="351"/>
    <n v="35101"/>
    <n v="35101"/>
    <x v="47"/>
    <x v="0"/>
    <s v="CVAS"/>
    <x v="0"/>
    <x v="0"/>
    <s v="Light Hard"/>
    <s v="Light"/>
    <s v="Light Hard"/>
    <x v="15"/>
    <s v="ACTIVE"/>
    <s v="YES"/>
    <n v="38024"/>
    <s v="Porno Callejeros"/>
    <s v="NIVEL 58 (2.99 Euros)"/>
    <n v="58"/>
    <s v="Weekly subscription"/>
    <n v="908"/>
    <n v="2.99"/>
    <n v="0.3"/>
    <n v="0.7"/>
    <m/>
    <m/>
    <s v=""/>
    <x v="154"/>
    <n v="4.25"/>
  </r>
  <r>
    <n v="35869"/>
    <n v="35008"/>
    <n v="469"/>
    <n v="46902"/>
    <n v="46902"/>
    <x v="118"/>
    <x v="84"/>
    <s v="CVAS"/>
    <x v="4"/>
    <x v="4"/>
    <s v=""/>
    <s v="Music"/>
    <s v=""/>
    <x v="13"/>
    <s v="ACTIVE"/>
    <s v="YES"/>
    <n v="37604"/>
    <s v="Musica Dance"/>
    <s v="NIVEL 0 (0 E)"/>
    <n v="0"/>
    <s v="Weekly subscription"/>
    <n v="641"/>
    <n v="0"/>
    <m/>
    <m/>
    <m/>
    <m/>
    <s v=""/>
    <x v="150"/>
    <n v="4.25"/>
  </r>
  <r>
    <n v="35870"/>
    <n v="35014"/>
    <n v="471"/>
    <n v="47102"/>
    <n v="47102"/>
    <x v="119"/>
    <x v="85"/>
    <s v="CVAS"/>
    <x v="4"/>
    <x v="4"/>
    <s v=""/>
    <s v="Music"/>
    <s v=""/>
    <x v="13"/>
    <s v="ACTIVE"/>
    <s v="YES"/>
    <n v="37607"/>
    <s v="Musica Flamenca"/>
    <s v="NIVEL 0 (0 E)"/>
    <n v="0"/>
    <s v="Weekly subscription"/>
    <n v="641"/>
    <n v="0"/>
    <m/>
    <m/>
    <m/>
    <m/>
    <s v=""/>
    <x v="151"/>
    <n v="4.25"/>
  </r>
  <r>
    <n v="35871"/>
    <n v="35020"/>
    <n v="470"/>
    <n v="47002"/>
    <n v="47002"/>
    <x v="120"/>
    <x v="86"/>
    <s v="CVAS"/>
    <x v="4"/>
    <x v="4"/>
    <s v=""/>
    <s v="Music"/>
    <s v=""/>
    <x v="13"/>
    <s v="ACTIVE"/>
    <s v="YES"/>
    <n v="37610"/>
    <s v="Musica Española"/>
    <s v="NIVEL 0 (0 E)"/>
    <n v="0"/>
    <s v="Weekly subscription"/>
    <n v="641"/>
    <n v="0"/>
    <m/>
    <m/>
    <m/>
    <m/>
    <s v=""/>
    <x v="152"/>
    <n v="4.25"/>
  </r>
  <r>
    <n v="35872"/>
    <n v="35357"/>
    <n v="253"/>
    <n v="25301"/>
    <n v="25301"/>
    <x v="121"/>
    <x v="88"/>
    <s v="CVAS"/>
    <x v="4"/>
    <x v="4"/>
    <s v=""/>
    <s v="Music"/>
    <s v=""/>
    <x v="13"/>
    <s v="ACTIVE"/>
    <s v="YES"/>
    <n v="37869"/>
    <s v="Musica Latina"/>
    <s v="NIVEL 0 (0 E)"/>
    <n v="0"/>
    <s v="Weekly subscription"/>
    <n v="641"/>
    <n v="0"/>
    <m/>
    <m/>
    <m/>
    <m/>
    <s v=""/>
    <x v="153"/>
    <n v="4.25"/>
  </r>
  <r>
    <n v="35887"/>
    <m/>
    <n v="588"/>
    <n v="58801"/>
    <n v="58801"/>
    <x v="47"/>
    <x v="0"/>
    <s v="CVAS"/>
    <x v="0"/>
    <x v="0"/>
    <s v="Light TV"/>
    <s v="Light"/>
    <s v="Light TV"/>
    <x v="15"/>
    <s v="ACTIVE"/>
    <s v="YES"/>
    <n v="38184"/>
    <s v="Superescenas XXX"/>
    <s v="NIVEL 12 (5 E)"/>
    <n v="12"/>
    <s v="Weekly subscription"/>
    <n v="908"/>
    <n v="5"/>
    <n v="0.3"/>
    <n v="0.7"/>
    <m/>
    <m/>
    <s v=""/>
    <x v="155"/>
    <n v="4.25"/>
  </r>
  <r>
    <n v="36211"/>
    <m/>
    <n v="342"/>
    <n v="34201"/>
    <n v="34201"/>
    <x v="122"/>
    <x v="41"/>
    <s v="CVAS"/>
    <x v="3"/>
    <x v="3"/>
    <s v=""/>
    <s v="Games"/>
    <s v=""/>
    <x v="8"/>
    <s v="ACTIVE"/>
    <s v="YES"/>
    <n v="38548"/>
    <s v="Susc Sem Play2Me"/>
    <s v="NIVEL 58 (2.99 Euros)"/>
    <n v="58"/>
    <s v="Weekly subscription"/>
    <n v="908"/>
    <n v="2.99"/>
    <n v="0.5"/>
    <n v="0.5"/>
    <m/>
    <m/>
    <s v=""/>
    <x v="14"/>
    <n v="4.25"/>
  </r>
  <r>
    <n v="36251"/>
    <m/>
    <n v="437"/>
    <n v="43701"/>
    <n v="43701"/>
    <x v="123"/>
    <x v="89"/>
    <s v="CVAS"/>
    <x v="4"/>
    <x v="4"/>
    <s v=""/>
    <s v="Music"/>
    <s v=""/>
    <x v="16"/>
    <s v="ACTIVE"/>
    <s v="YES"/>
    <n v="38586"/>
    <s v="Musica Infantil"/>
    <s v="NIVEL 55 (1.49 Euros)"/>
    <n v="55"/>
    <s v="Weekly subscription"/>
    <n v="908"/>
    <n v="1.49"/>
    <n v="0.7"/>
    <n v="0.3"/>
    <m/>
    <m/>
    <s v=""/>
    <x v="156"/>
    <n v="4.25"/>
  </r>
  <r>
    <n v="36268"/>
    <m/>
    <n v="384"/>
    <n v="38401"/>
    <n v="38401"/>
    <x v="47"/>
    <x v="0"/>
    <s v="CVAS"/>
    <x v="0"/>
    <x v="0"/>
    <s v="Light Hard"/>
    <s v="Light"/>
    <s v="Light Hard"/>
    <x v="15"/>
    <s v="ACTIVE"/>
    <s v="YES"/>
    <n v="38604"/>
    <s v="Mansion de Nacho Vidal"/>
    <s v="NIVEL 58 (2.99 Euros)"/>
    <n v="58"/>
    <s v="Weekly subscription"/>
    <n v="908"/>
    <n v="2.99"/>
    <n v="0.4"/>
    <n v="0.6"/>
    <m/>
    <m/>
    <s v=""/>
    <x v="157"/>
    <n v="4.25"/>
  </r>
  <r>
    <n v="36308"/>
    <m/>
    <n v="449"/>
    <n v="44901"/>
    <n v="44901"/>
    <x v="124"/>
    <x v="0"/>
    <s v="CVAS"/>
    <x v="0"/>
    <x v="0"/>
    <s v="Light Hard"/>
    <s v="Light"/>
    <s v="Light Hard"/>
    <x v="9"/>
    <s v="INACTIVE"/>
    <s v="YES"/>
    <n v="38624"/>
    <s v="Playboy"/>
    <s v="NIVEL 58 (2.99 Euros)"/>
    <n v="58"/>
    <s v="Weekly subscription"/>
    <n v="908"/>
    <n v="2.99"/>
    <n v="0.3"/>
    <n v="0.7"/>
    <m/>
    <m/>
    <s v=""/>
    <x v="78"/>
    <n v="4.25"/>
  </r>
  <r>
    <n v="36310"/>
    <m/>
    <n v="449"/>
    <n v="44902"/>
    <n v="44902"/>
    <x v="26"/>
    <x v="0"/>
    <s v="CVAS"/>
    <x v="0"/>
    <x v="0"/>
    <s v="Light Hard"/>
    <s v="Light"/>
    <s v="Light Hard"/>
    <x v="9"/>
    <s v="ACTIVE"/>
    <s v="YES"/>
    <n v="38625"/>
    <s v="Playboy"/>
    <s v="NIVEL 11 (3 E)"/>
    <n v="11"/>
    <s v="PPD"/>
    <n v="1"/>
    <n v="3"/>
    <n v="0.3"/>
    <n v="0.7"/>
    <m/>
    <m/>
    <s v=""/>
    <x v="78"/>
    <n v="1"/>
  </r>
  <r>
    <n v="36394"/>
    <m/>
    <n v="447"/>
    <n v="44701"/>
    <n v="44701"/>
    <x v="47"/>
    <x v="0"/>
    <s v="CVAS"/>
    <x v="0"/>
    <x v="0"/>
    <s v="Light Hard"/>
    <s v="Light"/>
    <s v="Light Hard"/>
    <x v="9"/>
    <s v="ACTIVE"/>
    <s v="YES"/>
    <n v="38686"/>
    <s v="Penthouse"/>
    <s v="NIVEL 58 (2.99 Euros)"/>
    <n v="58"/>
    <s v="Weekly subscription"/>
    <n v="908"/>
    <n v="2.99"/>
    <n v="0.3"/>
    <n v="0.7"/>
    <m/>
    <m/>
    <s v=""/>
    <x v="158"/>
    <n v="4.25"/>
  </r>
  <r>
    <n v="36396"/>
    <m/>
    <n v="447"/>
    <n v="44702"/>
    <n v="44702"/>
    <x v="26"/>
    <x v="0"/>
    <s v="CVAS"/>
    <x v="0"/>
    <x v="0"/>
    <s v="Light Hard"/>
    <s v="Light"/>
    <s v="Light Hard"/>
    <x v="9"/>
    <s v="ACTIVE"/>
    <s v="YES"/>
    <n v="38687"/>
    <s v="Penthouse"/>
    <s v="NIVEL 11 (3 E)"/>
    <n v="11"/>
    <s v="PPD"/>
    <n v="1"/>
    <n v="3"/>
    <n v="0.3"/>
    <n v="0.7"/>
    <m/>
    <m/>
    <s v=""/>
    <x v="158"/>
    <n v="1"/>
  </r>
  <r>
    <n v="36432"/>
    <m/>
    <n v="467"/>
    <n v="46715"/>
    <n v="46715"/>
    <x v="125"/>
    <x v="90"/>
    <s v="CVAS"/>
    <x v="4"/>
    <x v="4"/>
    <s v=""/>
    <s v="Music"/>
    <s v=""/>
    <x v="13"/>
    <s v="ACTIVE"/>
    <s v="YES"/>
    <n v="38707"/>
    <s v="GNFTwar199"/>
    <s v="NIVEL 56 (1.99 Euros)"/>
    <n v="56"/>
    <s v="PPD"/>
    <n v="1"/>
    <n v="1.99"/>
    <n v="0.21390000000000001"/>
    <n v="0.19390000000000002"/>
    <n v="0.46229999999999999"/>
    <n v="0.13"/>
    <s v="WARNER"/>
    <x v="159"/>
    <n v="1"/>
  </r>
  <r>
    <n v="36649"/>
    <m/>
    <n v="444"/>
    <n v="44401"/>
    <n v="44401"/>
    <x v="126"/>
    <x v="91"/>
    <s v="CVAS"/>
    <x v="8"/>
    <x v="6"/>
    <s v=""/>
    <s v="Others"/>
    <s v="News"/>
    <x v="20"/>
    <s v="ACTIVE"/>
    <s v="YES"/>
    <n v="38824"/>
    <s v="Noticias Emocion"/>
    <s v="NIVEL 54 (0.99 Euros)"/>
    <n v="54"/>
    <s v="Weekly subscription"/>
    <n v="908"/>
    <n v="0.99"/>
    <n v="0.5"/>
    <n v="0.5"/>
    <m/>
    <m/>
    <s v=""/>
    <x v="160"/>
    <n v="4.25"/>
  </r>
  <r>
    <n v="36827"/>
    <m/>
    <n v="292"/>
    <n v="29201"/>
    <n v="29201"/>
    <x v="127"/>
    <x v="92"/>
    <s v="CVAS"/>
    <x v="3"/>
    <x v="3"/>
    <s v=""/>
    <s v="Games"/>
    <s v=""/>
    <x v="8"/>
    <s v="ACTIVE"/>
    <s v="YES"/>
    <n v="38904"/>
    <s v="Juegos en tu movil"/>
    <s v="NIVEL 58 (2.99 Euros)"/>
    <n v="58"/>
    <s v="Weekly subscription"/>
    <n v="908"/>
    <n v="2.99"/>
    <n v="0.5"/>
    <n v="0.5"/>
    <m/>
    <m/>
    <s v=""/>
    <x v="161"/>
    <n v="4.25"/>
  </r>
  <r>
    <n v="36894"/>
    <m/>
    <n v="473"/>
    <n v="47301"/>
    <n v="47301"/>
    <x v="128"/>
    <x v="93"/>
    <s v="CVAS"/>
    <x v="3"/>
    <x v="3"/>
    <s v=""/>
    <s v="Games"/>
    <s v=""/>
    <x v="8"/>
    <s v="ACTIVE"/>
    <s v="YES"/>
    <n v="38927"/>
    <s v="JuegoCompletoXHTML0.99"/>
    <s v="NIVEL 54 (0.99 Euros)"/>
    <n v="54"/>
    <s v="PPD"/>
    <n v="1"/>
    <n v="0.99"/>
    <n v="0.5"/>
    <n v="0.5"/>
    <m/>
    <m/>
    <s v=""/>
    <x v="162"/>
    <n v="1"/>
  </r>
  <r>
    <n v="36896"/>
    <m/>
    <n v="473"/>
    <n v="47302"/>
    <n v="47302"/>
    <x v="129"/>
    <x v="94"/>
    <s v="CVAS"/>
    <x v="3"/>
    <x v="3"/>
    <s v=""/>
    <s v="Games"/>
    <s v=""/>
    <x v="8"/>
    <s v="ACTIVE"/>
    <s v="YES"/>
    <n v="38928"/>
    <s v="Juego Play2me"/>
    <s v="NIVEL 56 (1.99 Euros)"/>
    <n v="56"/>
    <s v="PPD"/>
    <n v="1"/>
    <n v="1.99"/>
    <m/>
    <m/>
    <m/>
    <m/>
    <s v=""/>
    <x v="162"/>
    <n v="1"/>
  </r>
  <r>
    <n v="36898"/>
    <m/>
    <n v="473"/>
    <n v="47303"/>
    <n v="47303"/>
    <x v="130"/>
    <x v="95"/>
    <s v="CVAS"/>
    <x v="3"/>
    <x v="3"/>
    <s v=""/>
    <s v="Games"/>
    <s v=""/>
    <x v="8"/>
    <s v="ACTIVE"/>
    <s v="YES"/>
    <n v="38929"/>
    <s v="JuegoCompletoXHTML2.99"/>
    <s v="NIVEL 58 (2.99 Euros)"/>
    <n v="58"/>
    <s v="PPD"/>
    <n v="1"/>
    <n v="2.99"/>
    <n v="0.5"/>
    <n v="0.5"/>
    <m/>
    <m/>
    <s v=""/>
    <x v="162"/>
    <n v="1"/>
  </r>
  <r>
    <n v="36900"/>
    <m/>
    <n v="473"/>
    <n v="47304"/>
    <n v="47304"/>
    <x v="131"/>
    <x v="96"/>
    <s v="CVAS"/>
    <x v="3"/>
    <x v="3"/>
    <s v=""/>
    <s v="Games"/>
    <s v=""/>
    <x v="8"/>
    <s v="ACTIVE"/>
    <s v="YES"/>
    <n v="38930"/>
    <s v="Juego Play2me"/>
    <s v="NIVEL 60 (3.99 Euros)"/>
    <n v="60"/>
    <s v="PPD"/>
    <n v="1"/>
    <n v="3.99"/>
    <n v="0.5"/>
    <n v="0.5"/>
    <m/>
    <m/>
    <s v=""/>
    <x v="162"/>
    <n v="1"/>
  </r>
  <r>
    <n v="37195"/>
    <n v="31876"/>
    <n v="482"/>
    <n v="48201"/>
    <n v="48201"/>
    <x v="132"/>
    <x v="0"/>
    <s v="CVAS"/>
    <x v="0"/>
    <x v="0"/>
    <s v="Light Soft"/>
    <s v="Light"/>
    <s v="Light Soft"/>
    <x v="10"/>
    <s v="ACTIVE"/>
    <s v="YES"/>
    <n v="35014"/>
    <s v="Ex Novias"/>
    <s v="NIVEL 0 (0 Euros)"/>
    <n v="0"/>
    <s v="Weekly subscription"/>
    <n v="641"/>
    <n v="0"/>
    <m/>
    <m/>
    <m/>
    <m/>
    <s v=""/>
    <x v="87"/>
    <n v="4.25"/>
  </r>
  <r>
    <n v="37212"/>
    <n v="31568"/>
    <n v="502"/>
    <n v="50201"/>
    <n v="50201"/>
    <x v="133"/>
    <x v="0"/>
    <s v="CVAS"/>
    <x v="0"/>
    <x v="0"/>
    <s v="Light Hard"/>
    <s v="Light"/>
    <s v="Light Hard"/>
    <x v="10"/>
    <s v="ACTIVE"/>
    <s v="YES"/>
    <n v="34787"/>
    <s v="Digital Sin"/>
    <s v="NIVEL 0 (0 Euros)"/>
    <n v="0"/>
    <s v="Weekly subscription"/>
    <n v="641"/>
    <n v="0"/>
    <m/>
    <m/>
    <m/>
    <m/>
    <s v=""/>
    <x v="110"/>
    <n v="4.25"/>
  </r>
  <r>
    <n v="37288"/>
    <m/>
    <n v="258"/>
    <n v="25805"/>
    <n v="25805"/>
    <x v="134"/>
    <x v="87"/>
    <s v="CVAS"/>
    <x v="3"/>
    <x v="3"/>
    <s v=""/>
    <s v="Games"/>
    <s v=""/>
    <x v="4"/>
    <s v="ACTIVE"/>
    <s v="YES"/>
    <n v="39024"/>
    <s v="Extra Juego Gloft"/>
    <s v="NIVEL 72 (9.99 Euros)"/>
    <n v="72"/>
    <s v="PPD"/>
    <n v="1"/>
    <n v="9.99"/>
    <n v="0.5"/>
    <n v="0.5"/>
    <m/>
    <m/>
    <s v=""/>
    <x v="5"/>
    <n v="1"/>
  </r>
  <r>
    <n v="37290"/>
    <m/>
    <n v="258"/>
    <n v="25806"/>
    <n v="25806"/>
    <x v="134"/>
    <x v="87"/>
    <s v="CVAS"/>
    <x v="3"/>
    <x v="3"/>
    <s v=""/>
    <s v="Games"/>
    <s v=""/>
    <x v="4"/>
    <s v="ACTIVE"/>
    <s v="YES"/>
    <n v="39025"/>
    <s v="Extra Juego Gloft"/>
    <s v="NIVEL 82 (14.99 Euros)"/>
    <n v="82"/>
    <s v="PPD"/>
    <n v="1"/>
    <n v="14.99"/>
    <n v="0.5"/>
    <n v="0.5"/>
    <m/>
    <m/>
    <s v=""/>
    <x v="5"/>
    <n v="1"/>
  </r>
  <r>
    <n v="37448"/>
    <m/>
    <n v="213"/>
    <n v="67"/>
    <n v="21367"/>
    <x v="135"/>
    <x v="97"/>
    <s v="CVAS"/>
    <x v="3"/>
    <x v="3"/>
    <s v=""/>
    <s v="Games"/>
    <s v=""/>
    <x v="4"/>
    <s v="ACTIVE"/>
    <s v="YES"/>
    <n v="39124"/>
    <s v="Juegos Gameloft "/>
    <s v="NIVEL 55 (1.49 Euros)"/>
    <n v="55"/>
    <s v="Weekly subscription"/>
    <n v="908"/>
    <n v="1.49"/>
    <n v="0.5"/>
    <n v="0.5"/>
    <m/>
    <m/>
    <s v=""/>
    <x v="81"/>
    <n v="4.25"/>
  </r>
  <r>
    <n v="37449"/>
    <n v="37448"/>
    <n v="213"/>
    <n v="68"/>
    <n v="21368"/>
    <x v="136"/>
    <x v="97"/>
    <s v="CVAS"/>
    <x v="3"/>
    <x v="3"/>
    <s v=""/>
    <s v="Games"/>
    <s v=""/>
    <x v="4"/>
    <s v="ACTIVE"/>
    <s v="YES"/>
    <n v="39124"/>
    <s v="Juegos Gameloft "/>
    <s v="NIVEL 0 (0 Euros)"/>
    <n v="0"/>
    <s v="Weekly subscription"/>
    <n v="641"/>
    <m/>
    <m/>
    <m/>
    <m/>
    <m/>
    <s v=""/>
    <x v="81"/>
    <n v="4.25"/>
  </r>
  <r>
    <n v="37508"/>
    <m/>
    <n v="597"/>
    <n v="59701"/>
    <n v="59701"/>
    <x v="47"/>
    <x v="0"/>
    <s v="CVAS"/>
    <x v="0"/>
    <x v="0"/>
    <s v="Light TV"/>
    <s v="Light"/>
    <s v="Light TV"/>
    <x v="15"/>
    <s v="INACTIVE"/>
    <s v="YES"/>
    <n v="39164"/>
    <s v="Taquilla X8"/>
    <s v="NIVEL 58 (2.99 Euros)"/>
    <n v="58"/>
    <s v="Weekly subscription"/>
    <n v="908"/>
    <n v="2.99"/>
    <n v="0.3"/>
    <n v="0.7"/>
    <m/>
    <m/>
    <s v=""/>
    <x v="149"/>
    <n v="4.25"/>
  </r>
  <r>
    <n v="37512"/>
    <m/>
    <n v="598"/>
    <n v="59801"/>
    <n v="59801"/>
    <x v="47"/>
    <x v="0"/>
    <s v="CVAS"/>
    <x v="0"/>
    <x v="0"/>
    <s v="Light TV"/>
    <s v="Light"/>
    <s v="Light TV"/>
    <x v="15"/>
    <s v="INACTIVE"/>
    <s v="YES"/>
    <n v="39165"/>
    <s v="Taquilla X9"/>
    <s v="NIVEL 12 (5 E)"/>
    <n v="12"/>
    <s v="Weekly subscription"/>
    <n v="908"/>
    <n v="5"/>
    <n v="0.3"/>
    <n v="0.7"/>
    <m/>
    <m/>
    <s v=""/>
    <x v="149"/>
    <n v="4.25"/>
  </r>
  <r>
    <n v="37516"/>
    <m/>
    <n v="589"/>
    <n v="58901"/>
    <n v="58901"/>
    <x v="47"/>
    <x v="0"/>
    <s v="CVAS"/>
    <x v="0"/>
    <x v="0"/>
    <s v="Light TV"/>
    <s v="Light"/>
    <s v="Light TV"/>
    <x v="15"/>
    <s v="INACTIVE"/>
    <s v="YES"/>
    <n v="39166"/>
    <s v="Taquilla X10"/>
    <s v="NIVEL 58 (2.99 Euros)"/>
    <n v="58"/>
    <s v="Weekly subscription"/>
    <n v="908"/>
    <n v="2.99"/>
    <n v="0.3"/>
    <n v="0.7"/>
    <m/>
    <m/>
    <s v=""/>
    <x v="149"/>
    <n v="4.25"/>
  </r>
  <r>
    <n v="37841"/>
    <m/>
    <n v="236"/>
    <n v="94"/>
    <n v="94"/>
    <x v="137"/>
    <x v="98"/>
    <s v="CVAS"/>
    <x v="3"/>
    <x v="3"/>
    <s v=""/>
    <s v="Games"/>
    <s v=""/>
    <x v="11"/>
    <s v="ACTIVE"/>
    <s v="YES"/>
    <n v="39369"/>
    <s v="Tap to fun"/>
    <s v="NIVEL 58 (2.99 Euros)"/>
    <n v="58"/>
    <s v="Weekly subscription"/>
    <n v="908"/>
    <n v="2.99"/>
    <n v="0.55000000000000004"/>
    <n v="0.45"/>
    <m/>
    <m/>
    <s v=""/>
    <x v="163"/>
    <n v="4.25"/>
  </r>
  <r>
    <n v="37843"/>
    <m/>
    <n v="233"/>
    <n v="91"/>
    <n v="91"/>
    <x v="137"/>
    <x v="99"/>
    <s v="CVAS"/>
    <x v="9"/>
    <x v="2"/>
    <s v=""/>
    <s v="Others"/>
    <s v="Free Time"/>
    <x v="11"/>
    <s v="ACTIVE"/>
    <s v="YES"/>
    <n v="39370"/>
    <s v="Tap the stars"/>
    <s v="NIVEL 56 (1.99 Euros)"/>
    <n v="56"/>
    <s v="Weekly subscription"/>
    <n v="908"/>
    <n v="1.99"/>
    <n v="0.5"/>
    <n v="0.5"/>
    <m/>
    <m/>
    <s v=""/>
    <x v="164"/>
    <n v="4.25"/>
  </r>
  <r>
    <n v="37863"/>
    <m/>
    <n v="573"/>
    <n v="57301"/>
    <n v="57301"/>
    <x v="137"/>
    <x v="0"/>
    <s v="CVAS"/>
    <x v="0"/>
    <x v="0"/>
    <s v="Light Hard"/>
    <s v="Light"/>
    <s v="Light Hard"/>
    <x v="21"/>
    <s v="ACTIVE"/>
    <s v="YES"/>
    <n v="39390"/>
    <s v="Xtreme Movies"/>
    <s v="NIVEL 58 (2.99 Euros)"/>
    <n v="58"/>
    <s v="Weekly subscription"/>
    <n v="908"/>
    <n v="2.99"/>
    <n v="0.3"/>
    <n v="0.7"/>
    <m/>
    <m/>
    <s v=""/>
    <x v="165"/>
    <n v="4.25"/>
  </r>
  <r>
    <n v="37922"/>
    <m/>
    <n v="360"/>
    <n v="3601"/>
    <n v="3601"/>
    <x v="138"/>
    <x v="100"/>
    <s v="CVAS"/>
    <x v="3"/>
    <x v="3"/>
    <s v=""/>
    <s v="Games"/>
    <s v=""/>
    <x v="8"/>
    <s v="ACTIVE"/>
    <s v="YES"/>
    <n v="39450"/>
    <s v="Go Play"/>
    <s v="NIVEL 15 (0.75)"/>
    <n v="15"/>
    <s v="PPD"/>
    <n v="1"/>
    <n v="0.75"/>
    <n v="0.5"/>
    <n v="0.5"/>
    <m/>
    <m/>
    <s v=""/>
    <x v="166"/>
    <n v="1"/>
  </r>
  <r>
    <n v="37924"/>
    <m/>
    <n v="360"/>
    <n v="3602"/>
    <n v="3602"/>
    <x v="139"/>
    <x v="101"/>
    <s v="CVAS"/>
    <x v="3"/>
    <x v="3"/>
    <s v=""/>
    <s v="Games"/>
    <s v=""/>
    <x v="8"/>
    <s v="ACTIVE"/>
    <s v="YES"/>
    <n v="39451"/>
    <s v="Go Play"/>
    <s v="NIVEL 54 (0.99 Euros)"/>
    <n v="54"/>
    <s v="PPD"/>
    <n v="1"/>
    <n v="0.99"/>
    <n v="0.5"/>
    <n v="0.5"/>
    <m/>
    <m/>
    <s v=""/>
    <x v="166"/>
    <n v="1"/>
  </r>
  <r>
    <n v="37941"/>
    <m/>
    <n v="360"/>
    <n v="3603"/>
    <n v="3603"/>
    <x v="140"/>
    <x v="102"/>
    <s v="CVAS"/>
    <x v="3"/>
    <x v="3"/>
    <s v=""/>
    <s v="Games"/>
    <s v=""/>
    <x v="8"/>
    <s v="ACTIVE"/>
    <s v="YES"/>
    <n v="39469"/>
    <s v="Go Play"/>
    <s v="NIVEL 56 (1.99 Euros)"/>
    <n v="56"/>
    <s v="PPD"/>
    <n v="1"/>
    <n v="1.99"/>
    <n v="0.5"/>
    <n v="0.5"/>
    <m/>
    <m/>
    <s v=""/>
    <x v="166"/>
    <n v="1"/>
  </r>
  <r>
    <n v="37943"/>
    <m/>
    <n v="360"/>
    <n v="3604"/>
    <n v="3604"/>
    <x v="141"/>
    <x v="103"/>
    <s v="CVAS"/>
    <x v="3"/>
    <x v="3"/>
    <s v=""/>
    <s v="Games"/>
    <s v=""/>
    <x v="8"/>
    <s v="ACTIVE"/>
    <s v="YES"/>
    <n v="39470"/>
    <s v="Go Play"/>
    <s v="NIVEL 57 (2.49 Euros)"/>
    <n v="57"/>
    <s v="PPD"/>
    <n v="1"/>
    <n v="2.4900000000000002"/>
    <m/>
    <m/>
    <m/>
    <m/>
    <s v=""/>
    <x v="166"/>
    <n v="1"/>
  </r>
  <r>
    <n v="37945"/>
    <m/>
    <n v="360"/>
    <n v="3605"/>
    <n v="3605"/>
    <x v="142"/>
    <x v="104"/>
    <s v="CVAS"/>
    <x v="3"/>
    <x v="3"/>
    <s v=""/>
    <s v="Games"/>
    <s v=""/>
    <x v="8"/>
    <s v="ACTIVE"/>
    <s v="YES"/>
    <n v="39471"/>
    <s v="Go Play"/>
    <s v="NIVEL 58 (2.99 Euros)"/>
    <n v="58"/>
    <s v="PPD"/>
    <n v="1"/>
    <n v="2.99"/>
    <n v="0.5"/>
    <n v="0.5"/>
    <m/>
    <m/>
    <s v=""/>
    <x v="166"/>
    <n v="1"/>
  </r>
  <r>
    <n v="37947"/>
    <m/>
    <n v="362"/>
    <n v="36202"/>
    <n v="36202"/>
    <x v="143"/>
    <x v="105"/>
    <s v="CVAS"/>
    <x v="3"/>
    <x v="3"/>
    <s v=""/>
    <s v="Games"/>
    <s v=""/>
    <x v="8"/>
    <s v="ACTIVE"/>
    <s v="YES"/>
    <n v="37472"/>
    <s v="Juegos Go Play"/>
    <s v="NIVEL 55 (1.49 Euros)"/>
    <n v="55"/>
    <s v="Weekly subscription"/>
    <n v="908"/>
    <n v="1.49"/>
    <n v="0.5"/>
    <n v="0.5"/>
    <m/>
    <m/>
    <s v=""/>
    <x v="166"/>
    <n v="4.25"/>
  </r>
  <r>
    <n v="37951"/>
    <m/>
    <n v="360"/>
    <n v="3607"/>
    <n v="3607"/>
    <x v="144"/>
    <x v="106"/>
    <s v="CVAS"/>
    <x v="3"/>
    <x v="3"/>
    <s v=""/>
    <s v="Games"/>
    <s v=""/>
    <x v="8"/>
    <s v="ACTIVE"/>
    <s v="YES"/>
    <n v="39473"/>
    <s v="Go Play"/>
    <s v="NIVEL 60 (3.99 Euros)"/>
    <n v="60"/>
    <s v="PPD"/>
    <n v="1"/>
    <n v="3.99"/>
    <n v="0.5"/>
    <n v="0.5"/>
    <m/>
    <m/>
    <s v=""/>
    <x v="166"/>
    <n v="1"/>
  </r>
  <r>
    <n v="38661"/>
    <m/>
    <n v="259"/>
    <n v="25901"/>
    <n v="25901"/>
    <x v="145"/>
    <x v="107"/>
    <s v="CVAS"/>
    <x v="3"/>
    <x v="3"/>
    <s v=""/>
    <s v="Games"/>
    <s v=""/>
    <x v="4"/>
    <s v="ACTIVE"/>
    <s v="YES"/>
    <n v="39749"/>
    <s v="Extra juegos"/>
    <s v="NIVEL 15 (0.75)"/>
    <n v="15"/>
    <s v="PPD"/>
    <n v="1"/>
    <n v="0.75"/>
    <n v="0.5"/>
    <n v="0.5"/>
    <m/>
    <m/>
    <s v=""/>
    <x v="167"/>
    <n v="1"/>
  </r>
  <r>
    <n v="38663"/>
    <m/>
    <n v="259"/>
    <n v="25902"/>
    <n v="25902"/>
    <x v="146"/>
    <x v="107"/>
    <s v="CVAS"/>
    <x v="3"/>
    <x v="3"/>
    <s v=""/>
    <s v="Games"/>
    <s v=""/>
    <x v="4"/>
    <s v="ACTIVE"/>
    <s v="YES"/>
    <n v="39750"/>
    <s v="Extra juegos"/>
    <s v="NIVEL 54 (0.99 Euros)"/>
    <n v="54"/>
    <s v="PPD"/>
    <n v="1"/>
    <n v="0.99"/>
    <m/>
    <m/>
    <m/>
    <m/>
    <s v=""/>
    <x v="167"/>
    <n v="1"/>
  </r>
  <r>
    <n v="38665"/>
    <m/>
    <n v="259"/>
    <n v="25903"/>
    <n v="25903"/>
    <x v="147"/>
    <x v="107"/>
    <s v="CVAS"/>
    <x v="3"/>
    <x v="3"/>
    <s v=""/>
    <s v="Games"/>
    <s v=""/>
    <x v="4"/>
    <s v="ACTIVE"/>
    <s v="YES"/>
    <n v="39751"/>
    <s v="Extra juegos"/>
    <s v="NIVEL 56 (1.99 Euros)"/>
    <n v="56"/>
    <s v="PPD"/>
    <n v="1"/>
    <n v="1.99"/>
    <n v="0.5"/>
    <n v="0.5"/>
    <m/>
    <m/>
    <s v=""/>
    <x v="167"/>
    <n v="1"/>
  </r>
  <r>
    <n v="38667"/>
    <m/>
    <n v="259"/>
    <n v="25904"/>
    <n v="25904"/>
    <x v="148"/>
    <x v="107"/>
    <s v="CVAS"/>
    <x v="3"/>
    <x v="3"/>
    <s v=""/>
    <s v="Games"/>
    <s v=""/>
    <x v="4"/>
    <s v="ACTIVE"/>
    <s v="YES"/>
    <n v="39752"/>
    <s v="Extra juegos"/>
    <s v="NIVEL 60 (3.99 Euros)"/>
    <n v="60"/>
    <s v="PPD"/>
    <n v="1"/>
    <n v="3.99"/>
    <n v="0.5"/>
    <n v="0.5"/>
    <m/>
    <m/>
    <s v=""/>
    <x v="167"/>
    <n v="1"/>
  </r>
  <r>
    <n v="38681"/>
    <m/>
    <n v="259"/>
    <n v="25905"/>
    <n v="25905"/>
    <x v="149"/>
    <x v="107"/>
    <s v="CVAS"/>
    <x v="3"/>
    <x v="3"/>
    <s v=""/>
    <s v="Games"/>
    <s v=""/>
    <x v="4"/>
    <s v="ACTIVE"/>
    <s v="YES"/>
    <n v="39769"/>
    <s v="Extra juegos"/>
    <s v="NIVEL 66 (6.99 Euros)"/>
    <n v="66"/>
    <s v="PPD"/>
    <n v="1"/>
    <n v="6.99"/>
    <n v="0.5"/>
    <n v="0.5"/>
    <m/>
    <m/>
    <s v=""/>
    <x v="167"/>
    <n v="1"/>
  </r>
  <r>
    <n v="38683"/>
    <m/>
    <n v="259"/>
    <n v="25906"/>
    <n v="25906"/>
    <x v="150"/>
    <x v="107"/>
    <s v="CVAS"/>
    <x v="3"/>
    <x v="3"/>
    <s v=""/>
    <s v="Games"/>
    <s v=""/>
    <x v="4"/>
    <s v="ACTIVE"/>
    <s v="YES"/>
    <n v="39770"/>
    <s v="Extra juegos"/>
    <s v="NIVEL 68 (7.99 Euros)"/>
    <n v="68"/>
    <s v="PPD"/>
    <n v="1"/>
    <n v="7.99"/>
    <m/>
    <m/>
    <m/>
    <m/>
    <s v=""/>
    <x v="167"/>
    <n v="1"/>
  </r>
  <r>
    <n v="38685"/>
    <m/>
    <n v="259"/>
    <n v="25907"/>
    <n v="25907"/>
    <x v="151"/>
    <x v="107"/>
    <s v="CVAS"/>
    <x v="3"/>
    <x v="3"/>
    <s v=""/>
    <s v="Games"/>
    <s v=""/>
    <x v="4"/>
    <s v="ACTIVE"/>
    <s v="YES"/>
    <n v="39771"/>
    <s v="Extra juegos"/>
    <s v="NIVEL 72 (9.99 Euros)"/>
    <n v="72"/>
    <s v="PPD"/>
    <n v="1"/>
    <n v="9.99"/>
    <m/>
    <m/>
    <m/>
    <m/>
    <s v=""/>
    <x v="167"/>
    <n v="1"/>
  </r>
  <r>
    <n v="38687"/>
    <m/>
    <n v="259"/>
    <n v="25908"/>
    <n v="25908"/>
    <x v="152"/>
    <x v="107"/>
    <s v="CVAS"/>
    <x v="3"/>
    <x v="3"/>
    <s v=""/>
    <s v="Games"/>
    <s v=""/>
    <x v="4"/>
    <s v="ACTIVE"/>
    <s v="YES"/>
    <n v="39772"/>
    <s v="Extra juegos"/>
    <s v="NIVEL 82 (14.99 Euros)"/>
    <n v="82"/>
    <s v="PPD"/>
    <n v="1"/>
    <n v="14.99"/>
    <n v="0.5"/>
    <n v="0.5"/>
    <m/>
    <m/>
    <s v=""/>
    <x v="167"/>
    <n v="1"/>
  </r>
  <r>
    <n v="38903"/>
    <m/>
    <n v="235"/>
    <n v="93"/>
    <n v="93"/>
    <x v="153"/>
    <x v="108"/>
    <s v="CVAS"/>
    <x v="3"/>
    <x v="3"/>
    <s v=""/>
    <s v="Games"/>
    <s v=""/>
    <x v="11"/>
    <s v="ACTIVE"/>
    <s v="YES"/>
    <n v="39870"/>
    <s v="Tap To Fun Promo"/>
    <s v="NIVEL 56 (1.99 Euros)"/>
    <n v="56"/>
    <s v="Weekly subscription"/>
    <n v="908"/>
    <n v="1.99"/>
    <n v="0.55000000000000004"/>
    <n v="0.45"/>
    <m/>
    <m/>
    <s v=""/>
    <x v="163"/>
    <n v="4.25"/>
  </r>
  <r>
    <n v="38904"/>
    <m/>
    <n v="234"/>
    <n v="92"/>
    <n v="92"/>
    <x v="154"/>
    <x v="109"/>
    <s v="CVAS"/>
    <x v="3"/>
    <x v="3"/>
    <s v=""/>
    <s v="Games"/>
    <s v=""/>
    <x v="11"/>
    <s v="ACTIVE"/>
    <s v="YES"/>
    <n v="39869"/>
    <s v="Tap To Fun Basic"/>
    <s v="NIVEL 56 (1.99 Euros)"/>
    <n v="56"/>
    <s v="Weekly subscription"/>
    <n v="908"/>
    <n v="1.99"/>
    <n v="0.55000000000000004"/>
    <n v="0.45"/>
    <m/>
    <m/>
    <s v=""/>
    <x v="163"/>
    <n v="4.25"/>
  </r>
  <r>
    <n v="38941"/>
    <m/>
    <n v="577"/>
    <n v="57701"/>
    <n v="57701"/>
    <x v="155"/>
    <x v="110"/>
    <s v="CVAS"/>
    <x v="0"/>
    <x v="0"/>
    <s v=""/>
    <s v="Light"/>
    <s v="Light Soft"/>
    <x v="20"/>
    <s v="ACTIVE"/>
    <s v="YES"/>
    <n v="39889"/>
    <s v="Rincon Prohibido"/>
    <s v="NIVEL 135 (1.23 Euros)"/>
    <n v="135"/>
    <s v="Weekly subscription"/>
    <n v="908"/>
    <n v="1.23"/>
    <n v="0.4"/>
    <n v="0.6"/>
    <m/>
    <m/>
    <s v=""/>
    <x v="168"/>
    <n v="4.25"/>
  </r>
  <r>
    <n v="38967"/>
    <m/>
    <n v="565"/>
    <n v="56501"/>
    <n v="56501"/>
    <x v="156"/>
    <x v="111"/>
    <s v="CVAS"/>
    <x v="10"/>
    <x v="2"/>
    <s v=""/>
    <s v="Others"/>
    <s v="Free Time"/>
    <x v="22"/>
    <s v="ACTIVE"/>
    <s v="YES"/>
    <n v="39910"/>
    <s v="EnglishPills"/>
    <s v="NIVEL 128 (1.64 Euros)"/>
    <n v="128"/>
    <s v="Weekly subscription"/>
    <n v="908"/>
    <n v="1.64"/>
    <n v="0.5"/>
    <n v="0.5"/>
    <m/>
    <m/>
    <s v=""/>
    <x v="169"/>
    <n v="4.25"/>
  </r>
  <r>
    <n v="38971"/>
    <m/>
    <n v="567"/>
    <n v="56701"/>
    <n v="56701"/>
    <x v="157"/>
    <x v="112"/>
    <s v="CVAS"/>
    <x v="10"/>
    <x v="7"/>
    <s v=""/>
    <s v="Others"/>
    <s v="Beauty and Health"/>
    <x v="22"/>
    <s v="ACTIVE"/>
    <s v="YES"/>
    <n v="39911"/>
    <s v="Eurosalud"/>
    <s v="NIVEL 135 (1.23 Euros)"/>
    <n v="135"/>
    <s v="Weekly subscription"/>
    <n v="908"/>
    <n v="1.23"/>
    <n v="0.45"/>
    <n v="0.55000000000000004"/>
    <m/>
    <m/>
    <s v=""/>
    <x v="170"/>
    <n v="4.25"/>
  </r>
  <r>
    <n v="38972"/>
    <n v="38971"/>
    <n v="567"/>
    <n v="56702"/>
    <n v="56702"/>
    <x v="158"/>
    <x v="112"/>
    <s v="CVAS"/>
    <x v="10"/>
    <x v="7"/>
    <s v=""/>
    <s v="Others"/>
    <s v="Beauty and Health"/>
    <x v="22"/>
    <s v="ACTIVE"/>
    <s v="YES"/>
    <n v="39911"/>
    <s v="Eurosalud"/>
    <s v="NIVEL 0 (0 Euros)"/>
    <n v="0"/>
    <s v="Weekly subscription"/>
    <n v="641"/>
    <n v="0"/>
    <m/>
    <m/>
    <m/>
    <m/>
    <s v=""/>
    <x v="170"/>
    <n v="4.25"/>
  </r>
  <r>
    <n v="39015"/>
    <m/>
    <n v="571"/>
    <n v="57101"/>
    <n v="57101"/>
    <x v="159"/>
    <x v="113"/>
    <s v="CVAS"/>
    <x v="10"/>
    <x v="2"/>
    <s v=""/>
    <s v="Others"/>
    <s v="Free Time"/>
    <x v="22"/>
    <s v="ACTIVE"/>
    <s v="YES"/>
    <n v="39931"/>
    <s v="Taromancia"/>
    <s v="NIVEL 128 (1.64 Euros)"/>
    <n v="128"/>
    <s v="Weekly subscription"/>
    <n v="908"/>
    <n v="1.64"/>
    <n v="0.5"/>
    <n v="0.5"/>
    <m/>
    <m/>
    <s v=""/>
    <x v="171"/>
    <n v="4.25"/>
  </r>
  <r>
    <n v="39016"/>
    <n v="39015"/>
    <n v="571"/>
    <n v="57102"/>
    <n v="57102"/>
    <x v="160"/>
    <x v="113"/>
    <s v="CVAS"/>
    <x v="10"/>
    <x v="2"/>
    <s v=""/>
    <s v="Others"/>
    <s v="Free Time"/>
    <x v="22"/>
    <s v="ACTIVE"/>
    <s v="YES"/>
    <n v="39931"/>
    <s v="Taromancia"/>
    <s v="NIVEL 0 (0 Euros)"/>
    <n v="0"/>
    <s v="Weekly subscription"/>
    <n v="641"/>
    <n v="0"/>
    <m/>
    <m/>
    <m/>
    <m/>
    <s v=""/>
    <x v="171"/>
    <n v="4.25"/>
  </r>
  <r>
    <n v="39041"/>
    <m/>
    <n v="286"/>
    <n v="28601"/>
    <n v="28601"/>
    <x v="161"/>
    <x v="0"/>
    <s v="CVAS"/>
    <x v="0"/>
    <x v="0"/>
    <s v="Light Hard"/>
    <s v="Light"/>
    <s v="Light Hard"/>
    <x v="8"/>
    <s v="INACTIVE"/>
    <s v="YES"/>
    <n v="39969"/>
    <s v="Orgasmatron"/>
    <s v="NIVEL 58 (2.99 Euros)"/>
    <n v="58"/>
    <s v="Weekly subscription"/>
    <n v="908"/>
    <n v="2.99"/>
    <n v="0.3"/>
    <n v="0.7"/>
    <m/>
    <m/>
    <s v=""/>
    <x v="172"/>
    <n v="4.25"/>
  </r>
  <r>
    <n v="39071"/>
    <m/>
    <m/>
    <m/>
    <m/>
    <x v="162"/>
    <x v="114"/>
    <s v="CVAS"/>
    <x v="5"/>
    <x v="8"/>
    <m/>
    <s v="Others"/>
    <m/>
    <x v="23"/>
    <s v="INACTIVE"/>
    <s v="YES"/>
    <m/>
    <s v="Teledibujitos"/>
    <m/>
    <m/>
    <s v="Weekly subscription"/>
    <m/>
    <m/>
    <m/>
    <m/>
    <m/>
    <m/>
    <m/>
    <x v="173"/>
    <n v="4.25"/>
  </r>
  <r>
    <n v="39161"/>
    <m/>
    <n v="311"/>
    <n v="31101"/>
    <n v="31101"/>
    <x v="163"/>
    <x v="0"/>
    <s v="CVAS"/>
    <x v="0"/>
    <x v="0"/>
    <s v="Light Hard"/>
    <s v="Light"/>
    <s v="Light Hard"/>
    <x v="0"/>
    <s v="INACTIVE"/>
    <s v="YES"/>
    <n v="40009"/>
    <s v="Mi Sex Video"/>
    <s v="NIVEL 58 (2.99 Euros)"/>
    <n v="58"/>
    <s v="Weekly subscription"/>
    <n v="908"/>
    <n v="2.99"/>
    <n v="0.3"/>
    <n v="0.7"/>
    <m/>
    <m/>
    <s v=""/>
    <x v="174"/>
    <n v="4.25"/>
  </r>
  <r>
    <n v="39181"/>
    <m/>
    <n v="311"/>
    <n v="31102"/>
    <n v="31102"/>
    <x v="164"/>
    <x v="0"/>
    <s v="CVAS"/>
    <x v="0"/>
    <x v="0"/>
    <s v="Light Hard"/>
    <s v="Light"/>
    <s v="Light Hard"/>
    <x v="0"/>
    <s v="ACTIVE"/>
    <s v="YES"/>
    <n v="40029"/>
    <s v="Mi Sex Video"/>
    <s v="NIVEL 58 (2.99 Euros)"/>
    <n v="58"/>
    <s v="PPD"/>
    <n v="1"/>
    <n v="2.99"/>
    <n v="0.3"/>
    <n v="0.7"/>
    <m/>
    <m/>
    <s v=""/>
    <x v="174"/>
    <n v="1"/>
  </r>
  <r>
    <n v="39301"/>
    <m/>
    <n v="439"/>
    <n v="43902"/>
    <n v="43902"/>
    <x v="165"/>
    <x v="115"/>
    <s v="CVAS"/>
    <x v="10"/>
    <x v="7"/>
    <s v=""/>
    <s v="Others"/>
    <s v="Beauty and Health"/>
    <x v="20"/>
    <s v="ACTIVE"/>
    <s v="YES"/>
    <n v="40129"/>
    <s v="Yo Mujer y +"/>
    <s v="NIVEL 130 (0.82 Euros)"/>
    <n v="130"/>
    <s v="Weekly subscription"/>
    <n v="908"/>
    <n v="0.82"/>
    <n v="0.5"/>
    <n v="0.5"/>
    <m/>
    <m/>
    <s v=""/>
    <x v="175"/>
    <n v="4.25"/>
  </r>
  <r>
    <n v="39302"/>
    <n v="39301"/>
    <n v="439"/>
    <n v="43901"/>
    <n v="43901"/>
    <x v="166"/>
    <x v="115"/>
    <s v="CVAS"/>
    <x v="10"/>
    <x v="7"/>
    <s v=""/>
    <s v="Others"/>
    <s v="Beauty and Health"/>
    <x v="20"/>
    <s v="ACTIVE"/>
    <s v="YES"/>
    <n v="40129"/>
    <s v="Yo Mujer y +"/>
    <s v="NIVEL 0 (0 Euros)"/>
    <n v="0"/>
    <s v="Weekly subscription"/>
    <n v="641"/>
    <n v="0"/>
    <m/>
    <m/>
    <m/>
    <m/>
    <s v=""/>
    <x v="175"/>
    <n v="4.25"/>
  </r>
  <r>
    <n v="39321"/>
    <m/>
    <n v="438"/>
    <n v="43802"/>
    <n v="43802"/>
    <x v="167"/>
    <x v="116"/>
    <s v="CVAS"/>
    <x v="10"/>
    <x v="7"/>
    <s v=""/>
    <s v="Others"/>
    <s v="Beauty and Health"/>
    <x v="20"/>
    <s v="ACTIVE"/>
    <s v="YES"/>
    <n v="40149"/>
    <s v="Cuidate Mejor"/>
    <s v="NIVEL 130 (0,82 Euros)"/>
    <n v="130"/>
    <s v="Weekly subscription"/>
    <n v="908"/>
    <n v="0.82"/>
    <n v="0.5"/>
    <n v="0.5"/>
    <m/>
    <m/>
    <s v=""/>
    <x v="176"/>
    <n v="4.25"/>
  </r>
  <r>
    <n v="39322"/>
    <n v="39321"/>
    <n v="438"/>
    <n v="43801"/>
    <n v="43801"/>
    <x v="168"/>
    <x v="116"/>
    <s v="CVAS"/>
    <x v="10"/>
    <x v="7"/>
    <s v=""/>
    <s v="Others"/>
    <s v="Beauty and Health"/>
    <x v="20"/>
    <s v="ACTIVE"/>
    <s v="YES"/>
    <n v="40149"/>
    <s v="Cuidate Mejor"/>
    <s v="NIVEL 0 (0 Euros)"/>
    <n v="0"/>
    <s v="Weekly subscription"/>
    <n v="641"/>
    <n v="0"/>
    <m/>
    <m/>
    <m/>
    <m/>
    <s v=""/>
    <x v="176"/>
    <n v="4.25"/>
  </r>
  <r>
    <n v="39361"/>
    <m/>
    <n v="300"/>
    <n v="30001"/>
    <n v="30001"/>
    <x v="169"/>
    <x v="0"/>
    <s v="CVAS"/>
    <x v="0"/>
    <x v="0"/>
    <s v="Light Hard"/>
    <s v="Light"/>
    <s v="Light Hard"/>
    <x v="0"/>
    <s v="INACTIVE"/>
    <s v="YES"/>
    <n v="40189"/>
    <s v="Cam Girls"/>
    <s v="NIVEL 12 (5 Euros)"/>
    <n v="12"/>
    <s v="Weekly subscription"/>
    <n v="908"/>
    <n v="5"/>
    <n v="0.3"/>
    <n v="0.7"/>
    <m/>
    <m/>
    <s v=""/>
    <x v="177"/>
    <n v="4.25"/>
  </r>
  <r>
    <n v="39480"/>
    <m/>
    <n v="445"/>
    <n v="44501"/>
    <n v="44501"/>
    <x v="170"/>
    <x v="0"/>
    <s v="CVAS"/>
    <x v="0"/>
    <x v="0"/>
    <s v="Light Hard"/>
    <s v="Light"/>
    <s v="Light Hard"/>
    <x v="24"/>
    <s v="ACTIVE"/>
    <s v="YES"/>
    <n v="40209"/>
    <s v="Relatos XXX"/>
    <s v="NIVEL 137 (2.47 Euros)"/>
    <n v="137"/>
    <s v="Weekly subscription"/>
    <n v="908"/>
    <n v="2.4700000000000002"/>
    <n v="0.3"/>
    <n v="0.7"/>
    <m/>
    <m/>
    <s v=""/>
    <x v="178"/>
    <n v="4.25"/>
  </r>
  <r>
    <n v="39561"/>
    <m/>
    <n v="288"/>
    <n v="28801"/>
    <n v="28801"/>
    <x v="171"/>
    <x v="0"/>
    <s v="CVAS"/>
    <x v="0"/>
    <x v="0"/>
    <s v="Light Hard"/>
    <s v="Light"/>
    <s v="Light Hard"/>
    <x v="8"/>
    <s v="ACTIVE"/>
    <s v="YES"/>
    <n v="40269"/>
    <s v="Vicious Cam"/>
    <s v="NIVEL 59 (3.49 Euros)"/>
    <n v="59"/>
    <s v="Weekly subscription"/>
    <n v="908"/>
    <n v="3.49"/>
    <n v="0.3"/>
    <n v="0.7"/>
    <m/>
    <m/>
    <s v=""/>
    <x v="179"/>
    <n v="4.25"/>
  </r>
  <r>
    <n v="39581"/>
    <m/>
    <n v="468"/>
    <n v="46801"/>
    <n v="46801"/>
    <x v="172"/>
    <x v="117"/>
    <s v="CVAS"/>
    <x v="4"/>
    <x v="4"/>
    <s v=""/>
    <s v="Music"/>
    <s v=""/>
    <x v="13"/>
    <s v="ACTIVE"/>
    <s v="YES"/>
    <n v="40289"/>
    <s v="Musica Clasica y Jazz"/>
    <s v="NIVEL 54 (0.99 Euros)"/>
    <n v="54"/>
    <s v="Weekly subscription"/>
    <n v="908"/>
    <n v="0.99"/>
    <n v="0.8"/>
    <n v="0.2"/>
    <m/>
    <m/>
    <s v=""/>
    <x v="180"/>
    <n v="4.25"/>
  </r>
  <r>
    <n v="39582"/>
    <n v="39581"/>
    <n v="468"/>
    <n v="46802"/>
    <n v="46802"/>
    <x v="173"/>
    <x v="117"/>
    <s v="CVAS"/>
    <x v="4"/>
    <x v="4"/>
    <s v=""/>
    <s v="Music"/>
    <s v=""/>
    <x v="13"/>
    <s v="ACTIVE"/>
    <s v="YES"/>
    <n v="40289"/>
    <s v="Musica Clasica y Jazz"/>
    <s v="NIVEL 0 (0 Euros)"/>
    <n v="0"/>
    <s v="Weekly subscription"/>
    <n v="641"/>
    <n v="0"/>
    <m/>
    <m/>
    <m/>
    <m/>
    <s v=""/>
    <x v="180"/>
    <n v="4.25"/>
  </r>
  <r>
    <n v="39621"/>
    <m/>
    <n v="385"/>
    <n v="38501"/>
    <n v="38501"/>
    <x v="174"/>
    <x v="0"/>
    <s v="CVAS"/>
    <x v="0"/>
    <x v="0"/>
    <s v="Light Hard"/>
    <s v="Light"/>
    <s v="Light Hard"/>
    <x v="15"/>
    <s v="ACTIVE"/>
    <s v="YES"/>
    <n v="40309"/>
    <s v="Porno Gafas"/>
    <s v="NIVEL 58 (2.99 Euros)"/>
    <n v="58"/>
    <s v="Weekly subscription"/>
    <n v="908"/>
    <n v="2.99"/>
    <n v="0.4"/>
    <n v="0.6"/>
    <m/>
    <m/>
    <s v=""/>
    <x v="181"/>
    <n v="4.25"/>
  </r>
  <r>
    <n v="39681"/>
    <m/>
    <n v="362"/>
    <n v="36203"/>
    <n v="36203"/>
    <x v="175"/>
    <x v="118"/>
    <s v="CVAS"/>
    <x v="3"/>
    <x v="3"/>
    <s v=""/>
    <s v="Games"/>
    <s v=""/>
    <x v="8"/>
    <s v="ACTIVE"/>
    <s v="YES"/>
    <n v="40329"/>
    <s v="Juegos GoPlay"/>
    <s v="NIVEL 128 (1.64 Euros)"/>
    <n v="128"/>
    <s v="Weekly subscription"/>
    <n v="908"/>
    <n v="1.64"/>
    <n v="0.5"/>
    <n v="0.5"/>
    <m/>
    <m/>
    <s v=""/>
    <x v="166"/>
    <n v="4.25"/>
  </r>
  <r>
    <n v="39682"/>
    <n v="39681"/>
    <n v="362"/>
    <n v="36201"/>
    <n v="36201"/>
    <x v="176"/>
    <x v="118"/>
    <s v="CVAS"/>
    <x v="3"/>
    <x v="3"/>
    <s v=""/>
    <s v="Games"/>
    <s v=""/>
    <x v="8"/>
    <s v="ACTIVE"/>
    <s v="YES"/>
    <n v="40329"/>
    <s v="Juegos GoPlay"/>
    <s v="NIVEL 0 (0 Euros)"/>
    <n v="0"/>
    <s v="Weekly subscription"/>
    <n v="641"/>
    <n v="0"/>
    <m/>
    <m/>
    <m/>
    <m/>
    <s v=""/>
    <x v="166"/>
    <n v="4.25"/>
  </r>
  <r>
    <n v="39721"/>
    <m/>
    <n v="349"/>
    <n v="34901"/>
    <n v="34901"/>
    <x v="177"/>
    <x v="119"/>
    <s v="CVAS"/>
    <x v="3"/>
    <x v="3"/>
    <s v=""/>
    <s v="Games"/>
    <s v=""/>
    <x v="11"/>
    <s v="ACTIVE"/>
    <s v="YES"/>
    <n v="40349"/>
    <s v="Game Shaker"/>
    <s v="NIVEL 128 (1.64 Euros)"/>
    <n v="128"/>
    <s v="Weekly subscription"/>
    <n v="908"/>
    <n v="1.64"/>
    <n v="0.45"/>
    <n v="0.55000000000000004"/>
    <m/>
    <m/>
    <s v=""/>
    <x v="182"/>
    <n v="4.25"/>
  </r>
  <r>
    <n v="39923"/>
    <m/>
    <n v="241"/>
    <n v="24101"/>
    <n v="24101"/>
    <x v="178"/>
    <x v="120"/>
    <s v="CVAS"/>
    <x v="5"/>
    <x v="2"/>
    <s v=""/>
    <s v="Others"/>
    <s v="Free Time"/>
    <x v="11"/>
    <s v="ACTIVE"/>
    <s v="YES"/>
    <n v="40469"/>
    <s v="Znack Video"/>
    <s v="NIVEL 135 (1.23 Euros)"/>
    <n v="135"/>
    <s v="Weekly subscription"/>
    <n v="908"/>
    <n v="1.23"/>
    <n v="0.45"/>
    <n v="0.55000000000000004"/>
    <m/>
    <m/>
    <s v=""/>
    <x v="183"/>
    <n v="4.25"/>
  </r>
  <r>
    <n v="40021"/>
    <m/>
    <n v="473"/>
    <n v="47305"/>
    <n v="47305"/>
    <x v="179"/>
    <x v="121"/>
    <s v="CVAS"/>
    <x v="3"/>
    <x v="3"/>
    <s v=""/>
    <s v="Games"/>
    <s v=""/>
    <x v="8"/>
    <s v="ACTIVE"/>
    <s v="YES"/>
    <n v="40509"/>
    <s v="Extra Juego Play2Me"/>
    <s v="NIVEL 62 (4.99 Euros)"/>
    <n v="62"/>
    <s v="PPD"/>
    <n v="1"/>
    <n v="4.99"/>
    <n v="0.5"/>
    <n v="0.5"/>
    <m/>
    <m/>
    <s v=""/>
    <x v="184"/>
    <n v="1"/>
  </r>
  <r>
    <n v="40061"/>
    <m/>
    <n v="434"/>
    <n v="43402"/>
    <n v="43402"/>
    <x v="180"/>
    <x v="122"/>
    <s v="CVAS"/>
    <x v="10"/>
    <x v="7"/>
    <s v=""/>
    <s v="Others"/>
    <s v="Beauty and Health"/>
    <x v="13"/>
    <s v="ACTIVE"/>
    <s v="YES"/>
    <n v="40529"/>
    <s v="Fashion Bip"/>
    <s v="NIVEL 135 (1.23 Euros)"/>
    <n v="135"/>
    <s v="Weekly subscription"/>
    <n v="908"/>
    <n v="1.23"/>
    <n v="0.6"/>
    <n v="0.4"/>
    <m/>
    <m/>
    <s v=""/>
    <x v="185"/>
    <n v="4.25"/>
  </r>
  <r>
    <n v="40062"/>
    <n v="40061"/>
    <n v="434"/>
    <n v="43401"/>
    <n v="43401"/>
    <x v="181"/>
    <x v="122"/>
    <s v="CVAS"/>
    <x v="10"/>
    <x v="7"/>
    <s v=""/>
    <s v="Others"/>
    <s v="Beauty and Health"/>
    <x v="13"/>
    <s v="ACTIVE"/>
    <s v="YES"/>
    <n v="40529"/>
    <s v="Fashion Bip"/>
    <s v="NIVEL 0 (0 Euros)"/>
    <n v="0"/>
    <s v="Weekly subscription"/>
    <n v="641"/>
    <n v="0"/>
    <m/>
    <m/>
    <m/>
    <m/>
    <s v=""/>
    <x v="185"/>
    <n v="4.25"/>
  </r>
  <r>
    <n v="40101"/>
    <m/>
    <n v="256"/>
    <n v="25601"/>
    <n v="25601"/>
    <x v="182"/>
    <x v="123"/>
    <s v="CVAS"/>
    <x v="3"/>
    <x v="3"/>
    <s v=""/>
    <s v="Games"/>
    <s v=""/>
    <x v="4"/>
    <s v="ACTIVE"/>
    <s v="YES"/>
    <n v="40549"/>
    <s v="Funatic Games"/>
    <s v="NIVEL 137 (2.47 Euros)"/>
    <n v="137"/>
    <s v="Weekly subscription"/>
    <n v="908"/>
    <n v="2.4700000000000002"/>
    <n v="0.5"/>
    <n v="0.5"/>
    <m/>
    <m/>
    <s v=""/>
    <x v="5"/>
    <n v="4.25"/>
  </r>
  <r>
    <n v="40161"/>
    <m/>
    <n v="226"/>
    <n v="22602"/>
    <n v="22602"/>
    <x v="183"/>
    <x v="124"/>
    <s v="CVAS"/>
    <x v="10"/>
    <x v="8"/>
    <s v=""/>
    <s v="Others"/>
    <s v="Kids"/>
    <x v="11"/>
    <s v="ACTIVE"/>
    <s v="YES"/>
    <n v="40589"/>
    <s v="Little Smart Planet"/>
    <s v="NIVEL 130 (0.82 Euros)"/>
    <n v="130"/>
    <s v="Weekly subscription"/>
    <n v="908"/>
    <n v="0.82"/>
    <n v="0.5"/>
    <n v="0.5"/>
    <m/>
    <m/>
    <s v=""/>
    <x v="186"/>
    <n v="4.25"/>
  </r>
  <r>
    <n v="40162"/>
    <n v="40161"/>
    <n v="226"/>
    <n v="22601"/>
    <n v="22601"/>
    <x v="184"/>
    <x v="124"/>
    <s v="CVAS"/>
    <x v="10"/>
    <x v="8"/>
    <s v=""/>
    <s v="Others"/>
    <s v="Kids"/>
    <x v="11"/>
    <s v="ACTIVE"/>
    <s v="YES"/>
    <n v="40589"/>
    <s v="Little Smart Planet"/>
    <s v="NIVEL 0 (0 Euros)"/>
    <n v="0"/>
    <s v="Weekly subscription"/>
    <n v="641"/>
    <n v="0"/>
    <m/>
    <m/>
    <m/>
    <m/>
    <s v=""/>
    <x v="186"/>
    <n v="4.25"/>
  </r>
  <r>
    <n v="40221"/>
    <m/>
    <n v="299"/>
    <n v="29901"/>
    <n v="29901"/>
    <x v="185"/>
    <x v="125"/>
    <s v="CVAS"/>
    <x v="5"/>
    <x v="2"/>
    <s v=""/>
    <s v="Others"/>
    <s v="Free Time"/>
    <x v="0"/>
    <s v="ACTIVE"/>
    <s v="YES"/>
    <n v="40609"/>
    <s v="Video Horoscopo"/>
    <s v="NIVEL 136 (2.06 Euros)"/>
    <n v="136"/>
    <s v="Weekly subscription"/>
    <n v="908"/>
    <n v="2.06"/>
    <n v="0.45"/>
    <n v="0.55000000000000004"/>
    <m/>
    <m/>
    <s v=""/>
    <x v="187"/>
    <n v="4.25"/>
  </r>
  <r>
    <n v="40261"/>
    <m/>
    <n v="569"/>
    <n v="56901"/>
    <n v="56901"/>
    <x v="186"/>
    <x v="126"/>
    <s v="CVAS"/>
    <x v="3"/>
    <x v="3"/>
    <s v=""/>
    <s v="Games"/>
    <s v=""/>
    <x v="22"/>
    <s v="ACTIVE"/>
    <s v="YES"/>
    <n v="40629"/>
    <s v="Games Club"/>
    <s v="NIVEL 137 (2.47 Euros)"/>
    <n v="137"/>
    <s v="Weekly subscription"/>
    <n v="908"/>
    <n v="2.4700000000000002"/>
    <n v="0.5"/>
    <n v="0.5"/>
    <m/>
    <m/>
    <s v=""/>
    <x v="188"/>
    <n v="4.25"/>
  </r>
  <r>
    <n v="40341"/>
    <m/>
    <n v="353"/>
    <n v="35302"/>
    <n v="35302"/>
    <x v="187"/>
    <x v="127"/>
    <s v="CVAS"/>
    <x v="5"/>
    <x v="2"/>
    <s v=""/>
    <s v="Others"/>
    <s v="Free Time"/>
    <x v="6"/>
    <s v="ACTIVE"/>
    <s v="YES"/>
    <n v="40651"/>
    <s v="Golazos"/>
    <s v="NIVEL 135 (1.23 Euros)"/>
    <n v="135"/>
    <s v="Weekly subscription"/>
    <n v="908"/>
    <n v="1.23"/>
    <n v="0.45"/>
    <n v="0.55000000000000004"/>
    <m/>
    <m/>
    <s v=""/>
    <x v="189"/>
    <n v="4.25"/>
  </r>
  <r>
    <n v="40342"/>
    <n v="40341"/>
    <n v="353"/>
    <n v="35301"/>
    <n v="35301"/>
    <x v="188"/>
    <x v="127"/>
    <s v="CVAS"/>
    <x v="5"/>
    <x v="2"/>
    <s v=""/>
    <s v="Others"/>
    <s v="Free Time"/>
    <x v="6"/>
    <s v="ACTIVE"/>
    <s v="YES"/>
    <n v="40651"/>
    <s v="Golazos"/>
    <s v="NIVEL 0 (0 Euros)"/>
    <n v="0"/>
    <s v="Weekly subscription"/>
    <n v="641"/>
    <n v="0"/>
    <m/>
    <m/>
    <m/>
    <m/>
    <s v=""/>
    <x v="189"/>
    <n v="4.25"/>
  </r>
  <r>
    <n v="40402"/>
    <m/>
    <n v="443"/>
    <n v="44301"/>
    <n v="44301"/>
    <x v="189"/>
    <x v="0"/>
    <s v="CVAS"/>
    <x v="0"/>
    <x v="0"/>
    <s v="Light Hard"/>
    <s v="Light"/>
    <s v="Light Hard"/>
    <x v="24"/>
    <s v="ACTIVE"/>
    <s v="YES"/>
    <n v="40670"/>
    <s v="21Naturals"/>
    <s v="NIVEL 58 (2.99 Euros)"/>
    <n v="58"/>
    <s v="Weekly subscription"/>
    <n v="908"/>
    <n v="2.99"/>
    <n v="0.3"/>
    <n v="0.7"/>
    <m/>
    <m/>
    <s v=""/>
    <x v="190"/>
    <n v="4.25"/>
  </r>
  <r>
    <n v="40545"/>
    <m/>
    <n v="441"/>
    <n v="44101"/>
    <n v="44101"/>
    <x v="190"/>
    <x v="0"/>
    <s v="CVAS"/>
    <x v="0"/>
    <x v="0"/>
    <s v="Light Hard"/>
    <s v="Light"/>
    <s v="Light Hard"/>
    <x v="24"/>
    <s v="ACTIVE"/>
    <s v="YES"/>
    <n v="40691"/>
    <s v="Viciosas XXX"/>
    <s v="NIVEL 137 (2.47 Euros)"/>
    <n v="137"/>
    <s v="Weekly subscription"/>
    <n v="908"/>
    <n v="2.4700000000000002"/>
    <n v="0.3"/>
    <n v="0.7"/>
    <m/>
    <m/>
    <s v=""/>
    <x v="191"/>
    <n v="4.25"/>
  </r>
  <r>
    <n v="40562"/>
    <m/>
    <n v="472"/>
    <n v="47201"/>
    <n v="47201"/>
    <x v="191"/>
    <x v="128"/>
    <s v="CVAS"/>
    <x v="4"/>
    <x v="4"/>
    <s v=""/>
    <s v="Music"/>
    <s v=""/>
    <x v="13"/>
    <s v="ACTIVE"/>
    <s v="YES"/>
    <n v="40693"/>
    <s v="Musica x Generos"/>
    <s v="NIVEL 105 (1,48 Euros)"/>
    <n v="105"/>
    <s v="Weekly subscription"/>
    <n v="908"/>
    <n v="1.48"/>
    <n v="0.8"/>
    <n v="0.2"/>
    <m/>
    <m/>
    <s v=""/>
    <x v="192"/>
    <n v="4.25"/>
  </r>
  <r>
    <n v="40563"/>
    <n v="40562"/>
    <n v="472"/>
    <n v="47202"/>
    <n v="47202"/>
    <x v="192"/>
    <x v="128"/>
    <s v="CVAS"/>
    <x v="4"/>
    <x v="4"/>
    <s v=""/>
    <s v="Music"/>
    <s v=""/>
    <x v="13"/>
    <s v="ACTIVE"/>
    <s v="YES"/>
    <n v="40693"/>
    <s v="Musica x Generos"/>
    <s v="NIVEL 0 (0 Euros)"/>
    <n v="0"/>
    <s v="Weekly subscription"/>
    <n v="641"/>
    <n v="0"/>
    <m/>
    <m/>
    <m/>
    <m/>
    <s v=""/>
    <x v="192"/>
    <n v="4.25"/>
  </r>
  <r>
    <n v="40651"/>
    <m/>
    <n v="312"/>
    <n v="31201"/>
    <n v="31201"/>
    <x v="193"/>
    <x v="129"/>
    <s v="CVAS"/>
    <x v="5"/>
    <x v="7"/>
    <s v=""/>
    <s v="Others"/>
    <s v="Beauty and Health"/>
    <x v="0"/>
    <s v="ACTIVE"/>
    <s v="YES"/>
    <n v="40752"/>
    <s v="Natural Beauty"/>
    <s v="NIVEL 136 (2.06 Euros)"/>
    <n v="136"/>
    <s v="Weekly subscription"/>
    <n v="908"/>
    <n v="2.06"/>
    <n v="0.45"/>
    <n v="0.55000000000000004"/>
    <m/>
    <m/>
    <s v=""/>
    <x v="193"/>
    <n v="4.25"/>
  </r>
  <r>
    <n v="40675"/>
    <m/>
    <n v="211"/>
    <n v="63"/>
    <n v="21163"/>
    <x v="194"/>
    <x v="130"/>
    <s v="CVAS"/>
    <x v="5"/>
    <x v="2"/>
    <s v=""/>
    <s v="Others"/>
    <s v="Free Time"/>
    <x v="0"/>
    <s v="ACTIVE"/>
    <s v="YES"/>
    <n v="40773"/>
    <s v="Videos Lo + Mejor"/>
    <s v="NIVEL 136 (2.06 Euros)"/>
    <n v="136"/>
    <s v="Weekly subscription"/>
    <n v="908"/>
    <n v="2.06"/>
    <n v="0.45"/>
    <n v="0.55000000000000004"/>
    <m/>
    <m/>
    <s v=""/>
    <x v="194"/>
    <n v="4.25"/>
  </r>
  <r>
    <n v="40683"/>
    <m/>
    <n v="442"/>
    <n v="44201"/>
    <n v="44201"/>
    <x v="195"/>
    <x v="131"/>
    <s v="CVAS"/>
    <x v="7"/>
    <x v="5"/>
    <s v=""/>
    <s v="Others"/>
    <s v="Sports"/>
    <x v="20"/>
    <s v="ACTIVE"/>
    <s v="YES"/>
    <n v="40775"/>
    <s v="Futbolitis"/>
    <s v="NIVEL 54 (0.99 Euros)"/>
    <n v="54"/>
    <s v="Weekly subscription"/>
    <n v="908"/>
    <n v="0.99"/>
    <n v="0.5"/>
    <n v="0.5"/>
    <m/>
    <m/>
    <s v=""/>
    <x v="195"/>
    <n v="4.25"/>
  </r>
  <r>
    <n v="40771"/>
    <m/>
    <n v="352"/>
    <n v="35202"/>
    <n v="35202"/>
    <x v="196"/>
    <x v="132"/>
    <s v="CVAS"/>
    <x v="10"/>
    <x v="2"/>
    <s v=""/>
    <s v="Others"/>
    <s v="Free Time"/>
    <x v="6"/>
    <s v="ACTIVE"/>
    <s v="YES"/>
    <n v="40812"/>
    <s v="Hazlo tu Mism@"/>
    <s v="NIVEL 130 (0.82 Euros)"/>
    <n v="130"/>
    <s v="Weekly subscription"/>
    <n v="908"/>
    <n v="0.82"/>
    <n v="0.5"/>
    <n v="0.5"/>
    <m/>
    <m/>
    <s v=""/>
    <x v="196"/>
    <n v="4.25"/>
  </r>
  <r>
    <n v="40772"/>
    <n v="40771"/>
    <n v="352"/>
    <n v="35201"/>
    <n v="35201"/>
    <x v="197"/>
    <x v="132"/>
    <s v="CVAS"/>
    <x v="10"/>
    <x v="2"/>
    <s v=""/>
    <s v="Others"/>
    <s v="Free Time"/>
    <x v="6"/>
    <s v="ACTIVE"/>
    <s v="YES"/>
    <n v="40812"/>
    <s v="Hazlo tu Mism@"/>
    <s v="NIVEL 0 (0 Euros)"/>
    <n v="0"/>
    <s v="Weekly subscription"/>
    <n v="641"/>
    <n v="0"/>
    <m/>
    <m/>
    <m/>
    <m/>
    <s v=""/>
    <x v="196"/>
    <n v="4.25"/>
  </r>
  <r>
    <n v="40778"/>
    <m/>
    <n v="380"/>
    <n v="38001"/>
    <n v="38001"/>
    <x v="198"/>
    <x v="133"/>
    <s v="CVAS"/>
    <x v="0"/>
    <x v="0"/>
    <s v="Light Hard"/>
    <s v="Light"/>
    <s v="Light Hard"/>
    <x v="15"/>
    <s v="ACTIVE"/>
    <s v="YES"/>
    <n v="40814"/>
    <s v="Bellezas Salvajes"/>
    <s v="NIVEL 136 (2.06 Euros)"/>
    <n v="136"/>
    <s v="Weekly subscription"/>
    <n v="908"/>
    <n v="2.06"/>
    <n v="0.3"/>
    <n v="0.7"/>
    <m/>
    <m/>
    <s v=""/>
    <x v="197"/>
    <n v="4.25"/>
  </r>
  <r>
    <n v="40953"/>
    <m/>
    <n v="218"/>
    <n v="76"/>
    <n v="76"/>
    <x v="199"/>
    <x v="134"/>
    <s v="CVAS"/>
    <x v="10"/>
    <x v="7"/>
    <s v=""/>
    <s v="Others"/>
    <s v="Beauty and Health"/>
    <x v="11"/>
    <s v="ACTIVE"/>
    <s v="YES"/>
    <n v="40952"/>
    <s v="Daily Diva"/>
    <s v="NIVEL 128 (1.64 Euros)"/>
    <n v="128"/>
    <s v="Weekly subscription"/>
    <n v="908"/>
    <n v="1.64"/>
    <n v="0.5"/>
    <n v="0.5"/>
    <m/>
    <m/>
    <s v=""/>
    <x v="198"/>
    <n v="4.25"/>
  </r>
  <r>
    <n v="40962"/>
    <m/>
    <n v="219"/>
    <n v="77"/>
    <n v="77"/>
    <x v="200"/>
    <x v="135"/>
    <s v="CVAS"/>
    <x v="10"/>
    <x v="8"/>
    <s v=""/>
    <s v="Others"/>
    <s v="Kids"/>
    <x v="11"/>
    <s v="ACTIVE"/>
    <s v="YES"/>
    <n v="40955"/>
    <s v="Edukidz"/>
    <s v="NIVEL 128 (1.64 Euros)"/>
    <n v="128"/>
    <s v="Weekly subscription"/>
    <n v="908"/>
    <n v="1.64"/>
    <n v="0.5"/>
    <n v="0.5"/>
    <m/>
    <m/>
    <s v=""/>
    <x v="199"/>
    <n v="4.25"/>
  </r>
  <r>
    <n v="41029"/>
    <m/>
    <n v="285"/>
    <n v="28501"/>
    <n v="28501"/>
    <x v="201"/>
    <x v="0"/>
    <s v="CVAS"/>
    <x v="0"/>
    <x v="0"/>
    <s v="Light Hard"/>
    <s v="Light"/>
    <s v="Light Hard"/>
    <x v="8"/>
    <s v="ACTIVE"/>
    <s v="YES"/>
    <n v="40976"/>
    <s v="Orgasmatron"/>
    <s v="NIVEL 138 (3.30 Euros)"/>
    <n v="138"/>
    <s v="Weekly subscription"/>
    <n v="908"/>
    <n v="3.3"/>
    <n v="0.4"/>
    <n v="0.6"/>
    <m/>
    <m/>
    <s v=""/>
    <x v="172"/>
    <n v="4.25"/>
  </r>
  <r>
    <n v="41034"/>
    <m/>
    <n v="443"/>
    <n v="44302"/>
    <n v="44302"/>
    <x v="189"/>
    <x v="0"/>
    <s v="CVAS"/>
    <x v="0"/>
    <x v="0"/>
    <s v="Light Hard"/>
    <s v="Light"/>
    <s v="Light Hard"/>
    <x v="24"/>
    <s v="ACTIVE"/>
    <s v="YES"/>
    <n v="40978"/>
    <s v="21Naturals"/>
    <s v="NIVEL 138 (3.30 Euros)"/>
    <n v="138"/>
    <s v="Weekly subscription"/>
    <n v="908"/>
    <n v="3.3"/>
    <n v="0.4"/>
    <n v="0.6"/>
    <m/>
    <m/>
    <s v=""/>
    <x v="190"/>
    <n v="4.25"/>
  </r>
  <r>
    <n v="41049"/>
    <m/>
    <n v="256"/>
    <n v="25602"/>
    <n v="25602"/>
    <x v="202"/>
    <x v="123"/>
    <s v="CVAS"/>
    <x v="3"/>
    <x v="3"/>
    <s v=""/>
    <s v="Games"/>
    <s v=""/>
    <x v="4"/>
    <s v="ACTIVE"/>
    <s v="YES"/>
    <n v="40996"/>
    <s v="Funatic Games"/>
    <s v="NIVEL 136 (2.06 Euros)"/>
    <n v="136"/>
    <s v="PPD"/>
    <n v="1"/>
    <n v="2.06"/>
    <n v="0.5"/>
    <n v="0.5"/>
    <m/>
    <m/>
    <s v=""/>
    <x v="5"/>
    <n v="1"/>
  </r>
  <r>
    <n v="41051"/>
    <m/>
    <n v="267"/>
    <n v="26701"/>
    <n v="26701"/>
    <x v="203"/>
    <x v="136"/>
    <s v="CVAS"/>
    <x v="5"/>
    <x v="2"/>
    <s v=""/>
    <s v="Others"/>
    <s v="Free Time"/>
    <x v="8"/>
    <s v="ACTIVE"/>
    <s v="YES"/>
    <n v="40997"/>
    <s v="Zaaass Videos"/>
    <s v="NIVEL 128 (1.64 Euros)"/>
    <n v="128"/>
    <s v="Weekly subscription"/>
    <n v="908"/>
    <n v="1.64"/>
    <n v="0.45"/>
    <n v="0.55000000000000004"/>
    <m/>
    <m/>
    <s v=""/>
    <x v="200"/>
    <n v="4.25"/>
  </r>
  <r>
    <n v="41129"/>
    <m/>
    <m/>
    <s v="X"/>
    <s v="X"/>
    <x v="204"/>
    <x v="0"/>
    <s v="CVAS"/>
    <x v="0"/>
    <x v="0"/>
    <s v="Light Hard"/>
    <s v="Light"/>
    <s v="Light Hard"/>
    <x v="24"/>
    <s v="ACTIVE"/>
    <s v="YES"/>
    <n v="41016"/>
    <s v="IntimaX"/>
    <s v="NIVEL 58 (2.99 Euros)"/>
    <n v="58"/>
    <s v="Weekly subscription"/>
    <n v="908"/>
    <n v="2.99"/>
    <n v="0.3"/>
    <n v="0.7"/>
    <m/>
    <m/>
    <s v=""/>
    <x v="201"/>
    <n v="4.25"/>
  </r>
  <r>
    <n v="41149"/>
    <m/>
    <n v="265"/>
    <n v="26501"/>
    <n v="26501"/>
    <x v="205"/>
    <x v="137"/>
    <s v="CVAS"/>
    <x v="5"/>
    <x v="8"/>
    <s v=""/>
    <s v="Others"/>
    <s v="Kids"/>
    <x v="8"/>
    <s v="ACTIVE"/>
    <s v="YES"/>
    <n v="41036"/>
    <s v="Kids Tube"/>
    <s v="NIVEL 136 (2.06 Euros)"/>
    <n v="136"/>
    <s v="Weekly subscription"/>
    <n v="908"/>
    <n v="2.06"/>
    <n v="0.5"/>
    <n v="0.5"/>
    <m/>
    <m/>
    <s v=""/>
    <x v="202"/>
    <n v="4.25"/>
  </r>
  <r>
    <n v="41177"/>
    <m/>
    <n v="207"/>
    <n v="57"/>
    <n v="57"/>
    <x v="206"/>
    <x v="138"/>
    <s v="CVAS"/>
    <x v="10"/>
    <x v="2"/>
    <s v=""/>
    <s v="Others"/>
    <s v="Free Time"/>
    <x v="11"/>
    <s v="ACTIVE"/>
    <s v="YES"/>
    <n v="41058"/>
    <s v="Chef Book Recetas"/>
    <s v="NIVEL 137 (2.47 Euros)"/>
    <n v="137"/>
    <s v="Weekly subscription"/>
    <n v="908"/>
    <n v="2.4700000000000002"/>
    <n v="0.5"/>
    <n v="0.5"/>
    <m/>
    <m/>
    <s v=""/>
    <x v="203"/>
    <n v="4.25"/>
  </r>
  <r>
    <n v="41178"/>
    <n v="41177"/>
    <n v="207"/>
    <n v="56"/>
    <n v="56"/>
    <x v="207"/>
    <x v="138"/>
    <s v="CVAS"/>
    <x v="10"/>
    <x v="2"/>
    <s v=""/>
    <s v="Others"/>
    <s v="Free Time"/>
    <x v="11"/>
    <s v="ACTIVE"/>
    <s v="YES"/>
    <n v="41058"/>
    <s v="Chef Book Recetas"/>
    <s v="NIVEL 0 (0 Euros)"/>
    <n v="0"/>
    <s v="Weekly subscription"/>
    <n v="641"/>
    <n v="0"/>
    <m/>
    <m/>
    <m/>
    <m/>
    <s v=""/>
    <x v="203"/>
    <n v="4.25"/>
  </r>
  <r>
    <n v="41181"/>
    <m/>
    <n v="225"/>
    <n v="22502"/>
    <n v="22502"/>
    <x v="208"/>
    <x v="139"/>
    <s v="CVAS"/>
    <x v="10"/>
    <x v="2"/>
    <s v=""/>
    <s v="Others"/>
    <s v="Free Time"/>
    <x v="11"/>
    <s v="ACTIVE"/>
    <s v="YES"/>
    <n v="41059"/>
    <s v=" iTrip Viajes y +"/>
    <s v="NIVEL 137 (2.47 Euros)"/>
    <n v="137"/>
    <s v="Weekly subscription"/>
    <n v="908"/>
    <n v="2.4700000000000002"/>
    <n v="0.5"/>
    <n v="0.5"/>
    <m/>
    <m/>
    <s v=""/>
    <x v="204"/>
    <n v="4.25"/>
  </r>
  <r>
    <n v="41182"/>
    <n v="41181"/>
    <n v="225"/>
    <n v="83"/>
    <n v="83"/>
    <x v="209"/>
    <x v="139"/>
    <s v="CVAS"/>
    <x v="10"/>
    <x v="2"/>
    <s v=""/>
    <s v="Others"/>
    <s v="Free Time"/>
    <x v="11"/>
    <s v="ACTIVE"/>
    <s v="YES"/>
    <n v="41059"/>
    <s v=" iTrip Viajes y +"/>
    <s v="NIVEL 0 (0 Euros)"/>
    <n v="0"/>
    <s v="Weekly subscription"/>
    <n v="641"/>
    <n v="0"/>
    <m/>
    <m/>
    <m/>
    <m/>
    <s v=""/>
    <x v="204"/>
    <n v="4.25"/>
  </r>
  <r>
    <n v="41233"/>
    <m/>
    <m/>
    <m/>
    <m/>
    <x v="210"/>
    <x v="140"/>
    <s v="CVAS"/>
    <x v="3"/>
    <x v="3"/>
    <s v=""/>
    <s v="Games"/>
    <s v=""/>
    <x v="20"/>
    <s v="ACTIVE"/>
    <s v="YES"/>
    <n v="41076"/>
    <s v="Juegos Play On"/>
    <s v="NIVEL 136 (2.06 Euros)"/>
    <n v="136"/>
    <s v="PPD"/>
    <n v="1"/>
    <n v="2.06"/>
    <n v="0.6"/>
    <n v="0.4"/>
    <m/>
    <m/>
    <s v=""/>
    <x v="205"/>
    <n v="1"/>
  </r>
  <r>
    <n v="41235"/>
    <m/>
    <m/>
    <s v="X"/>
    <s v="X"/>
    <x v="211"/>
    <x v="140"/>
    <s v="CVAS"/>
    <x v="3"/>
    <x v="3"/>
    <s v=""/>
    <s v="Games"/>
    <s v=""/>
    <x v="20"/>
    <s v="ACTIVE"/>
    <s v="YES"/>
    <n v="41077"/>
    <s v="Juegos Play On"/>
    <s v="NIVEL 128 (1.64 Euros)"/>
    <n v="128"/>
    <s v="Weekly subscription"/>
    <n v="641"/>
    <n v="1.64"/>
    <n v="0.6"/>
    <n v="0.4"/>
    <m/>
    <m/>
    <s v=""/>
    <x v="205"/>
    <n v="4.25"/>
  </r>
  <r>
    <n v="41236"/>
    <n v="41235"/>
    <m/>
    <m/>
    <m/>
    <x v="212"/>
    <x v="140"/>
    <s v="CVAS"/>
    <x v="3"/>
    <x v="3"/>
    <s v=""/>
    <s v="Games"/>
    <s v=""/>
    <x v="20"/>
    <s v="ACTIVE"/>
    <s v="YES"/>
    <n v="41077"/>
    <s v="Juegos Play On"/>
    <s v="NIVEL 0 (0 Euros)"/>
    <n v="0"/>
    <s v="Weekly subscription"/>
    <n v="908"/>
    <n v="0"/>
    <m/>
    <m/>
    <m/>
    <m/>
    <s v=""/>
    <x v="205"/>
    <n v="4.25"/>
  </r>
  <r>
    <n v="41247"/>
    <m/>
    <n v="381"/>
    <n v="38101"/>
    <n v="38101"/>
    <x v="213"/>
    <x v="141"/>
    <s v="CVAS"/>
    <x v="5"/>
    <x v="2"/>
    <s v=""/>
    <s v="Others"/>
    <s v="Free Time"/>
    <x v="15"/>
    <s v="ACTIVE"/>
    <s v="YES"/>
    <n v="41078"/>
    <s v="Coto de Caza"/>
    <s v="NIVEL 136 (2.06 Euros)"/>
    <n v="136"/>
    <s v="Weekly subscription"/>
    <n v="908"/>
    <n v="2.06"/>
    <n v="0.45"/>
    <n v="0.55000000000000004"/>
    <m/>
    <m/>
    <s v=""/>
    <x v="206"/>
    <n v="4.25"/>
  </r>
  <r>
    <n v="41329"/>
    <m/>
    <n v="267"/>
    <n v="26702"/>
    <n v="26702"/>
    <x v="203"/>
    <x v="136"/>
    <s v="CVAS"/>
    <x v="5"/>
    <x v="2"/>
    <s v=""/>
    <s v="Others"/>
    <s v="Free Time"/>
    <x v="8"/>
    <s v="ACTIVE"/>
    <s v="YES"/>
    <n v="41096"/>
    <s v="Zaaass Videos"/>
    <s v="NIVEL 136 (2.06 Euros)"/>
    <n v="136"/>
    <s v="Weekly subscription"/>
    <n v="908"/>
    <n v="2.06"/>
    <n v="0.45"/>
    <n v="0.55000000000000004"/>
    <m/>
    <m/>
    <s v=""/>
    <x v="200"/>
    <n v="4.25"/>
  </r>
  <r>
    <n v="41449"/>
    <m/>
    <n v="441"/>
    <n v="44102"/>
    <n v="44102"/>
    <x v="214"/>
    <x v="0"/>
    <s v="CVAS"/>
    <x v="0"/>
    <x v="0"/>
    <s v="Light Hard"/>
    <s v="Light"/>
    <s v="Light Hard"/>
    <x v="24"/>
    <s v="ACTIVE"/>
    <s v="YES"/>
    <n v="41116"/>
    <s v="Viciosas XXX"/>
    <s v="NIVEL 58 (2.99 Euros)"/>
    <n v="58"/>
    <s v="Weekly subscription"/>
    <n v="908"/>
    <n v="2.99"/>
    <n v="0.3"/>
    <n v="0.7"/>
    <m/>
    <m/>
    <s v=""/>
    <x v="191"/>
    <n v="4.25"/>
  </r>
  <r>
    <n v="41529"/>
    <m/>
    <n v="382"/>
    <n v="38201"/>
    <n v="38201"/>
    <x v="215"/>
    <x v="142"/>
    <s v="CVAS"/>
    <x v="5"/>
    <x v="2"/>
    <s v=""/>
    <s v="Others"/>
    <s v="Free Time"/>
    <x v="15"/>
    <s v="ACTIVE"/>
    <s v="YES"/>
    <n v="41136"/>
    <s v="Gladiadores MMA"/>
    <s v="NIVEL 136 (2.06 Euros)"/>
    <n v="136"/>
    <s v="Weekly subscription"/>
    <n v="908"/>
    <n v="2.06"/>
    <n v="0.45"/>
    <n v="0.55000000000000004"/>
    <m/>
    <m/>
    <s v=""/>
    <x v="207"/>
    <n v="4.25"/>
  </r>
  <r>
    <n v="41533"/>
    <m/>
    <n v="582"/>
    <n v="58201"/>
    <n v="58201"/>
    <x v="216"/>
    <x v="0"/>
    <s v="CVAS"/>
    <x v="0"/>
    <x v="0"/>
    <s v="Light Hard"/>
    <s v="Light"/>
    <s v="Light Hard"/>
    <x v="17"/>
    <s v="INACTIVE"/>
    <s v="YES"/>
    <n v="41176"/>
    <s v="Gay Mobile XXX"/>
    <s v="NIVEL 58 (2.99 Euros)"/>
    <n v="58"/>
    <s v="Weekly subscription"/>
    <n v="908"/>
    <n v="2.99"/>
    <n v="0.3"/>
    <n v="0.7"/>
    <m/>
    <m/>
    <s v=""/>
    <x v="109"/>
    <n v="4.25"/>
  </r>
  <r>
    <n v="41589"/>
    <m/>
    <n v="566"/>
    <n v="56601"/>
    <n v="56601"/>
    <x v="217"/>
    <x v="111"/>
    <s v="CVAS"/>
    <x v="10"/>
    <x v="2"/>
    <s v=""/>
    <s v="Others"/>
    <s v="Free Time"/>
    <x v="22"/>
    <s v="ACTIVE"/>
    <s v="YES"/>
    <n v="41177"/>
    <s v="EnglishPills"/>
    <s v="NIVEL 128 (1.64 Euros)"/>
    <n v="128"/>
    <s v="Weekly subscription"/>
    <n v="908"/>
    <n v="1.64"/>
    <n v="0.4"/>
    <n v="0.6"/>
    <m/>
    <m/>
    <s v=""/>
    <x v="169"/>
    <n v="4.25"/>
  </r>
  <r>
    <n v="41593"/>
    <m/>
    <n v="568"/>
    <n v="56801"/>
    <n v="56801"/>
    <x v="218"/>
    <x v="112"/>
    <s v="CVAS"/>
    <x v="10"/>
    <x v="7"/>
    <s v=""/>
    <s v="Others"/>
    <s v="Beauty and Health"/>
    <x v="22"/>
    <s v="ACTIVE"/>
    <s v="YES"/>
    <n v="41178"/>
    <s v="Eurosalud"/>
    <s v="NIVEL 135 (1.23 Euros)"/>
    <n v="135"/>
    <s v="Weekly subscription"/>
    <n v="908"/>
    <n v="1.23"/>
    <n v="0.4"/>
    <n v="0.6"/>
    <m/>
    <m/>
    <s v=""/>
    <x v="170"/>
    <n v="4.25"/>
  </r>
  <r>
    <n v="41594"/>
    <n v="41593"/>
    <n v="568"/>
    <n v="56802"/>
    <n v="56802"/>
    <x v="219"/>
    <x v="112"/>
    <s v="CVAS"/>
    <x v="10"/>
    <x v="7"/>
    <s v=""/>
    <s v="Others"/>
    <s v="Beauty and Health"/>
    <x v="22"/>
    <s v="ACTIVE"/>
    <s v="YES"/>
    <n v="41178"/>
    <s v="Eurosalud"/>
    <s v="NIVEL 0 (0 Euros)"/>
    <n v="0"/>
    <s v="Weekly subscription"/>
    <n v="641"/>
    <n v="0"/>
    <m/>
    <m/>
    <m/>
    <m/>
    <s v=""/>
    <x v="170"/>
    <n v="4.25"/>
  </r>
  <r>
    <n v="41597"/>
    <m/>
    <n v="572"/>
    <n v="57201"/>
    <n v="57201"/>
    <x v="220"/>
    <x v="143"/>
    <s v="CVAS"/>
    <x v="10"/>
    <x v="2"/>
    <s v=""/>
    <s v="Others"/>
    <s v="Free Time"/>
    <x v="22"/>
    <s v="ACTIVE"/>
    <s v="YES"/>
    <n v="41179"/>
    <s v="Taromancia"/>
    <s v="NIVEL 128 (1.64 Euros)"/>
    <n v="128"/>
    <s v="Weekly subscription"/>
    <n v="908"/>
    <n v="1.64"/>
    <n v="0.45"/>
    <n v="0.55000000000000004"/>
    <m/>
    <m/>
    <s v=""/>
    <x v="208"/>
    <n v="4.25"/>
  </r>
  <r>
    <n v="41598"/>
    <n v="41597"/>
    <n v="572"/>
    <n v="57202"/>
    <n v="57202"/>
    <x v="221"/>
    <x v="143"/>
    <s v="CVAS"/>
    <x v="10"/>
    <x v="2"/>
    <s v=""/>
    <s v="Others"/>
    <s v="Free Time"/>
    <x v="22"/>
    <s v="ACTIVE"/>
    <s v="YES"/>
    <n v="41179"/>
    <s v="Taromancia"/>
    <s v="NIVEL 0 (0 Euros)"/>
    <n v="0"/>
    <s v="Weekly subscription"/>
    <n v="641"/>
    <n v="0"/>
    <m/>
    <m/>
    <m/>
    <m/>
    <s v=""/>
    <x v="208"/>
    <n v="4.25"/>
  </r>
  <r>
    <n v="41601"/>
    <m/>
    <n v="570"/>
    <n v="57001"/>
    <n v="57001"/>
    <x v="222"/>
    <x v="126"/>
    <s v="CVAS"/>
    <x v="3"/>
    <x v="3"/>
    <s v=""/>
    <s v="Games"/>
    <s v=""/>
    <x v="22"/>
    <s v="ACTIVE"/>
    <s v="YES"/>
    <n v="41180"/>
    <s v="Games Club"/>
    <s v="NIVEL 137 (2.47 Euros)"/>
    <n v="137"/>
    <s v="Weekly subscription"/>
    <n v="908"/>
    <n v="2.4700000000000002"/>
    <n v="0.35"/>
    <n v="0.65"/>
    <m/>
    <m/>
    <s v=""/>
    <x v="188"/>
    <n v="4.25"/>
  </r>
  <r>
    <n v="41603"/>
    <m/>
    <n v="574"/>
    <n v="57401"/>
    <n v="57401"/>
    <x v="223"/>
    <x v="0"/>
    <s v="CVAS"/>
    <x v="0"/>
    <x v="0"/>
    <s v="Light Hard"/>
    <s v="Light"/>
    <s v="Light Hard"/>
    <x v="21"/>
    <s v="INACTIVE"/>
    <s v="YES"/>
    <n v="41181"/>
    <s v="Xtreme Movies"/>
    <s v="NIVEL 58 (2.99 Euros)"/>
    <n v="58"/>
    <s v="Weekly subscription"/>
    <n v="908"/>
    <n v="2.99"/>
    <n v="0.3"/>
    <n v="0.7"/>
    <m/>
    <m/>
    <s v=""/>
    <x v="165"/>
    <n v="4.25"/>
  </r>
  <r>
    <n v="41633"/>
    <m/>
    <n v="343"/>
    <n v="34301"/>
    <n v="34301"/>
    <x v="224"/>
    <x v="41"/>
    <s v="CVAS"/>
    <x v="3"/>
    <x v="3"/>
    <s v=""/>
    <s v="Games"/>
    <s v=""/>
    <x v="8"/>
    <s v="ACTIVE"/>
    <s v="YES"/>
    <n v="41184"/>
    <s v="Susc Sem Play2Me"/>
    <s v="NIVEL 58 (2.99 Euros)"/>
    <n v="58"/>
    <s v="Weekly subscription"/>
    <n v="908"/>
    <n v="2.99"/>
    <n v="0.35"/>
    <n v="0.65"/>
    <m/>
    <m/>
    <s v=""/>
    <x v="14"/>
    <n v="4.25"/>
  </r>
  <r>
    <n v="41636"/>
    <m/>
    <n v="291"/>
    <n v="29101"/>
    <n v="29101"/>
    <x v="225"/>
    <x v="92"/>
    <s v="CVAS"/>
    <x v="3"/>
    <x v="3"/>
    <s v=""/>
    <s v="Games"/>
    <s v=""/>
    <x v="8"/>
    <s v="ACTIVE"/>
    <s v="YES"/>
    <n v="41186"/>
    <s v="Juegos en tu movil"/>
    <s v="NIVEL 58 (2.99 Euros)"/>
    <n v="58"/>
    <s v="Weekly subscription"/>
    <n v="908"/>
    <n v="2.99"/>
    <n v="0.35"/>
    <n v="0.65"/>
    <m/>
    <m/>
    <s v=""/>
    <x v="161"/>
    <n v="4.25"/>
  </r>
  <r>
    <n v="41638"/>
    <m/>
    <n v="284"/>
    <n v="28401"/>
    <n v="28401"/>
    <x v="226"/>
    <x v="0"/>
    <s v="CVAS"/>
    <x v="0"/>
    <x v="0"/>
    <s v="Light Hard"/>
    <s v="Light"/>
    <s v="Light Hard"/>
    <x v="8"/>
    <s v="ACTIVE"/>
    <s v="YES"/>
    <n v="41187"/>
    <s v="Orgasmatron"/>
    <s v="NIVEL 138 (3.30 Euros)"/>
    <n v="138"/>
    <s v="Weekly subscription"/>
    <n v="908"/>
    <n v="3.3"/>
    <n v="0.25"/>
    <n v="0.75"/>
    <m/>
    <m/>
    <s v=""/>
    <x v="172"/>
    <n v="4.25"/>
  </r>
  <r>
    <n v="41640"/>
    <m/>
    <m/>
    <m/>
    <m/>
    <x v="227"/>
    <x v="0"/>
    <s v="CVAS"/>
    <x v="0"/>
    <x v="0"/>
    <s v="Light Hard"/>
    <s v="Light"/>
    <s v="Light Hard"/>
    <x v="0"/>
    <s v="INACTIVE"/>
    <s v="YES"/>
    <n v="41188"/>
    <s v="Mi Sex Video"/>
    <s v="NIVEL 58 (2.99 Euros)"/>
    <n v="58"/>
    <s v="Weekly subscription"/>
    <n v="908"/>
    <n v="2.99"/>
    <n v="0.3"/>
    <n v="0.7"/>
    <m/>
    <m/>
    <s v=""/>
    <x v="174"/>
    <n v="4.25"/>
  </r>
  <r>
    <n v="41644"/>
    <m/>
    <m/>
    <m/>
    <m/>
    <x v="228"/>
    <x v="129"/>
    <s v="CVAS"/>
    <x v="5"/>
    <x v="7"/>
    <s v=""/>
    <s v="Others"/>
    <s v="Beauty and Health"/>
    <x v="0"/>
    <s v="ACTIVE"/>
    <s v="YES"/>
    <n v="41189"/>
    <s v="Natural Beauty"/>
    <s v="NIVEL 136 (2.06 Euros)"/>
    <n v="136"/>
    <s v="Weekly subscription"/>
    <n v="908"/>
    <n v="2.06"/>
    <n v="0.4"/>
    <n v="0.6"/>
    <m/>
    <m/>
    <s v=""/>
    <x v="193"/>
    <n v="4.25"/>
  </r>
  <r>
    <n v="41648"/>
    <m/>
    <n v="287"/>
    <n v="28701"/>
    <n v="28701"/>
    <x v="229"/>
    <x v="0"/>
    <s v="CVAS"/>
    <x v="0"/>
    <x v="0"/>
    <s v="Light Hard"/>
    <s v="Light"/>
    <s v="Light Hard"/>
    <x v="8"/>
    <s v="ACTIVE"/>
    <s v="YES"/>
    <n v="41190"/>
    <s v="Vicious Cam"/>
    <s v="NIVEL 59 (3.49 Euros)"/>
    <n v="59"/>
    <s v="Weekly subscription"/>
    <n v="908"/>
    <n v="3.49"/>
    <n v="0.25"/>
    <n v="0.75"/>
    <m/>
    <m/>
    <s v=""/>
    <x v="179"/>
    <n v="4.25"/>
  </r>
  <r>
    <n v="41650"/>
    <m/>
    <n v="268"/>
    <n v="26801"/>
    <n v="26801"/>
    <x v="230"/>
    <x v="136"/>
    <s v="CVAS"/>
    <x v="5"/>
    <x v="2"/>
    <s v=""/>
    <s v="Others"/>
    <s v="Free Time"/>
    <x v="8"/>
    <s v="ACTIVE"/>
    <s v="YES"/>
    <n v="41191"/>
    <s v="Zaaass Videos"/>
    <s v="NIVEL 136 (2.06 Euros)"/>
    <n v="136"/>
    <s v="Weekly subscription"/>
    <n v="908"/>
    <n v="2.06"/>
    <n v="0.35"/>
    <n v="0.65"/>
    <m/>
    <m/>
    <s v=""/>
    <x v="200"/>
    <n v="4.25"/>
  </r>
  <r>
    <n v="41652"/>
    <m/>
    <n v="266"/>
    <n v="26601"/>
    <n v="26601"/>
    <x v="231"/>
    <x v="137"/>
    <s v="CVAS"/>
    <x v="5"/>
    <x v="8"/>
    <s v=""/>
    <s v="Others"/>
    <s v="Kids"/>
    <x v="8"/>
    <s v="ACTIVE"/>
    <s v="YES"/>
    <n v="41192"/>
    <s v="Kids Tube"/>
    <s v="NIVEL 136 (2.06 Euros)"/>
    <n v="136"/>
    <s v="Weekly subscription"/>
    <n v="908"/>
    <n v="2.06"/>
    <n v="0.4"/>
    <n v="0.6"/>
    <m/>
    <m/>
    <s v=""/>
    <x v="202"/>
    <n v="4.25"/>
  </r>
  <r>
    <n v="41654"/>
    <m/>
    <n v="433"/>
    <n v="43302"/>
    <n v="43302"/>
    <x v="232"/>
    <x v="122"/>
    <s v="CVAS"/>
    <x v="10"/>
    <x v="7"/>
    <s v=""/>
    <s v="Others"/>
    <s v="Beauty and Health"/>
    <x v="13"/>
    <s v="ACTIVE"/>
    <s v="YES"/>
    <n v="41193"/>
    <s v="Fashion Bip"/>
    <s v="NIVEL 135 (1.23 Euros)"/>
    <n v="135"/>
    <s v="Weekly subscription"/>
    <n v="908"/>
    <n v="1.23"/>
    <n v="0.5"/>
    <n v="0.5"/>
    <m/>
    <m/>
    <s v=""/>
    <x v="185"/>
    <n v="4.25"/>
  </r>
  <r>
    <n v="41655"/>
    <n v="41654"/>
    <n v="433"/>
    <n v="43301"/>
    <n v="43301"/>
    <x v="233"/>
    <x v="122"/>
    <s v="CVAS"/>
    <x v="10"/>
    <x v="7"/>
    <s v=""/>
    <s v="Others"/>
    <s v="Beauty and Health"/>
    <x v="13"/>
    <s v="ACTIVE"/>
    <s v="YES"/>
    <n v="41193"/>
    <s v="Fashion Bip"/>
    <s v="NIVEL 0 (0 Euros)"/>
    <n v="0"/>
    <s v="Weekly subscription"/>
    <n v="641"/>
    <n v="0"/>
    <m/>
    <m/>
    <m/>
    <m/>
    <s v=""/>
    <x v="185"/>
    <n v="4.25"/>
  </r>
  <r>
    <n v="41659"/>
    <m/>
    <n v="379"/>
    <n v="37901"/>
    <n v="37901"/>
    <x v="234"/>
    <x v="0"/>
    <s v="CVAS"/>
    <x v="0"/>
    <x v="0"/>
    <s v="Light Hard"/>
    <s v="Light"/>
    <s v="Light Hard"/>
    <x v="17"/>
    <s v="ACTIVE"/>
    <s v="YES"/>
    <n v="41197"/>
    <s v="Gay Mobile XXX"/>
    <s v="NIVEL 58 (2.99 Euros)"/>
    <n v="58"/>
    <s v="Weekly subscription"/>
    <n v="908"/>
    <n v="2.99"/>
    <n v="0.3"/>
    <n v="0.7"/>
    <m/>
    <m/>
    <s v=""/>
    <x v="109"/>
    <n v="4.25"/>
  </r>
  <r>
    <n v="41663"/>
    <m/>
    <n v="503"/>
    <n v="50302"/>
    <n v="50302"/>
    <x v="235"/>
    <x v="0"/>
    <s v="CVAS"/>
    <x v="0"/>
    <x v="0"/>
    <s v="Light Hard"/>
    <s v="Light"/>
    <s v="Light Hard"/>
    <x v="10"/>
    <s v="ACTIVE"/>
    <s v="YES"/>
    <n v="41198"/>
    <s v="Digital Sin"/>
    <s v="NIVEL 58 (2.99 Euros)"/>
    <n v="58"/>
    <s v="Weekly subscription"/>
    <n v="908"/>
    <n v="2.99"/>
    <n v="0.3"/>
    <n v="0.7"/>
    <m/>
    <m/>
    <s v=""/>
    <x v="110"/>
    <n v="4.25"/>
  </r>
  <r>
    <n v="41664"/>
    <n v="41663"/>
    <n v="503"/>
    <n v="50301"/>
    <n v="50301"/>
    <x v="236"/>
    <x v="0"/>
    <s v="CVAS"/>
    <x v="0"/>
    <x v="0"/>
    <s v="Light Hard"/>
    <s v="Light"/>
    <s v="Light Hard"/>
    <x v="10"/>
    <s v="ACTIVE"/>
    <s v="YES"/>
    <n v="41198"/>
    <s v="Digital Sin"/>
    <s v="NIVEL 0 (0 Euros)"/>
    <n v="0"/>
    <s v="Weekly subscription"/>
    <n v="641"/>
    <n v="0"/>
    <m/>
    <m/>
    <m/>
    <m/>
    <s v=""/>
    <x v="110"/>
    <n v="4.25"/>
  </r>
  <r>
    <n v="41667"/>
    <m/>
    <n v="506"/>
    <n v="50601"/>
    <n v="50601"/>
    <x v="237"/>
    <x v="0"/>
    <s v="CVAS"/>
    <x v="0"/>
    <x v="0"/>
    <s v="Light Hard"/>
    <s v="Light"/>
    <s v="Light Hard"/>
    <x v="10"/>
    <s v="INACTIVE"/>
    <s v="YES"/>
    <n v="41199"/>
    <s v="New Sensations"/>
    <s v="NIVEL 58 (2.99 Euros)"/>
    <n v="58"/>
    <s v="Weekly subscription"/>
    <n v="908"/>
    <n v="2.99"/>
    <n v="0.3"/>
    <n v="0.7"/>
    <m/>
    <m/>
    <s v=""/>
    <x v="112"/>
    <n v="4.25"/>
  </r>
  <r>
    <n v="41671"/>
    <m/>
    <n v="487"/>
    <n v="48701"/>
    <n v="48701"/>
    <x v="238"/>
    <x v="0"/>
    <s v="CVAS"/>
    <x v="0"/>
    <x v="0"/>
    <s v="Light Hard"/>
    <s v="Light"/>
    <s v="Light Hard"/>
    <x v="10"/>
    <s v="ACTIVE"/>
    <s v="YES"/>
    <n v="41200"/>
    <s v="Orgias"/>
    <s v="NIVEL 58 (2.99 Euros)"/>
    <n v="58"/>
    <s v="Weekly subscription"/>
    <n v="908"/>
    <n v="2.99"/>
    <n v="0.3"/>
    <n v="0.7"/>
    <m/>
    <m/>
    <s v=""/>
    <x v="91"/>
    <n v="4.25"/>
  </r>
  <r>
    <n v="41675"/>
    <m/>
    <n v="508"/>
    <n v="50801"/>
    <n v="50801"/>
    <x v="239"/>
    <x v="0"/>
    <s v="CVAS"/>
    <x v="0"/>
    <x v="0"/>
    <s v="Light Hard"/>
    <s v="Light"/>
    <s v="Light Hard"/>
    <x v="10"/>
    <s v="ACTIVE"/>
    <s v="YES"/>
    <n v="41201"/>
    <s v="Playhouse"/>
    <s v="NIVEL 58 (2.99 Euros)"/>
    <n v="58"/>
    <s v="Weekly subscription"/>
    <n v="908"/>
    <n v="2.99"/>
    <n v="0.3"/>
    <n v="0.7"/>
    <m/>
    <m/>
    <s v=""/>
    <x v="74"/>
    <n v="4.25"/>
  </r>
  <r>
    <n v="41680"/>
    <m/>
    <n v="489"/>
    <n v="48901"/>
    <n v="48901"/>
    <x v="240"/>
    <x v="0"/>
    <s v="CVAS"/>
    <x v="0"/>
    <x v="0"/>
    <s v="Light Hard"/>
    <s v="Light"/>
    <s v="Light Hard"/>
    <x v="10"/>
    <s v="ACTIVE"/>
    <s v="YES"/>
    <n v="41203"/>
    <s v="Por Culo"/>
    <s v="NIVEL 58 (2.99 Euros)"/>
    <n v="58"/>
    <s v="Weekly subscription"/>
    <n v="908"/>
    <n v="2.99"/>
    <n v="0.3"/>
    <n v="0.7"/>
    <m/>
    <m/>
    <s v=""/>
    <x v="85"/>
    <n v="4.25"/>
  </r>
  <r>
    <n v="41692"/>
    <m/>
    <n v="450"/>
    <n v="45001"/>
    <n v="45001"/>
    <x v="241"/>
    <x v="0"/>
    <s v="CVAS"/>
    <x v="0"/>
    <x v="0"/>
    <s v="Light Hard"/>
    <s v="Light"/>
    <s v="Light Hard"/>
    <x v="9"/>
    <s v="INACTIVE"/>
    <s v="YES"/>
    <n v="41206"/>
    <s v="Playboy"/>
    <s v="NIVEL 58 (2.99 Euros)"/>
    <n v="58"/>
    <s v="Weekly subscription"/>
    <n v="908"/>
    <n v="2.99"/>
    <n v="0.3"/>
    <n v="0.7"/>
    <m/>
    <m/>
    <s v=""/>
    <x v="78"/>
    <n v="4.25"/>
  </r>
  <r>
    <n v="41696"/>
    <m/>
    <m/>
    <m/>
    <m/>
    <x v="242"/>
    <x v="141"/>
    <s v="CVAS"/>
    <x v="5"/>
    <x v="2"/>
    <s v=""/>
    <s v="Others"/>
    <s v="Free Time"/>
    <x v="15"/>
    <s v="ACTIVE"/>
    <s v="YES"/>
    <n v="41207"/>
    <s v="Coto de Caza"/>
    <s v="NIVEL 136 (2.06 Euros)"/>
    <n v="136"/>
    <s v="Weekly subscription"/>
    <n v="908"/>
    <n v="2.06"/>
    <n v="0.4"/>
    <n v="0.6"/>
    <m/>
    <m/>
    <s v=""/>
    <x v="206"/>
    <n v="4.25"/>
  </r>
  <r>
    <n v="41700"/>
    <m/>
    <m/>
    <m/>
    <m/>
    <x v="243"/>
    <x v="132"/>
    <s v="CVAS"/>
    <x v="10"/>
    <x v="2"/>
    <s v=""/>
    <s v="Others"/>
    <s v="Free Time"/>
    <x v="6"/>
    <s v="ACTIVE"/>
    <s v="YES"/>
    <n v="41208"/>
    <s v="Hazlo tu Mism@"/>
    <s v="NIVEL 130 (0.82 Euros)"/>
    <n v="130"/>
    <s v="Weekly subscription"/>
    <n v="908"/>
    <n v="0.82"/>
    <n v="0.43"/>
    <n v="0.56999999999999995"/>
    <m/>
    <m/>
    <s v=""/>
    <x v="196"/>
    <n v="4.25"/>
  </r>
  <r>
    <n v="41701"/>
    <n v="41700"/>
    <m/>
    <m/>
    <m/>
    <x v="244"/>
    <x v="132"/>
    <s v="CVAS"/>
    <x v="10"/>
    <x v="2"/>
    <s v=""/>
    <s v="Others"/>
    <s v="Free Time"/>
    <x v="6"/>
    <s v="ACTIVE"/>
    <s v="YES"/>
    <n v="41208"/>
    <s v="Hazlo tu Mism@"/>
    <s v="NIVEL 0 (0 Euros)"/>
    <n v="0"/>
    <s v="Weekly subscription"/>
    <n v="641"/>
    <n v="0"/>
    <m/>
    <m/>
    <m/>
    <m/>
    <s v=""/>
    <x v="196"/>
    <n v="4.25"/>
  </r>
  <r>
    <n v="41758"/>
    <m/>
    <n v="432"/>
    <n v="43202"/>
    <n v="43202"/>
    <x v="245"/>
    <x v="144"/>
    <s v="CVAS"/>
    <x v="10"/>
    <x v="2"/>
    <s v=""/>
    <s v="Others"/>
    <s v="Free Time"/>
    <x v="13"/>
    <s v="ACTIVE"/>
    <s v="YES"/>
    <n v="41219"/>
    <s v="Mascotas"/>
    <s v="NIVEL 135 (1.23 Euros)"/>
    <n v="135"/>
    <s v="Weekly subscription"/>
    <n v="908"/>
    <n v="1.23"/>
    <n v="0.5"/>
    <n v="0.5"/>
    <m/>
    <m/>
    <s v=""/>
    <x v="209"/>
    <n v="4.25"/>
  </r>
  <r>
    <n v="41759"/>
    <n v="41758"/>
    <n v="432"/>
    <n v="43201"/>
    <n v="43201"/>
    <x v="246"/>
    <x v="144"/>
    <s v="CVAS"/>
    <x v="10"/>
    <x v="2"/>
    <s v=""/>
    <s v="Others"/>
    <s v="Free Time"/>
    <x v="13"/>
    <s v="ACTIVE"/>
    <s v="YES"/>
    <n v="41219"/>
    <s v="Mascotas"/>
    <s v="NIVEL 0 (0 Euros)"/>
    <n v="0"/>
    <s v="Weekly subscription"/>
    <n v="641"/>
    <n v="0"/>
    <m/>
    <m/>
    <m/>
    <m/>
    <s v=""/>
    <x v="209"/>
    <n v="4.25"/>
  </r>
  <r>
    <n v="41762"/>
    <m/>
    <n v="480"/>
    <n v="48001"/>
    <n v="48001"/>
    <x v="247"/>
    <x v="0"/>
    <s v="CVAS"/>
    <x v="0"/>
    <x v="0"/>
    <s v="Light Soft"/>
    <s v="Light"/>
    <s v="Light Soft"/>
    <x v="10"/>
    <s v="ACTIVE"/>
    <s v="YES"/>
    <n v="41220"/>
    <s v="Enfermeras"/>
    <s v="NIVEL 58 (2.99 Euros)"/>
    <n v="58"/>
    <s v="Weekly subscription"/>
    <n v="908"/>
    <n v="2.99"/>
    <n v="0.3"/>
    <n v="0.7"/>
    <m/>
    <m/>
    <s v=""/>
    <x v="86"/>
    <n v="4.25"/>
  </r>
  <r>
    <n v="41764"/>
    <m/>
    <n v="495"/>
    <n v="49501"/>
    <n v="49501"/>
    <x v="248"/>
    <x v="0"/>
    <s v="CVAS"/>
    <x v="0"/>
    <x v="0"/>
    <s v="Light Hard"/>
    <s v="Light"/>
    <s v="Light Hard"/>
    <x v="10"/>
    <s v="ACTIVE"/>
    <s v="YES"/>
    <n v="41221"/>
    <s v="Tetonas"/>
    <s v="NIVEL 58 (2.99 Euros)"/>
    <n v="58"/>
    <s v="Weekly subscription"/>
    <n v="908"/>
    <n v="2.99"/>
    <n v="0.3"/>
    <n v="0.7"/>
    <m/>
    <m/>
    <s v=""/>
    <x v="89"/>
    <n v="4.25"/>
  </r>
  <r>
    <n v="41766"/>
    <m/>
    <n v="491"/>
    <n v="49101"/>
    <n v="49101"/>
    <x v="249"/>
    <x v="0"/>
    <s v="CVAS"/>
    <x v="0"/>
    <x v="0"/>
    <s v="Light Hard"/>
    <s v="Light"/>
    <s v="Light Hard"/>
    <x v="10"/>
    <s v="ACTIVE"/>
    <s v="YES"/>
    <n v="41222"/>
    <s v="Amateur"/>
    <s v="NIVEL 58 (2.99 Euros)"/>
    <n v="58"/>
    <s v="Weekly subscription"/>
    <n v="908"/>
    <n v="2.99"/>
    <n v="0.3"/>
    <n v="0.7"/>
    <m/>
    <m/>
    <s v=""/>
    <x v="118"/>
    <n v="4.25"/>
  </r>
  <r>
    <n v="41788"/>
    <m/>
    <n v="448"/>
    <n v="44801"/>
    <n v="44801"/>
    <x v="250"/>
    <x v="0"/>
    <s v="CVAS"/>
    <x v="0"/>
    <x v="0"/>
    <s v="Light Hard"/>
    <s v="Light"/>
    <s v="Light Hard"/>
    <x v="9"/>
    <s v="INACTIVE"/>
    <s v="YES"/>
    <n v="41223"/>
    <s v="Penthouse"/>
    <s v="NIVEL 58 (2.99 Euros)"/>
    <n v="58"/>
    <s v="Weekly subscription"/>
    <n v="908"/>
    <n v="2.99"/>
    <n v="0.3"/>
    <n v="0.7"/>
    <m/>
    <m/>
    <s v=""/>
    <x v="158"/>
    <n v="4.25"/>
  </r>
  <r>
    <n v="41790"/>
    <m/>
    <m/>
    <m/>
    <m/>
    <x v="251"/>
    <x v="109"/>
    <s v="CVAS"/>
    <x v="3"/>
    <x v="3"/>
    <s v=""/>
    <s v="Games"/>
    <s v=""/>
    <x v="11"/>
    <s v="ACTIVE"/>
    <s v="YES"/>
    <n v="41224"/>
    <s v="Tap To Fun"/>
    <s v="NIVEL 56 (1.99 Euros)"/>
    <n v="56"/>
    <s v="Weekly subscription"/>
    <n v="908"/>
    <n v="1.99"/>
    <n v="0.45"/>
    <n v="0.55000000000000004"/>
    <m/>
    <m/>
    <s v=""/>
    <x v="163"/>
    <n v="4.25"/>
  </r>
  <r>
    <n v="41792"/>
    <m/>
    <m/>
    <m/>
    <m/>
    <x v="252"/>
    <x v="99"/>
    <s v="CVAS"/>
    <x v="9"/>
    <x v="2"/>
    <s v=""/>
    <s v="Others"/>
    <s v="Free Time"/>
    <x v="11"/>
    <s v="ACTIVE"/>
    <s v="YES"/>
    <n v="41225"/>
    <s v="Tap the stars"/>
    <s v="NIVEL 56 (1.99 Euros)"/>
    <n v="56"/>
    <s v="Weekly subscription"/>
    <n v="908"/>
    <n v="1.99"/>
    <n v="0.4"/>
    <n v="0.6"/>
    <m/>
    <m/>
    <s v=""/>
    <x v="164"/>
    <n v="4.25"/>
  </r>
  <r>
    <n v="41794"/>
    <m/>
    <m/>
    <m/>
    <m/>
    <x v="253"/>
    <x v="134"/>
    <s v="CVAS"/>
    <x v="10"/>
    <x v="7"/>
    <s v=""/>
    <s v="Others"/>
    <s v="Beauty and Health"/>
    <x v="11"/>
    <s v="ACTIVE"/>
    <s v="YES"/>
    <n v="41226"/>
    <s v="Daily Diva"/>
    <s v="NIVEL 128 (1.64 Euros)"/>
    <n v="128"/>
    <s v="Weekly subscription"/>
    <n v="908"/>
    <n v="1.64"/>
    <n v="0.4"/>
    <n v="0.6"/>
    <m/>
    <m/>
    <s v=""/>
    <x v="198"/>
    <n v="4.25"/>
  </r>
  <r>
    <n v="41796"/>
    <m/>
    <m/>
    <m/>
    <m/>
    <x v="254"/>
    <x v="145"/>
    <s v="CVAS"/>
    <x v="5"/>
    <x v="2"/>
    <s v=""/>
    <s v="Others"/>
    <s v="Free Time"/>
    <x v="11"/>
    <s v="ACTIVE"/>
    <s v="YES"/>
    <n v="41227"/>
    <s v="Fashion TV"/>
    <s v="NIVEL 56 (1.99 Euros)"/>
    <n v="56"/>
    <s v="Weekly subscription"/>
    <n v="908"/>
    <n v="1.99"/>
    <n v="0.5"/>
    <n v="0.5"/>
    <m/>
    <m/>
    <s v=""/>
    <x v="117"/>
    <n v="4.25"/>
  </r>
  <r>
    <n v="41798"/>
    <m/>
    <m/>
    <m/>
    <m/>
    <x v="255"/>
    <x v="146"/>
    <s v="CVAS"/>
    <x v="5"/>
    <x v="2"/>
    <s v=""/>
    <s v="Others"/>
    <s v="Free Time"/>
    <x v="11"/>
    <s v="ACTIVE"/>
    <s v="YES"/>
    <n v="41228"/>
    <s v="Top Video"/>
    <s v="NIVEL 128 (1.64 Euros)"/>
    <n v="128"/>
    <s v="Weekly subscription"/>
    <n v="908"/>
    <n v="1.64"/>
    <n v="0.35"/>
    <n v="0.65"/>
    <m/>
    <m/>
    <s v=""/>
    <x v="210"/>
    <n v="4.25"/>
  </r>
  <r>
    <n v="41800"/>
    <m/>
    <m/>
    <m/>
    <m/>
    <x v="256"/>
    <x v="119"/>
    <s v="CVAS"/>
    <x v="3"/>
    <x v="3"/>
    <s v=""/>
    <s v="Games"/>
    <s v=""/>
    <x v="11"/>
    <s v="ACTIVE"/>
    <s v="YES"/>
    <n v="41229"/>
    <s v="Game Shaker"/>
    <s v="NIVEL 128 (1.64 Euros)"/>
    <n v="128"/>
    <s v="Weekly subscription"/>
    <n v="908"/>
    <n v="1.64"/>
    <n v="0.35"/>
    <n v="0.65"/>
    <m/>
    <m/>
    <s v=""/>
    <x v="182"/>
    <n v="4.25"/>
  </r>
  <r>
    <n v="41802"/>
    <m/>
    <m/>
    <m/>
    <m/>
    <x v="257"/>
    <x v="135"/>
    <s v="CVAS"/>
    <x v="10"/>
    <x v="8"/>
    <s v=""/>
    <s v="Others"/>
    <s v="Kids"/>
    <x v="11"/>
    <s v="ACTIVE"/>
    <s v="YES"/>
    <n v="41230"/>
    <s v="Edukidz"/>
    <s v="NIVEL 128 (1.64 Euros)"/>
    <n v="128"/>
    <s v="Weekly subscription"/>
    <n v="908"/>
    <n v="1.64"/>
    <n v="0.4"/>
    <n v="0.6"/>
    <m/>
    <m/>
    <s v=""/>
    <x v="199"/>
    <n v="4.25"/>
  </r>
  <r>
    <n v="41804"/>
    <m/>
    <m/>
    <m/>
    <m/>
    <x v="258"/>
    <x v="139"/>
    <s v="CVAS"/>
    <x v="10"/>
    <x v="2"/>
    <s v=""/>
    <s v="Others"/>
    <s v="Free Time"/>
    <x v="11"/>
    <s v="ACTIVE"/>
    <s v="YES"/>
    <n v="41231"/>
    <s v=" iTrip Viajes y +"/>
    <s v="NIVEL 137 (2.47 Euros)"/>
    <n v="137"/>
    <s v="Weekly subscription"/>
    <n v="908"/>
    <n v="2.4700000000000002"/>
    <n v="0.4"/>
    <n v="0.6"/>
    <m/>
    <m/>
    <s v=""/>
    <x v="204"/>
    <n v="4.25"/>
  </r>
  <r>
    <n v="41805"/>
    <n v="41804"/>
    <m/>
    <m/>
    <m/>
    <x v="259"/>
    <x v="139"/>
    <s v="CVAS"/>
    <x v="10"/>
    <x v="2"/>
    <s v=""/>
    <s v="Others"/>
    <s v="Free Time"/>
    <x v="11"/>
    <s v="ACTIVE"/>
    <s v="YES"/>
    <n v="41231"/>
    <s v=" iTrip Viajes y +"/>
    <s v="NIVEL 0 (0 Euros)"/>
    <n v="0"/>
    <s v="Weekly subscription"/>
    <n v="641"/>
    <n v="0"/>
    <m/>
    <m/>
    <m/>
    <m/>
    <s v=""/>
    <x v="204"/>
    <n v="4.25"/>
  </r>
  <r>
    <n v="41809"/>
    <m/>
    <m/>
    <m/>
    <m/>
    <x v="260"/>
    <x v="138"/>
    <s v="CVAS"/>
    <x v="10"/>
    <x v="2"/>
    <s v=""/>
    <s v="Others"/>
    <s v="Free Time"/>
    <x v="11"/>
    <s v="ACTIVE"/>
    <s v="YES"/>
    <n v="41233"/>
    <s v="Chef Book Recetas"/>
    <s v="NIVEL 137 (2.47 Euros)"/>
    <n v="137"/>
    <s v="Weekly subscription"/>
    <n v="908"/>
    <n v="2.4700000000000002"/>
    <n v="0.4"/>
    <n v="0.6"/>
    <m/>
    <m/>
    <s v=""/>
    <x v="203"/>
    <n v="4.25"/>
  </r>
  <r>
    <n v="41810"/>
    <n v="41809"/>
    <m/>
    <m/>
    <m/>
    <x v="261"/>
    <x v="138"/>
    <s v="CVAS"/>
    <x v="10"/>
    <x v="2"/>
    <s v=""/>
    <s v="Others"/>
    <s v="Free Time"/>
    <x v="11"/>
    <s v="ACTIVE"/>
    <s v="YES"/>
    <n v="41233"/>
    <s v="Chef Book Recetas"/>
    <s v="NIVEL 0 (0 Euros)"/>
    <n v="0"/>
    <s v="Weekly subscription"/>
    <n v="641"/>
    <n v="0"/>
    <m/>
    <m/>
    <m/>
    <m/>
    <s v=""/>
    <x v="203"/>
    <n v="4.25"/>
  </r>
  <r>
    <n v="41813"/>
    <m/>
    <m/>
    <m/>
    <m/>
    <x v="262"/>
    <x v="0"/>
    <s v="CVAS"/>
    <x v="0"/>
    <x v="0"/>
    <s v="Light TV"/>
    <s v="Light"/>
    <s v="Light TV"/>
    <x v="0"/>
    <s v="ACTIVE"/>
    <s v="YES"/>
    <n v="41234"/>
    <s v="Taquilla X3"/>
    <s v="NIVEL 58 (2.99 Euros)"/>
    <n v="58"/>
    <s v="Weekly subscription"/>
    <n v="908"/>
    <n v="2.99"/>
    <n v="0.3"/>
    <n v="0.7"/>
    <m/>
    <m/>
    <s v=""/>
    <x v="149"/>
    <n v="4.25"/>
  </r>
  <r>
    <n v="41815"/>
    <m/>
    <m/>
    <m/>
    <m/>
    <x v="263"/>
    <x v="0"/>
    <s v="CVAS"/>
    <x v="0"/>
    <x v="0"/>
    <s v="Light TV"/>
    <s v="Light"/>
    <s v="Light TV"/>
    <x v="0"/>
    <s v="ACTIVE"/>
    <s v="YES"/>
    <n v="41235"/>
    <s v="Taquilla X4"/>
    <s v="NIVEL 58 (2.99 Euros)"/>
    <n v="58"/>
    <s v="Weekly subscription"/>
    <n v="908"/>
    <n v="2.99"/>
    <n v="0.3"/>
    <n v="0.7"/>
    <m/>
    <m/>
    <s v=""/>
    <x v="149"/>
    <n v="4.25"/>
  </r>
  <r>
    <n v="41817"/>
    <m/>
    <m/>
    <m/>
    <m/>
    <x v="264"/>
    <x v="0"/>
    <s v="CVAS"/>
    <x v="0"/>
    <x v="0"/>
    <s v="Light TV"/>
    <s v="Light"/>
    <s v="Light TV"/>
    <x v="15"/>
    <s v="ACTIVE"/>
    <s v="YES"/>
    <n v="41236"/>
    <s v="Taquilla X8"/>
    <s v="NIVEL 58 (2.99 Euros)"/>
    <n v="58"/>
    <s v="Weekly subscription"/>
    <n v="908"/>
    <n v="2.99"/>
    <n v="0.3"/>
    <n v="0.7"/>
    <m/>
    <m/>
    <s v=""/>
    <x v="149"/>
    <n v="4.25"/>
  </r>
  <r>
    <n v="41820"/>
    <m/>
    <m/>
    <m/>
    <m/>
    <x v="265"/>
    <x v="0"/>
    <s v="CVAS"/>
    <x v="0"/>
    <x v="0"/>
    <s v="Light TV"/>
    <s v="Light"/>
    <s v="Light TV"/>
    <x v="15"/>
    <s v="ACTIVE"/>
    <s v="YES"/>
    <n v="41237"/>
    <s v="Taquilla X9"/>
    <s v="NIVEL 12 (5 E)"/>
    <n v="12"/>
    <s v="Weekly subscription"/>
    <n v="908"/>
    <n v="5"/>
    <n v="0.3"/>
    <n v="0.7"/>
    <m/>
    <m/>
    <s v=""/>
    <x v="149"/>
    <n v="4.25"/>
  </r>
  <r>
    <n v="41822"/>
    <m/>
    <m/>
    <m/>
    <m/>
    <x v="266"/>
    <x v="0"/>
    <s v="CVAS"/>
    <x v="0"/>
    <x v="0"/>
    <s v="Light TV"/>
    <s v="Light"/>
    <s v="Light TV"/>
    <x v="15"/>
    <s v="ACTIVE"/>
    <s v="YES"/>
    <n v="41238"/>
    <s v="Taquilla X10"/>
    <s v="NIVEL 58 (2.99 Euros)"/>
    <n v="58"/>
    <s v="Weekly subscription"/>
    <n v="908"/>
    <n v="2.99"/>
    <n v="0.3"/>
    <n v="0.7"/>
    <m/>
    <m/>
    <s v=""/>
    <x v="149"/>
    <n v="4.25"/>
  </r>
  <r>
    <n v="41824"/>
    <m/>
    <n v="476"/>
    <n v="47602"/>
    <n v="47602"/>
    <x v="267"/>
    <x v="147"/>
    <s v="CVAS"/>
    <x v="3"/>
    <x v="3"/>
    <s v=""/>
    <s v="Games"/>
    <s v=""/>
    <x v="19"/>
    <s v="ACTIVE"/>
    <s v="YES"/>
    <n v="41239"/>
    <s v="Amigo Games"/>
    <s v="NIVEL 54 (0.99 Euros)"/>
    <n v="54"/>
    <s v="Weekly subscription"/>
    <n v="908"/>
    <n v="0.99"/>
    <n v="0.4"/>
    <n v="0.6"/>
    <m/>
    <m/>
    <s v=""/>
    <x v="211"/>
    <n v="4.25"/>
  </r>
  <r>
    <n v="41825"/>
    <n v="41824"/>
    <n v="476"/>
    <n v="47601"/>
    <n v="47601"/>
    <x v="268"/>
    <x v="147"/>
    <s v="CVAS"/>
    <x v="3"/>
    <x v="3"/>
    <s v=""/>
    <s v="Games"/>
    <s v=""/>
    <x v="19"/>
    <s v="ACTIVE"/>
    <s v="YES"/>
    <n v="41239"/>
    <s v="Amigo Games"/>
    <s v="NIVEL 0 (0 Euros)"/>
    <n v="0"/>
    <s v="Weekly subscription"/>
    <n v="641"/>
    <n v="0"/>
    <m/>
    <m/>
    <m/>
    <m/>
    <s v=""/>
    <x v="211"/>
    <n v="4.25"/>
  </r>
  <r>
    <n v="41909"/>
    <m/>
    <n v="578"/>
    <n v="57801"/>
    <n v="57801"/>
    <x v="269"/>
    <x v="148"/>
    <s v="CVAS"/>
    <x v="5"/>
    <x v="2"/>
    <s v=""/>
    <s v="Others"/>
    <s v="Free Time"/>
    <x v="20"/>
    <s v="ACTIVE"/>
    <s v="YES"/>
    <n v="41276"/>
    <s v="The Tourist"/>
    <s v="NIVEL 136 (2.06 Euros)"/>
    <n v="136"/>
    <s v="Weekly subscription"/>
    <n v="908"/>
    <n v="2.06"/>
    <n v="0.45"/>
    <n v="0.55000000000000004"/>
    <m/>
    <m/>
    <s v=""/>
    <x v="212"/>
    <n v="4.25"/>
  </r>
  <r>
    <n v="41949"/>
    <m/>
    <n v="238"/>
    <n v="23801"/>
    <n v="23801"/>
    <x v="270"/>
    <x v="146"/>
    <s v="CVAS"/>
    <x v="5"/>
    <x v="2"/>
    <s v=""/>
    <s v="Others"/>
    <s v="Free Time"/>
    <x v="11"/>
    <s v="ACTIVE"/>
    <s v="YES"/>
    <n v="41296"/>
    <s v="Top Video"/>
    <s v="NIVEL 128 (1.64 Euros)"/>
    <n v="128"/>
    <s v="Weekly subscription"/>
    <n v="908"/>
    <n v="1.64"/>
    <n v="0.45"/>
    <n v="0.55000000000000004"/>
    <m/>
    <m/>
    <s v=""/>
    <x v="210"/>
    <n v="4.25"/>
  </r>
  <r>
    <n v="42011"/>
    <m/>
    <n v="301"/>
    <n v="30101"/>
    <n v="30101"/>
    <x v="271"/>
    <x v="0"/>
    <s v="CVAS"/>
    <x v="0"/>
    <x v="0"/>
    <s v=""/>
    <s v="Light"/>
    <s v="Light Soft"/>
    <x v="0"/>
    <s v="ACTIVE"/>
    <s v="YES"/>
    <n v="41337"/>
    <s v="eXoticas"/>
    <s v="NIVEL 135 (1.23 Euros)"/>
    <n v="135"/>
    <s v="Weekly subscription"/>
    <n v="908"/>
    <n v="1.23"/>
    <n v="0.45"/>
    <n v="0.55000000000000004"/>
    <m/>
    <m/>
    <s v=""/>
    <x v="213"/>
    <n v="4.25"/>
  </r>
  <r>
    <n v="42049"/>
    <m/>
    <n v="222"/>
    <n v="22201"/>
    <n v="22201"/>
    <x v="272"/>
    <x v="149"/>
    <s v="CVAS"/>
    <x v="3"/>
    <x v="3"/>
    <s v=""/>
    <s v="Games"/>
    <s v=""/>
    <x v="11"/>
    <s v="ACTIVE"/>
    <s v="YES"/>
    <n v="41356"/>
    <s v="Fun Planet"/>
    <s v="NIVEL 56 (1.99 Euros)"/>
    <n v="56"/>
    <s v="Weekly subscription"/>
    <n v="908"/>
    <n v="1.99"/>
    <n v="0.55000000000000004"/>
    <n v="0.45"/>
    <m/>
    <m/>
    <s v=""/>
    <x v="214"/>
    <n v="4.25"/>
  </r>
  <r>
    <n v="42069"/>
    <m/>
    <m/>
    <m/>
    <m/>
    <x v="273"/>
    <x v="149"/>
    <s v="CVAS"/>
    <x v="3"/>
    <x v="3"/>
    <s v=""/>
    <s v="Games"/>
    <s v=""/>
    <x v="11"/>
    <s v="ACTIVE"/>
    <s v="YES"/>
    <n v="41376"/>
    <s v="Fun Planet"/>
    <s v="NIVEL 56 (1.99 Euros)"/>
    <n v="56"/>
    <s v="Weekly subscription"/>
    <n v="908"/>
    <n v="1.99"/>
    <n v="0.45"/>
    <n v="0.55000000000000004"/>
    <m/>
    <m/>
    <s v=""/>
    <x v="214"/>
    <n v="4.25"/>
  </r>
  <r>
    <n v="42071"/>
    <m/>
    <n v="215"/>
    <n v="73"/>
    <n v="73"/>
    <x v="274"/>
    <x v="150"/>
    <s v="CVAS"/>
    <x v="9"/>
    <x v="2"/>
    <s v=""/>
    <s v="Others"/>
    <s v="Free Time"/>
    <x v="11"/>
    <s v="ACTIVE"/>
    <s v="YES"/>
    <n v="41377"/>
    <s v="Astro Futuro"/>
    <s v="NIVEL 56 (1.99 Euros)"/>
    <n v="56"/>
    <s v="Weekly subscription"/>
    <n v="908"/>
    <n v="1.99"/>
    <n v="0.5"/>
    <n v="0.5"/>
    <m/>
    <m/>
    <s v=""/>
    <x v="215"/>
    <n v="4.25"/>
  </r>
  <r>
    <n v="42073"/>
    <m/>
    <m/>
    <m/>
    <m/>
    <x v="275"/>
    <x v="150"/>
    <s v="CVAS"/>
    <x v="9"/>
    <x v="2"/>
    <s v=""/>
    <s v="Others"/>
    <s v="Free Time"/>
    <x v="11"/>
    <s v="ACTIVE"/>
    <s v="YES"/>
    <n v="41378"/>
    <s v="Astro Futuro"/>
    <s v="NIVEL 56 (1.99 Euros)"/>
    <n v="56"/>
    <s v="Weekly subscription"/>
    <n v="908"/>
    <n v="1.99"/>
    <n v="0.4"/>
    <n v="0.6"/>
    <m/>
    <m/>
    <s v=""/>
    <x v="215"/>
    <n v="4.25"/>
  </r>
  <r>
    <n v="42076"/>
    <m/>
    <n v="348"/>
    <n v="34801"/>
    <n v="34801"/>
    <x v="276"/>
    <x v="151"/>
    <s v="CVAS"/>
    <x v="3"/>
    <x v="3"/>
    <s v=""/>
    <s v="Games"/>
    <s v=""/>
    <x v="11"/>
    <s v="ACTIVE"/>
    <s v="YES"/>
    <n v="41380"/>
    <s v="Gamedroid"/>
    <s v="NIVEL 128 (1.64 Euros)"/>
    <n v="128"/>
    <s v="Weekly subscription"/>
    <n v="908"/>
    <n v="1.64"/>
    <n v="0.45"/>
    <n v="0.55000000000000004"/>
    <m/>
    <m/>
    <s v=""/>
    <x v="216"/>
    <n v="4.25"/>
  </r>
  <r>
    <n v="42078"/>
    <m/>
    <m/>
    <m/>
    <m/>
    <x v="277"/>
    <x v="151"/>
    <s v="CVAS"/>
    <x v="3"/>
    <x v="3"/>
    <s v=""/>
    <s v="Games"/>
    <s v=""/>
    <x v="11"/>
    <s v="ACTIVE"/>
    <s v="YES"/>
    <n v="41381"/>
    <s v="Gamedroid"/>
    <s v="NIVEL 128 (1.64 Euros)"/>
    <n v="128"/>
    <s v="Weekly subscription"/>
    <n v="908"/>
    <n v="1.64"/>
    <n v="0.35"/>
    <n v="0.65"/>
    <m/>
    <m/>
    <s v=""/>
    <x v="216"/>
    <n v="4.25"/>
  </r>
  <r>
    <n v="42332"/>
    <m/>
    <m/>
    <m/>
    <m/>
    <x v="278"/>
    <x v="152"/>
    <s v="CVAS"/>
    <x v="10"/>
    <x v="7"/>
    <m/>
    <s v="Others"/>
    <m/>
    <x v="25"/>
    <s v="INACTIVE"/>
    <s v="YES"/>
    <m/>
    <s v="Edmundo"/>
    <m/>
    <m/>
    <s v="Weekly subscription"/>
    <m/>
    <m/>
    <m/>
    <m/>
    <m/>
    <m/>
    <m/>
    <x v="217"/>
    <n v="4.25"/>
  </r>
  <r>
    <n v="42334"/>
    <m/>
    <m/>
    <m/>
    <m/>
    <x v="278"/>
    <x v="152"/>
    <s v="CVAS"/>
    <x v="10"/>
    <x v="7"/>
    <m/>
    <s v="Others"/>
    <m/>
    <x v="25"/>
    <s v="INACTIVE"/>
    <s v="YES"/>
    <m/>
    <s v="Edmundo"/>
    <m/>
    <m/>
    <s v="Weekly subscription"/>
    <m/>
    <m/>
    <m/>
    <m/>
    <m/>
    <m/>
    <m/>
    <x v="217"/>
    <n v="4.25"/>
  </r>
  <r>
    <n v="42339"/>
    <m/>
    <n v="295"/>
    <n v="29501"/>
    <n v="29501"/>
    <x v="279"/>
    <x v="153"/>
    <s v="CVAS"/>
    <x v="10"/>
    <x v="8"/>
    <s v=""/>
    <s v="Others"/>
    <s v="Kids"/>
    <x v="11"/>
    <s v="ACTIVE"/>
    <s v="YES"/>
    <n v="41493"/>
    <s v="Pocoyo House"/>
    <s v="NIVEL 136 (2.06 Euros)"/>
    <n v="136"/>
    <s v="Weekly subscription"/>
    <n v="908"/>
    <n v="2.06"/>
    <n v="0.5"/>
    <n v="0.5"/>
    <m/>
    <m/>
    <s v=""/>
    <x v="218"/>
    <n v="4.25"/>
  </r>
  <r>
    <n v="42341"/>
    <m/>
    <m/>
    <m/>
    <m/>
    <x v="280"/>
    <x v="153"/>
    <s v="CVAS"/>
    <x v="10"/>
    <x v="8"/>
    <s v=""/>
    <s v="Others"/>
    <s v="Kids"/>
    <x v="11"/>
    <s v="ACTIVE"/>
    <s v="YES"/>
    <n v="41494"/>
    <s v="Pocoyo House"/>
    <s v="NIVEL 136 (2.06 Euros)"/>
    <n v="136"/>
    <s v="Weekly subscription"/>
    <n v="908"/>
    <n v="2.06"/>
    <n v="0.4"/>
    <n v="0.6"/>
    <m/>
    <m/>
    <s v=""/>
    <x v="218"/>
    <n v="4.25"/>
  </r>
  <r>
    <n v="42371"/>
    <m/>
    <m/>
    <m/>
    <m/>
    <x v="281"/>
    <x v="154"/>
    <s v="CVAS"/>
    <x v="5"/>
    <x v="2"/>
    <m/>
    <s v="Others"/>
    <m/>
    <x v="20"/>
    <s v="INACTIVE"/>
    <s v="YES"/>
    <m/>
    <s v="Video Series"/>
    <m/>
    <m/>
    <s v="Weekly subscription"/>
    <m/>
    <m/>
    <m/>
    <m/>
    <m/>
    <m/>
    <m/>
    <x v="219"/>
    <n v="4.25"/>
  </r>
  <r>
    <n v="42389"/>
    <m/>
    <n v="350"/>
    <n v="35001"/>
    <n v="35001"/>
    <x v="282"/>
    <x v="124"/>
    <s v="CVAS"/>
    <x v="10"/>
    <x v="8"/>
    <s v=""/>
    <s v="Others"/>
    <s v="Kids"/>
    <x v="11"/>
    <s v="ACTIVE"/>
    <s v="YES"/>
    <n v="41536"/>
    <s v="Little Smart Planet"/>
    <s v="NIVEL 135 (1.23 Euros)"/>
    <n v="135"/>
    <s v="Weekly subscription"/>
    <n v="908"/>
    <n v="1.23"/>
    <n v="0.5"/>
    <n v="0.5"/>
    <m/>
    <m/>
    <s v=""/>
    <x v="186"/>
    <n v="4.25"/>
  </r>
  <r>
    <n v="42390"/>
    <n v="42389"/>
    <m/>
    <m/>
    <m/>
    <x v="283"/>
    <x v="124"/>
    <s v="CVAS"/>
    <x v="11"/>
    <x v="8"/>
    <s v=""/>
    <s v="Others"/>
    <s v="Kids"/>
    <x v="11"/>
    <s v="ACTIVE"/>
    <s v="YES"/>
    <n v="41536"/>
    <s v="Little Smart Planet"/>
    <s v="NIVEL 0 (0 Euros)"/>
    <n v="0"/>
    <s v="Weekly subscription"/>
    <n v="641"/>
    <n v="0"/>
    <m/>
    <m/>
    <m/>
    <m/>
    <s v=""/>
    <x v="186"/>
    <n v="4.25"/>
  </r>
  <r>
    <n v="42489"/>
    <m/>
    <n v="513"/>
    <n v="51301"/>
    <n v="51301"/>
    <x v="284"/>
    <x v="0"/>
    <s v="CVAS"/>
    <x v="0"/>
    <x v="0"/>
    <s v="Light Hard"/>
    <s v="Light"/>
    <s v="Light Hard"/>
    <x v="8"/>
    <s v="ACTIVE"/>
    <s v="YES"/>
    <n v="41556"/>
    <s v="Puta Locura / Mr 69"/>
    <s v="NIVEL 58 (2.99 Euros)"/>
    <n v="58"/>
    <s v="Weekly subscription"/>
    <m/>
    <n v="2.99"/>
    <n v="0.25"/>
    <n v="0.75"/>
    <m/>
    <m/>
    <s v=""/>
    <x v="83"/>
    <n v="4.25"/>
  </r>
  <r>
    <n v="42529"/>
    <m/>
    <n v="627"/>
    <n v="62701"/>
    <n v="62701"/>
    <x v="285"/>
    <x v="0"/>
    <s v="CVAS"/>
    <x v="0"/>
    <x v="0"/>
    <s v="Light Hard"/>
    <s v="Light"/>
    <s v="Light Hard"/>
    <x v="0"/>
    <s v="ACTIVE"/>
    <s v="YES"/>
    <n v="41576"/>
    <s v="Porno Interactivo"/>
    <s v="NIVEL 58 (2.99 Euros)"/>
    <n v="58"/>
    <s v="Weekly subscription"/>
    <m/>
    <n v="2.99"/>
    <n v="0.3"/>
    <n v="0.7"/>
    <m/>
    <m/>
    <s v=""/>
    <x v="220"/>
    <n v="4.25"/>
  </r>
  <r>
    <n v="42609"/>
    <m/>
    <n v="628"/>
    <n v="62801"/>
    <n v="62801"/>
    <x v="286"/>
    <x v="155"/>
    <s v="CVAS"/>
    <x v="8"/>
    <x v="2"/>
    <s v=""/>
    <s v="Others"/>
    <s v="Free Time"/>
    <x v="20"/>
    <s v="ACTIVE"/>
    <s v="YES"/>
    <n v="41616"/>
    <s v="Parece De El Mundo Today"/>
    <s v="NIVEL 128 (1.64 Euros)"/>
    <n v="128"/>
    <s v="Weekly subscription"/>
    <m/>
    <n v="1.64"/>
    <n v="0.5"/>
    <n v="0.5"/>
    <m/>
    <m/>
    <s v=""/>
    <x v="221"/>
    <n v="4.25"/>
  </r>
  <r>
    <n v="42689"/>
    <m/>
    <n v="515"/>
    <n v="51501"/>
    <n v="51501"/>
    <x v="287"/>
    <x v="156"/>
    <s v="CVAS"/>
    <x v="10"/>
    <x v="8"/>
    <s v=""/>
    <s v="Others"/>
    <s v="Kids"/>
    <x v="8"/>
    <s v="ACTIVE"/>
    <s v="YES"/>
    <n v="41636"/>
    <s v="Caillou y Amigos"/>
    <s v="NIVEL 136 (2.06 Euros)"/>
    <n v="136"/>
    <s v="Weekly subscription"/>
    <m/>
    <n v="2.06"/>
    <n v="0.5"/>
    <n v="0.5"/>
    <m/>
    <m/>
    <s v=""/>
    <x v="222"/>
    <n v="4.25"/>
  </r>
  <r>
    <n v="42691"/>
    <m/>
    <m/>
    <m/>
    <m/>
    <x v="288"/>
    <x v="156"/>
    <s v="CVAS"/>
    <x v="10"/>
    <x v="8"/>
    <s v=""/>
    <s v="Others"/>
    <s v="Kids"/>
    <x v="8"/>
    <s v="INACTIVE"/>
    <s v="YES"/>
    <n v="41637"/>
    <s v="Caillou y Amigos"/>
    <s v="NIVEL 0 (0 Euros)"/>
    <n v="0"/>
    <s v="Weekly subscription"/>
    <m/>
    <n v="0"/>
    <m/>
    <m/>
    <m/>
    <m/>
    <s v=""/>
    <x v="222"/>
    <n v="4.25"/>
  </r>
  <r>
    <n v="42709"/>
    <m/>
    <n v="514"/>
    <n v="51401"/>
    <n v="51401"/>
    <x v="289"/>
    <x v="156"/>
    <s v="CVAS"/>
    <x v="10"/>
    <x v="8"/>
    <s v=""/>
    <s v="Others"/>
    <s v="Kids"/>
    <x v="8"/>
    <s v="ACTIVE"/>
    <s v="YES"/>
    <n v="41656"/>
    <s v="Caillou y Amigos"/>
    <s v="NIVEL 136 (2.06 Euros)"/>
    <n v="136"/>
    <s v="Weekly subscription"/>
    <m/>
    <n v="2.06"/>
    <n v="0.4"/>
    <n v="0.6"/>
    <m/>
    <m/>
    <s v=""/>
    <x v="222"/>
    <n v="4.25"/>
  </r>
  <r>
    <n v="42712"/>
    <m/>
    <m/>
    <m/>
    <m/>
    <x v="290"/>
    <x v="156"/>
    <s v="CVAS"/>
    <x v="10"/>
    <x v="8"/>
    <s v=""/>
    <s v="Others"/>
    <s v="Kids"/>
    <x v="8"/>
    <s v="INACTIVE"/>
    <s v="YES"/>
    <n v="41658"/>
    <s v="Caillou y Amigos"/>
    <s v="NIVEL 0 (0 Euros)"/>
    <n v="0"/>
    <s v="Weekly subscription"/>
    <m/>
    <n v="0"/>
    <m/>
    <m/>
    <m/>
    <m/>
    <s v=""/>
    <x v="222"/>
    <n v="4.25"/>
  </r>
  <r>
    <n v="42869"/>
    <m/>
    <n v="629"/>
    <n v="62901"/>
    <n v="62901"/>
    <x v="291"/>
    <x v="157"/>
    <s v="CVAS"/>
    <x v="0"/>
    <x v="0"/>
    <s v="Light Hard"/>
    <s v="Light"/>
    <s v="Light Hard"/>
    <x v="15"/>
    <s v="ACTIVE"/>
    <s v="YES"/>
    <n v="41716"/>
    <s v="Sex 360"/>
    <s v="NIVEL 58 (2.99 Euros)"/>
    <n v="58"/>
    <s v="Weekly subscription"/>
    <m/>
    <n v="2.99"/>
    <n v="0.3"/>
    <n v="0.7"/>
    <m/>
    <m/>
    <s v=""/>
    <x v="223"/>
    <n v="4.25"/>
  </r>
  <r>
    <n v="42911"/>
    <m/>
    <n v="630"/>
    <n v="63001"/>
    <n v="63001"/>
    <x v="292"/>
    <x v="158"/>
    <s v="CVAS"/>
    <x v="10"/>
    <x v="7"/>
    <s v=""/>
    <s v="Others"/>
    <s v="Beauty and Health"/>
    <x v="20"/>
    <s v="ACTIVE"/>
    <s v="YES"/>
    <n v="41737"/>
    <s v="Sexducate con LB"/>
    <s v="NIVEL 128 (1.64 Euros)"/>
    <n v="128"/>
    <s v="Weekly subscription"/>
    <m/>
    <n v="1.64"/>
    <n v="0.5"/>
    <n v="0.5"/>
    <m/>
    <m/>
    <s v=""/>
    <x v="224"/>
    <n v="4.25"/>
  </r>
  <r>
    <n v="43089"/>
    <m/>
    <m/>
    <m/>
    <m/>
    <x v="293"/>
    <x v="159"/>
    <s v="CVAS"/>
    <x v="0"/>
    <x v="0"/>
    <m/>
    <s v="Others"/>
    <m/>
    <x v="24"/>
    <s v="INACTIVE"/>
    <s v="YES"/>
    <m/>
    <s v="Lifeselector"/>
    <m/>
    <m/>
    <s v="Weekly subscription"/>
    <m/>
    <m/>
    <m/>
    <m/>
    <m/>
    <m/>
    <m/>
    <x v="225"/>
    <n v="4.25"/>
  </r>
  <r>
    <n v="43091"/>
    <m/>
    <n v="444"/>
    <n v="44402"/>
    <n v="44402"/>
    <x v="294"/>
    <x v="91"/>
    <s v="CVAS"/>
    <x v="8"/>
    <x v="6"/>
    <s v=""/>
    <s v="Others"/>
    <s v="News"/>
    <x v="20"/>
    <s v="ACTIVE"/>
    <s v="YES"/>
    <n v="41757"/>
    <s v="Noticias emocion"/>
    <s v="NIVEL 135 (1.23 Euros)"/>
    <n v="135"/>
    <s v="Weekly subscription"/>
    <m/>
    <n v="1.23"/>
    <n v="0.5"/>
    <n v="0.5"/>
    <m/>
    <m/>
    <s v=""/>
    <x v="160"/>
    <n v="4.25"/>
  </r>
  <r>
    <n v="43093"/>
    <m/>
    <n v="440"/>
    <n v="44002"/>
    <n v="44002"/>
    <x v="295"/>
    <x v="81"/>
    <s v="CVAS"/>
    <x v="7"/>
    <x v="5"/>
    <s v=""/>
    <s v="Others"/>
    <s v="Sports"/>
    <x v="20"/>
    <s v="ACTIVE"/>
    <s v="YES"/>
    <n v="41758"/>
    <s v="Deportes emocion"/>
    <s v="NIVEL 135 (1.23 Euros)"/>
    <n v="135"/>
    <s v="Weekly subscription"/>
    <m/>
    <n v="1.23"/>
    <n v="0.5"/>
    <n v="0.5"/>
    <m/>
    <m/>
    <s v=""/>
    <x v="146"/>
    <n v="4.25"/>
  </r>
  <r>
    <n v="43269"/>
    <m/>
    <n v="632"/>
    <n v="63201"/>
    <n v="63201"/>
    <x v="296"/>
    <x v="0"/>
    <s v="CVAS"/>
    <x v="0"/>
    <x v="0"/>
    <s v="Light Hard"/>
    <s v="Light"/>
    <s v="Light Hard"/>
    <x v="9"/>
    <s v="ACTIVE"/>
    <s v="YES"/>
    <n v="41816"/>
    <s v="Playboy"/>
    <s v="NIVEL 58 (2.99 Euros)"/>
    <n v="58"/>
    <s v="Weekly subscription"/>
    <m/>
    <n v="2.99"/>
    <n v="0.4"/>
    <n v="0.6"/>
    <m/>
    <m/>
    <s v=""/>
    <x v="78"/>
    <n v="4.25"/>
  </r>
  <r>
    <n v="43349"/>
    <m/>
    <m/>
    <m/>
    <m/>
    <x v="297"/>
    <x v="158"/>
    <s v="CVAS"/>
    <x v="10"/>
    <x v="7"/>
    <s v=""/>
    <s v="Others"/>
    <s v="Beauty and Health"/>
    <x v="20"/>
    <s v="ACTIVE"/>
    <s v="YES"/>
    <n v="41836"/>
    <s v="Sexducate con LB"/>
    <s v="NIVEL 128 (1.64 Euros)"/>
    <n v="128"/>
    <s v="Weekly subscription"/>
    <m/>
    <n v="1.64"/>
    <n v="0.4"/>
    <n v="0.6"/>
    <m/>
    <m/>
    <s v=""/>
    <x v="224"/>
    <n v="4.25"/>
  </r>
  <r>
    <n v="43429"/>
    <m/>
    <n v="633"/>
    <n v="63301"/>
    <n v="63301"/>
    <x v="298"/>
    <x v="160"/>
    <s v="CVAS"/>
    <x v="3"/>
    <x v="3"/>
    <s v=""/>
    <s v="Games"/>
    <s v=""/>
    <x v="26"/>
    <s v="ACTIVE"/>
    <s v="YES"/>
    <n v="41856"/>
    <s v="VR Games"/>
    <s v="NIVEL 135 (1.23 Euros)"/>
    <n v="135"/>
    <s v="Weekly subscription"/>
    <m/>
    <n v="1.23"/>
    <n v="0.5"/>
    <n v="0.5"/>
    <m/>
    <m/>
    <s v=""/>
    <x v="226"/>
    <n v="4.25"/>
  </r>
  <r>
    <n v="43549"/>
    <m/>
    <m/>
    <m/>
    <m/>
    <x v="299"/>
    <x v="155"/>
    <s v="CVAS"/>
    <x v="8"/>
    <x v="2"/>
    <s v=""/>
    <s v="Others"/>
    <s v="Free Time"/>
    <x v="20"/>
    <s v="ACTIVE"/>
    <s v="YES"/>
    <n v="41896"/>
    <s v="Parece De El Mundo Today"/>
    <s v="NIVEL 128 (1.64 Euros)"/>
    <n v="128"/>
    <s v="Weekly subscription"/>
    <m/>
    <n v="1.64"/>
    <n v="0.4"/>
    <n v="0.6"/>
    <m/>
    <m/>
    <s v=""/>
    <x v="221"/>
    <n v="4.25"/>
  </r>
  <r>
    <n v="43551"/>
    <m/>
    <n v="200"/>
    <n v="20002"/>
    <n v="20002"/>
    <x v="300"/>
    <x v="161"/>
    <s v="CVAS"/>
    <x v="3"/>
    <x v="3"/>
    <s v=""/>
    <s v="Games"/>
    <s v=""/>
    <x v="20"/>
    <s v="ACTIVE"/>
    <s v="YES"/>
    <n v="41897"/>
    <s v="Movistar Juegos"/>
    <s v="NIVEL 128 (1.64 Euros)"/>
    <n v="128"/>
    <s v="Weekly subscription"/>
    <m/>
    <n v="1.64"/>
    <n v="0.5"/>
    <n v="0.5"/>
    <m/>
    <m/>
    <s v=""/>
    <x v="227"/>
    <n v="4.25"/>
  </r>
  <r>
    <n v="43553"/>
    <n v="43551"/>
    <n v="200"/>
    <n v="20001"/>
    <n v="20001"/>
    <x v="301"/>
    <x v="161"/>
    <s v="CVAS"/>
    <x v="3"/>
    <x v="3"/>
    <s v=""/>
    <s v="Games"/>
    <s v=""/>
    <x v="20"/>
    <s v="ACTIVE"/>
    <s v="YES"/>
    <n v="41898"/>
    <s v="Movistar Juegos"/>
    <s v="NIVEL 0 (0 Euros)"/>
    <n v="0"/>
    <s v="Weekly subscription"/>
    <m/>
    <n v="0"/>
    <m/>
    <m/>
    <m/>
    <m/>
    <s v=""/>
    <x v="227"/>
    <n v="4.25"/>
  </r>
  <r>
    <n v="43571"/>
    <m/>
    <n v="565"/>
    <n v="56502"/>
    <n v="56502"/>
    <x v="302"/>
    <x v="111"/>
    <s v="CVAS"/>
    <x v="10"/>
    <x v="2"/>
    <s v=""/>
    <s v="Others"/>
    <s v="Free Time"/>
    <x v="22"/>
    <s v="ACTIVE"/>
    <s v="YES"/>
    <n v="41918"/>
    <s v="EnglishPills"/>
    <s v="NIVEL 136 (2.06 Euros)"/>
    <n v="136"/>
    <s v="Weekly subscription"/>
    <m/>
    <n v="2.06"/>
    <n v="0.5"/>
    <n v="0.5"/>
    <m/>
    <m/>
    <s v=""/>
    <x v="169"/>
    <n v="4.25"/>
  </r>
  <r>
    <n v="43573"/>
    <n v="43571"/>
    <m/>
    <m/>
    <m/>
    <x v="303"/>
    <x v="111"/>
    <s v="CVAS"/>
    <x v="10"/>
    <x v="2"/>
    <s v=""/>
    <s v="Others"/>
    <s v="Free Time"/>
    <x v="22"/>
    <s v="ACTIVE"/>
    <s v="YES"/>
    <n v="41919"/>
    <s v="EnglishPills"/>
    <s v="NIVEL 0 (0 Euros)"/>
    <n v="0"/>
    <s v="Weekly subscription"/>
    <m/>
    <n v="0"/>
    <m/>
    <m/>
    <m/>
    <m/>
    <s v=""/>
    <x v="169"/>
    <n v="4.25"/>
  </r>
  <r>
    <n v="43575"/>
    <m/>
    <n v="566"/>
    <n v="56602"/>
    <n v="56602"/>
    <x v="304"/>
    <x v="111"/>
    <s v="CVAS"/>
    <x v="10"/>
    <x v="2"/>
    <s v=""/>
    <s v="Others"/>
    <s v="Free Time"/>
    <x v="22"/>
    <s v="ACTIVE"/>
    <s v="YES"/>
    <n v="41920"/>
    <s v="EnglishPills"/>
    <s v="NIVEL 136 (2.06 Euros)"/>
    <n v="136"/>
    <s v="Weekly subscription"/>
    <m/>
    <n v="2.06"/>
    <n v="0.4"/>
    <n v="0.6"/>
    <m/>
    <m/>
    <s v=""/>
    <x v="169"/>
    <n v="4.25"/>
  </r>
  <r>
    <n v="43577"/>
    <n v="43575"/>
    <m/>
    <m/>
    <m/>
    <x v="305"/>
    <x v="111"/>
    <s v="CVAS"/>
    <x v="10"/>
    <x v="2"/>
    <s v=""/>
    <s v="Others"/>
    <s v="Free Time"/>
    <x v="22"/>
    <s v="ACTIVE"/>
    <s v="YES"/>
    <n v="41921"/>
    <s v="EnglishPills"/>
    <s v="NIVEL 0 (0 Euros)"/>
    <n v="0"/>
    <s v="Weekly subscription"/>
    <m/>
    <n v="0"/>
    <m/>
    <m/>
    <m/>
    <m/>
    <s v=""/>
    <x v="169"/>
    <n v="4.25"/>
  </r>
  <r>
    <n v="43609"/>
    <m/>
    <n v="204"/>
    <n v="20401"/>
    <n v="20401"/>
    <x v="306"/>
    <x v="162"/>
    <s v="CVAS"/>
    <x v="5"/>
    <x v="2"/>
    <s v=""/>
    <s v="Others"/>
    <s v="Free Time"/>
    <x v="8"/>
    <s v="ACTIVE"/>
    <s v="YES"/>
    <n v="41936"/>
    <s v="Comedy Factory"/>
    <s v="NIVEL 137 (2.47 Euros)"/>
    <n v="137"/>
    <s v="Weekly subscription"/>
    <m/>
    <n v="2.4700000000000002"/>
    <n v="0.6"/>
    <n v="0.4"/>
    <m/>
    <m/>
    <s v=""/>
    <x v="228"/>
    <n v="4.25"/>
  </r>
  <r>
    <n v="43611"/>
    <m/>
    <n v="203"/>
    <n v="20301"/>
    <n v="20301"/>
    <x v="307"/>
    <x v="162"/>
    <s v="CVAS"/>
    <x v="5"/>
    <x v="2"/>
    <s v=""/>
    <s v="Others"/>
    <s v="Free Time"/>
    <x v="8"/>
    <s v="ACTIVE"/>
    <s v="YES"/>
    <n v="41937"/>
    <s v="Comedy Factory"/>
    <s v="NIVEL 137 (2.47 Euros)"/>
    <n v="137"/>
    <s v="Weekly subscription"/>
    <m/>
    <n v="2.4700000000000002"/>
    <n v="0.4"/>
    <n v="0.6"/>
    <m/>
    <m/>
    <s v=""/>
    <x v="228"/>
    <n v="4.25"/>
  </r>
  <r>
    <n v="43613"/>
    <m/>
    <n v="202"/>
    <n v="20201"/>
    <n v="20201"/>
    <x v="308"/>
    <x v="163"/>
    <s v="CVAS"/>
    <x v="10"/>
    <x v="8"/>
    <s v=""/>
    <s v="Others"/>
    <s v="Kids"/>
    <x v="8"/>
    <s v="ACTIVE"/>
    <s v="YES"/>
    <n v="41938"/>
    <s v="Videos Clap"/>
    <s v="NIVEL 137 (2.47 Euros)"/>
    <n v="137"/>
    <s v="Weekly subscription"/>
    <m/>
    <n v="2.4700000000000002"/>
    <n v="0.6"/>
    <n v="0.4"/>
    <m/>
    <m/>
    <s v=""/>
    <x v="229"/>
    <n v="4.25"/>
  </r>
  <r>
    <n v="43615"/>
    <m/>
    <n v="201"/>
    <n v="20101"/>
    <n v="20101"/>
    <x v="309"/>
    <x v="163"/>
    <s v="CVAS"/>
    <x v="10"/>
    <x v="8"/>
    <s v=""/>
    <s v="Others"/>
    <s v="Kids"/>
    <x v="8"/>
    <s v="ACTIVE"/>
    <s v="YES"/>
    <n v="41939"/>
    <s v="Videos Clap"/>
    <s v="NIVEL 137 (2.47 Euros)"/>
    <n v="137"/>
    <s v="Weekly subscription"/>
    <m/>
    <n v="2.4700000000000002"/>
    <n v="0.4"/>
    <n v="0.6"/>
    <m/>
    <m/>
    <s v=""/>
    <x v="229"/>
    <n v="4.25"/>
  </r>
  <r>
    <n v="43617"/>
    <m/>
    <n v="206"/>
    <n v="20601"/>
    <n v="20601"/>
    <x v="310"/>
    <x v="164"/>
    <s v="CVAS"/>
    <x v="5"/>
    <x v="2"/>
    <s v=""/>
    <s v="Others"/>
    <s v="Free Time"/>
    <x v="8"/>
    <s v="ACTIVE"/>
    <s v="YES"/>
    <n v="41940"/>
    <s v="Videos Tribuu"/>
    <s v="NIVEL 137 (2.47 Euros)"/>
    <n v="137"/>
    <s v="Weekly subscription"/>
    <m/>
    <n v="2.4700000000000002"/>
    <n v="0.6"/>
    <n v="0.4"/>
    <m/>
    <m/>
    <s v=""/>
    <x v="230"/>
    <n v="4.25"/>
  </r>
  <r>
    <n v="43619"/>
    <m/>
    <n v="205"/>
    <n v="20501"/>
    <n v="20501"/>
    <x v="311"/>
    <x v="164"/>
    <s v="CVAS"/>
    <x v="5"/>
    <x v="2"/>
    <s v=""/>
    <s v="Others"/>
    <s v="Free Time"/>
    <x v="8"/>
    <s v="ACTIVE"/>
    <s v="YES"/>
    <n v="41941"/>
    <s v="Videos Tribuu"/>
    <s v="NIVEL 137 (2.47 Euros)"/>
    <n v="137"/>
    <s v="Weekly subscription"/>
    <m/>
    <n v="2.4700000000000002"/>
    <n v="0.4"/>
    <n v="0.6"/>
    <m/>
    <m/>
    <s v=""/>
    <x v="230"/>
    <n v="4.25"/>
  </r>
  <r>
    <n v="43749"/>
    <m/>
    <n v="635"/>
    <n v="63501"/>
    <n v="63501"/>
    <x v="312"/>
    <x v="81"/>
    <s v="CVAS"/>
    <x v="7"/>
    <x v="5"/>
    <s v=""/>
    <s v="Others"/>
    <s v="Sports"/>
    <x v="20"/>
    <s v="ACTIVE"/>
    <s v="YES"/>
    <n v="41976"/>
    <s v="Deportes Emocion"/>
    <s v="NIVEL 135 (1.23 Euros)"/>
    <n v="135"/>
    <s v="Weekly subscription"/>
    <m/>
    <n v="1.23"/>
    <n v="0.4"/>
    <n v="0.6"/>
    <m/>
    <m/>
    <s v=""/>
    <x v="146"/>
    <n v="4.25"/>
  </r>
  <r>
    <n v="43751"/>
    <m/>
    <n v="636"/>
    <n v="63601"/>
    <n v="63601"/>
    <x v="313"/>
    <x v="91"/>
    <s v="CVAS"/>
    <x v="8"/>
    <x v="6"/>
    <s v=""/>
    <s v="Others"/>
    <s v="News"/>
    <x v="20"/>
    <s v="ACTIVE"/>
    <s v="YES"/>
    <n v="41977"/>
    <s v="Noticias emocion"/>
    <s v="NIVEL 135 (1.23 Euros)"/>
    <n v="135"/>
    <s v="Weekly subscription"/>
    <m/>
    <n v="1.23"/>
    <n v="0.4"/>
    <n v="0.6"/>
    <m/>
    <m/>
    <s v=""/>
    <x v="160"/>
    <n v="4.25"/>
  </r>
  <r>
    <n v="43789"/>
    <n v="43551"/>
    <n v="200"/>
    <n v="20003"/>
    <n v="20003"/>
    <x v="314"/>
    <x v="161"/>
    <s v="CVAS"/>
    <x v="3"/>
    <x v="3"/>
    <s v=""/>
    <s v="Games"/>
    <s v=""/>
    <x v="20"/>
    <s v="ACTIVE"/>
    <s v="YES"/>
    <n v="41996"/>
    <s v="Movistar Juegos"/>
    <s v="NIVEL 0 (0 Euros)"/>
    <n v="0"/>
    <s v="Monthly"/>
    <m/>
    <n v="0"/>
    <m/>
    <m/>
    <m/>
    <m/>
    <s v=""/>
    <x v="227"/>
    <n v="1"/>
  </r>
  <r>
    <n v="43869"/>
    <m/>
    <n v="637"/>
    <n v="63701"/>
    <n v="63701"/>
    <x v="315"/>
    <x v="165"/>
    <s v="CVAS"/>
    <x v="11"/>
    <x v="8"/>
    <s v=""/>
    <s v="Others"/>
    <s v="Kids"/>
    <x v="11"/>
    <s v="ACTIVE"/>
    <s v="YES"/>
    <n v="42036"/>
    <s v="Hello Kitty"/>
    <s v="NIVEL 128 (1.64 Euros)"/>
    <n v="128"/>
    <s v="Weekly subscription"/>
    <m/>
    <n v="1.64"/>
    <n v="0.5"/>
    <n v="0.5"/>
    <m/>
    <m/>
    <s v=""/>
    <x v="231"/>
    <n v="4.25"/>
  </r>
  <r>
    <n v="44009"/>
    <m/>
    <n v="638"/>
    <n v="63801"/>
    <n v="63801"/>
    <x v="316"/>
    <x v="166"/>
    <s v="CVAS"/>
    <x v="12"/>
    <x v="2"/>
    <s v=""/>
    <s v="Others"/>
    <s v="Free Time"/>
    <x v="27"/>
    <s v="ACTIVE"/>
    <s v="YES"/>
    <n v="42056"/>
    <s v="Abaco"/>
    <s v="NIVEL 128 (1.64 Euros)"/>
    <n v="128"/>
    <s v="Weekly subscription"/>
    <m/>
    <n v="1.64"/>
    <n v="0.5"/>
    <n v="0.5"/>
    <m/>
    <m/>
    <s v=""/>
    <x v="232"/>
    <n v="4.25"/>
  </r>
  <r>
    <n v="44029"/>
    <m/>
    <m/>
    <s v="X"/>
    <s v="X"/>
    <x v="317"/>
    <x v="167"/>
    <s v="CVAS"/>
    <x v="11"/>
    <x v="8"/>
    <s v=""/>
    <s v="Others"/>
    <s v="Kids"/>
    <x v="28"/>
    <s v="ACTIVE"/>
    <s v="YES"/>
    <n v="42076"/>
    <s v="Aula 365"/>
    <s v="NIVEL 128 (1.64 Euros)"/>
    <n v="128"/>
    <s v="Weekly subscription"/>
    <m/>
    <n v="1.64"/>
    <n v="0.5"/>
    <n v="0.5"/>
    <m/>
    <m/>
    <s v=""/>
    <x v="233"/>
    <n v="4.25"/>
  </r>
  <r>
    <n v="44049"/>
    <m/>
    <m/>
    <m/>
    <m/>
    <x v="318"/>
    <x v="165"/>
    <s v="CVAS"/>
    <x v="11"/>
    <x v="8"/>
    <s v=""/>
    <s v="Others"/>
    <s v="Kids"/>
    <x v="11"/>
    <s v="ACTIVE"/>
    <s v="YES"/>
    <n v="42096"/>
    <s v="Hello Kitty"/>
    <s v="NIVEL 128 (1.64 Euros)"/>
    <n v="128"/>
    <s v="Weekly subscription"/>
    <m/>
    <n v="1.64"/>
    <n v="0.4"/>
    <n v="0.6"/>
    <m/>
    <m/>
    <s v=""/>
    <x v="231"/>
    <n v="4.25"/>
  </r>
  <r>
    <n v="44051"/>
    <m/>
    <n v="639"/>
    <n v="63901"/>
    <n v="63901"/>
    <x v="319"/>
    <x v="168"/>
    <s v="CVAS"/>
    <x v="5"/>
    <x v="7"/>
    <s v=""/>
    <s v="Others"/>
    <s v="Beauty and Health"/>
    <x v="29"/>
    <s v="ACTIVE"/>
    <s v="YES"/>
    <n v="42097"/>
    <s v="Slow Life"/>
    <s v="NIVEL 137 (2.47 Euros)"/>
    <n v="137"/>
    <s v="Weekly subscription"/>
    <m/>
    <n v="2.4700000000000002"/>
    <n v="0.5"/>
    <n v="0.5"/>
    <m/>
    <m/>
    <s v=""/>
    <x v="234"/>
    <n v="4.25"/>
  </r>
  <r>
    <n v="44169"/>
    <m/>
    <m/>
    <s v="X"/>
    <s v="X"/>
    <x v="320"/>
    <x v="169"/>
    <s v="CVAS"/>
    <x v="12"/>
    <x v="2"/>
    <s v=""/>
    <s v="Others"/>
    <s v="Free Time"/>
    <x v="30"/>
    <s v="ACTIVE"/>
    <s v="YES"/>
    <n v="42116"/>
    <s v="Tunenglish"/>
    <s v="NIVEL 128 (1.64 Euros)"/>
    <n v="128"/>
    <s v="Weekly subscription"/>
    <m/>
    <n v="1.64"/>
    <n v="0.55000000000000004"/>
    <n v="0.45"/>
    <m/>
    <m/>
    <s v=""/>
    <x v="235"/>
    <n v="4.25"/>
  </r>
  <r>
    <n v="44171"/>
    <m/>
    <m/>
    <s v="X"/>
    <s v="X"/>
    <x v="321"/>
    <x v="170"/>
    <s v="CVAS"/>
    <x v="12"/>
    <x v="2"/>
    <s v=""/>
    <s v="Others"/>
    <s v="Free Time"/>
    <x v="30"/>
    <s v="ACTIVE"/>
    <s v="YES"/>
    <n v="42117"/>
    <s v="Bloomberg English"/>
    <s v="NIVEL 135 (1.23 Euros)"/>
    <n v="135"/>
    <s v="Weekly subscription"/>
    <m/>
    <n v="1.23"/>
    <n v="0.55000000000000004"/>
    <n v="0.45"/>
    <m/>
    <m/>
    <s v=""/>
    <x v="236"/>
    <n v="4.25"/>
  </r>
  <r>
    <n v="44190"/>
    <m/>
    <n v="640"/>
    <n v="64001"/>
    <n v="64001"/>
    <x v="322"/>
    <x v="171"/>
    <s v="CVAS"/>
    <x v="5"/>
    <x v="7"/>
    <s v=""/>
    <s v="Others"/>
    <s v="Beauty and Health"/>
    <x v="31"/>
    <s v="ACTIVE"/>
    <s v="YES"/>
    <n v="42136"/>
    <s v="SoniQ"/>
    <s v="NIVEL 136 (2.06 Euros)"/>
    <n v="136"/>
    <s v="Weekly subscription"/>
    <m/>
    <n v="2.06"/>
    <n v="0.75"/>
    <n v="0.25"/>
    <m/>
    <m/>
    <s v=""/>
    <x v="237"/>
    <n v="4.25"/>
  </r>
  <r>
    <n v="44269"/>
    <m/>
    <m/>
    <s v="X"/>
    <s v="X"/>
    <x v="323"/>
    <x v="172"/>
    <s v="CVAS"/>
    <x v="10"/>
    <x v="7"/>
    <s v=""/>
    <s v="Others"/>
    <s v="Beauty and Health"/>
    <x v="32"/>
    <s v="ACTIVE"/>
    <s v="YES"/>
    <n v="42176"/>
    <s v="Aire Fresco"/>
    <s v="NIVEL 128 (1.64 Euros)"/>
    <n v="128"/>
    <s v="Weekly subscription"/>
    <m/>
    <n v="1.64"/>
    <n v="0.65"/>
    <n v="0.35"/>
    <m/>
    <m/>
    <s v=""/>
    <x v="238"/>
    <n v="4.25"/>
  </r>
  <r>
    <n v="44409"/>
    <m/>
    <m/>
    <s v="X"/>
    <s v="X"/>
    <x v="324"/>
    <x v="0"/>
    <s v="CVAS"/>
    <x v="0"/>
    <x v="0"/>
    <s v="Light Soft"/>
    <s v="Light"/>
    <s v="Light Soft"/>
    <x v="27"/>
    <s v="ACTIVE"/>
    <s v="YES"/>
    <n v="42196"/>
    <s v="Pink Crush"/>
    <s v="NIVEL 58 (2.99 Euros)"/>
    <n v="58"/>
    <s v="Weekly subscription"/>
    <m/>
    <n v="2.99"/>
    <n v="0.4"/>
    <n v="0.6"/>
    <m/>
    <m/>
    <s v=""/>
    <x v="239"/>
    <n v="4.25"/>
  </r>
  <r>
    <n v="44469"/>
    <m/>
    <n v="674"/>
    <s v="02"/>
    <n v="67402"/>
    <x v="325"/>
    <x v="173"/>
    <s v="CVAS"/>
    <x v="13"/>
    <x v="9"/>
    <s v=""/>
    <s v="Others"/>
    <s v="Others"/>
    <x v="33"/>
    <s v="ACTIVE"/>
    <s v="YES"/>
    <n v="42236"/>
    <s v="Nubico eBooks"/>
    <s v="NIVEL 64 (5.99 Euros)"/>
    <n v="64"/>
    <s v="Monthly"/>
    <m/>
    <n v="5.99"/>
    <n v="0.88"/>
    <n v="0.12"/>
    <m/>
    <m/>
    <s v=""/>
    <x v="240"/>
    <n v="1"/>
  </r>
  <r>
    <n v="44471"/>
    <n v="44469"/>
    <n v="674"/>
    <s v="01"/>
    <n v="67401"/>
    <x v="326"/>
    <x v="174"/>
    <s v="CVAS"/>
    <x v="13"/>
    <x v="9"/>
    <s v=""/>
    <s v="Others"/>
    <s v="Others"/>
    <x v="33"/>
    <s v="ACTIVE"/>
    <s v="YES"/>
    <n v="42237"/>
    <s v="Nubico Promos"/>
    <s v="NIVEL 0 (0 Euros)"/>
    <n v="0"/>
    <s v="Monthly"/>
    <m/>
    <n v="0"/>
    <m/>
    <m/>
    <m/>
    <m/>
    <s v=""/>
    <x v="241"/>
    <n v="1"/>
  </r>
  <r>
    <n v="44509"/>
    <m/>
    <n v="678"/>
    <s v="01"/>
    <n v="67801"/>
    <x v="327"/>
    <x v="175"/>
    <s v="CVAS"/>
    <x v="10"/>
    <x v="8"/>
    <s v=""/>
    <s v="Others"/>
    <s v="Kids"/>
    <x v="27"/>
    <s v="ACTIVE"/>
    <s v="YES"/>
    <n v="42256"/>
    <s v="Cuaderno Magico"/>
    <s v="NIVEL 128 (1.64 Euros)"/>
    <n v="128"/>
    <s v="Weekly subscription"/>
    <m/>
    <n v="1.64"/>
    <n v="0.5"/>
    <n v="0.5"/>
    <m/>
    <m/>
    <s v=""/>
    <x v="242"/>
    <n v="4.25"/>
  </r>
  <r>
    <n v="44549"/>
    <m/>
    <m/>
    <s v="X"/>
    <s v="X"/>
    <x v="294"/>
    <x v="91"/>
    <s v="CVAS"/>
    <x v="8"/>
    <x v="6"/>
    <s v=""/>
    <s v="Others"/>
    <s v="News"/>
    <x v="20"/>
    <s v="ACTIVE"/>
    <s v="YES"/>
    <n v="42296"/>
    <s v="Noticias emocion"/>
    <s v="NIVEL 128 (1.64 Euros)"/>
    <n v="128"/>
    <s v="Weekly subscription"/>
    <m/>
    <n v="1.64"/>
    <n v="0.5"/>
    <n v="0.5"/>
    <m/>
    <m/>
    <s v=""/>
    <x v="160"/>
    <n v="4.25"/>
  </r>
  <r>
    <n v="44551"/>
    <m/>
    <m/>
    <s v="X"/>
    <s v="X"/>
    <x v="295"/>
    <x v="81"/>
    <s v="CVAS"/>
    <x v="7"/>
    <x v="5"/>
    <s v=""/>
    <s v="Others"/>
    <s v="Sports"/>
    <x v="20"/>
    <s v="ACTIVE"/>
    <s v="YES"/>
    <n v="42297"/>
    <s v="Deportes emocion"/>
    <s v="NIVEL 128 (1.64 Euros)"/>
    <n v="128"/>
    <s v="Weekly subscription"/>
    <m/>
    <n v="1.64"/>
    <n v="0.5"/>
    <n v="0.5"/>
    <m/>
    <m/>
    <s v=""/>
    <x v="146"/>
    <n v="4.25"/>
  </r>
  <r>
    <n v="44611"/>
    <m/>
    <m/>
    <s v="X"/>
    <s v="X"/>
    <x v="328"/>
    <x v="176"/>
    <s v="CVAS"/>
    <x v="10"/>
    <x v="7"/>
    <s v=""/>
    <s v="Others"/>
    <s v="Beauty and Health"/>
    <x v="27"/>
    <s v="ACTIVE"/>
    <s v="YES"/>
    <n v="42356"/>
    <s v="Soy Mujer"/>
    <s v="NIVEL 128 (1.64 Euros)"/>
    <n v="128"/>
    <s v="Weekly subscription"/>
    <m/>
    <n v="1.64"/>
    <n v="0.5"/>
    <n v="0.5"/>
    <m/>
    <m/>
    <s v=""/>
    <x v="243"/>
    <n v="4.25"/>
  </r>
  <r>
    <n v="44618"/>
    <m/>
    <m/>
    <s v="X"/>
    <s v="X"/>
    <x v="329"/>
    <x v="177"/>
    <s v="CVAS"/>
    <x v="11"/>
    <x v="8"/>
    <s v=""/>
    <s v="Others"/>
    <s v="Kids"/>
    <x v="20"/>
    <s v="ACTIVE"/>
    <s v="YES"/>
    <n v="42361"/>
    <s v="Kids Play"/>
    <s v="NIVEL 144 (4.95 Euros)"/>
    <n v="144"/>
    <s v="Monthly"/>
    <m/>
    <n v="4.95"/>
    <n v="0.6"/>
    <n v="0.4"/>
    <m/>
    <m/>
    <s v=""/>
    <x v="244"/>
    <n v="1"/>
  </r>
  <r>
    <n v="44620"/>
    <n v="44618"/>
    <m/>
    <m/>
    <m/>
    <x v="330"/>
    <x v="177"/>
    <s v="CVAS"/>
    <x v="11"/>
    <x v="8"/>
    <s v=""/>
    <s v="Others"/>
    <s v="Kids"/>
    <x v="20"/>
    <s v="ACTIVE"/>
    <s v="YES"/>
    <n v="42362"/>
    <s v="Kids Play"/>
    <s v="NIVEL 0 (0 Euros)"/>
    <n v="0"/>
    <s v="Monthly"/>
    <m/>
    <n v="0"/>
    <m/>
    <m/>
    <m/>
    <m/>
    <s v=""/>
    <x v="244"/>
    <n v="1"/>
  </r>
  <r>
    <n v="44613"/>
    <m/>
    <n v="679"/>
    <n v="67901"/>
    <m/>
    <x v="328"/>
    <x v="176"/>
    <s v="CVAS"/>
    <x v="10"/>
    <x v="7"/>
    <s v=""/>
    <s v="Others"/>
    <s v="Beauty and Health"/>
    <x v="27"/>
    <s v="ACTIVE"/>
    <s v="YES"/>
    <n v="42357"/>
    <s v="Soy Mujer"/>
    <s v="NIVEL 128 (1.64 Euros)"/>
    <n v="128"/>
    <s v="Weekly subscription"/>
    <m/>
    <n v="1.64"/>
    <n v="0.6"/>
    <n v="0.4"/>
    <m/>
    <m/>
    <s v=""/>
    <x v="245"/>
    <m/>
  </r>
  <r>
    <n v="44629"/>
    <m/>
    <m/>
    <m/>
    <m/>
    <x v="331"/>
    <x v="178"/>
    <s v="CVAS"/>
    <x v="10"/>
    <x v="7"/>
    <s v=""/>
    <s v="Others"/>
    <s v="Beauty and Health"/>
    <x v="34"/>
    <s v="ACTIVE"/>
    <s v="YES"/>
    <n v="42376"/>
    <s v="Life R Style"/>
    <s v="NIVEL 128 (1.64 Euros)"/>
    <n v="128"/>
    <s v="Weekly subscription"/>
    <m/>
    <n v="1.64"/>
    <n v="0.6"/>
    <n v="0.4"/>
    <m/>
    <m/>
    <s v=""/>
    <x v="245"/>
    <m/>
  </r>
  <r>
    <n v="44649"/>
    <m/>
    <m/>
    <m/>
    <m/>
    <x v="332"/>
    <x v="179"/>
    <s v="CVAS"/>
    <x v="11"/>
    <x v="2"/>
    <s v=""/>
    <s v="Others"/>
    <s v="Free Time"/>
    <x v="35"/>
    <s v="ACTIVE"/>
    <s v="YES"/>
    <n v="42396"/>
    <s v="Humanity"/>
    <s v="NIVEL 128 (1.64 Euros)"/>
    <n v="128"/>
    <s v="Weekly subscription"/>
    <n v="0"/>
    <n v="1.64"/>
    <n v="0.6"/>
    <n v="0.4"/>
    <m/>
    <m/>
    <s v=""/>
    <x v="245"/>
    <m/>
  </r>
  <r>
    <n v="44689"/>
    <m/>
    <m/>
    <m/>
    <m/>
    <x v="333"/>
    <x v="180"/>
    <s v="CVAS"/>
    <x v="12"/>
    <x v="8"/>
    <s v=""/>
    <s v="Others"/>
    <s v="Kids"/>
    <x v="20"/>
    <s v="ACTIVE"/>
    <s v="YES"/>
    <n v="42416"/>
    <s v="Baby TV"/>
    <s v="NIVEL 130 (0.82 Euros)"/>
    <n v="130"/>
    <s v="Weekly subscription"/>
    <n v="0"/>
    <n v="0.82"/>
    <n v="0.77"/>
    <n v="0.23"/>
    <m/>
    <m/>
    <s v=""/>
    <x v="245"/>
    <m/>
  </r>
  <r>
    <n v="44709"/>
    <m/>
    <m/>
    <m/>
    <m/>
    <x v="334"/>
    <x v="181"/>
    <s v="CVAS"/>
    <x v="11"/>
    <x v="2"/>
    <s v=""/>
    <s v="Others"/>
    <s v="Free Time"/>
    <x v="8"/>
    <s v="ACTIVE"/>
    <s v="YES"/>
    <n v="42436"/>
    <s v="Zona Z"/>
    <s v="NIVEL 136 (2.06 Euros)"/>
    <n v="136"/>
    <s v="Weekly subscription"/>
    <n v="0"/>
    <n v="2.06"/>
    <n v="0.6"/>
    <n v="0.4"/>
    <m/>
    <m/>
    <s v=""/>
    <x v="245"/>
    <m/>
  </r>
  <r>
    <n v="44711"/>
    <m/>
    <m/>
    <m/>
    <m/>
    <x v="335"/>
    <x v="0"/>
    <s v="CVAS"/>
    <x v="12"/>
    <x v="2"/>
    <s v=""/>
    <s v="Others"/>
    <s v="Free Time"/>
    <x v="20"/>
    <s v="ACTIVE"/>
    <s v="YES"/>
    <n v="42437"/>
    <s v="Tinder Emoción"/>
    <s v="NIVEL 99 (9.91 Euros)"/>
    <n v="99"/>
    <s v="Monthly subscription"/>
    <n v="0"/>
    <n v="9.91"/>
    <n v="0.65"/>
    <n v="0.35"/>
    <m/>
    <m/>
    <s v=""/>
    <x v="245"/>
    <m/>
  </r>
  <r>
    <n v="44749"/>
    <m/>
    <m/>
    <m/>
    <m/>
    <x v="336"/>
    <x v="182"/>
    <s v="CVAS"/>
    <x v="9"/>
    <x v="4"/>
    <s v=""/>
    <s v="Music"/>
    <s v=""/>
    <x v="36"/>
    <s v="ACTIVE"/>
    <s v="YES"/>
    <n v="46356"/>
    <s v="Spotify"/>
    <s v="NIVEL 122 (8.26 Euros)"/>
    <n v="122"/>
    <s v="Monthly subscription"/>
    <n v="0"/>
    <n v="8.26"/>
    <n v="0.9"/>
    <n v="0.1"/>
    <m/>
    <m/>
    <s v=""/>
    <x v="245"/>
    <m/>
  </r>
  <r>
    <n v="44771"/>
    <m/>
    <m/>
    <m/>
    <m/>
    <x v="337"/>
    <x v="183"/>
    <s v="CVAS"/>
    <x v="8"/>
    <x v="6"/>
    <s v=""/>
    <s v="Others"/>
    <s v="News"/>
    <x v="20"/>
    <s v="ACTIVE"/>
    <s v="YES"/>
    <n v="46377"/>
    <s v="El Kiosko y Más"/>
    <s v="NIVEL 148 (3.43 Euros)"/>
    <n v="148"/>
    <s v="Monthly subscription"/>
    <m/>
    <n v="3.43"/>
    <n v="0.08"/>
    <n v="0.92"/>
    <m/>
    <m/>
    <m/>
    <x v="245"/>
    <m/>
  </r>
  <r>
    <n v="44773"/>
    <m/>
    <m/>
    <m/>
    <m/>
    <x v="338"/>
    <x v="184"/>
    <s v="CVAS"/>
    <x v="8"/>
    <x v="6"/>
    <s v=""/>
    <s v="Others"/>
    <s v="News"/>
    <x v="20"/>
    <s v="ACTIVE"/>
    <s v="YES"/>
    <n v="46378"/>
    <s v="El Kiosko y Más"/>
    <s v="NIVEL 150 (6.60 Euros)"/>
    <n v="150"/>
    <s v="Monthly subscription"/>
    <m/>
    <n v="6.6"/>
    <n v="0.08"/>
    <n v="0.92"/>
    <m/>
    <m/>
    <m/>
    <x v="245"/>
    <m/>
  </r>
  <r>
    <n v="44775"/>
    <m/>
    <m/>
    <m/>
    <m/>
    <x v="339"/>
    <x v="185"/>
    <s v="CVAS"/>
    <x v="8"/>
    <x v="6"/>
    <s v=""/>
    <s v="Others"/>
    <s v="News"/>
    <x v="20"/>
    <s v="ACTIVE"/>
    <s v="YES"/>
    <n v="46379"/>
    <s v="El Kiosko y Más"/>
    <s v="NIVEL 150 (6.60 Euros)"/>
    <n v="150"/>
    <s v="Monthly subscription"/>
    <m/>
    <n v="6.6"/>
    <n v="0.08"/>
    <n v="0.92"/>
    <m/>
    <m/>
    <m/>
    <x v="245"/>
    <m/>
  </r>
  <r>
    <n v="44777"/>
    <m/>
    <m/>
    <m/>
    <m/>
    <x v="340"/>
    <x v="185"/>
    <s v="CVAS"/>
    <x v="8"/>
    <x v="6"/>
    <s v=""/>
    <s v="Others"/>
    <s v="News"/>
    <x v="20"/>
    <s v="ACTIVE"/>
    <s v="YES"/>
    <n v="46380"/>
    <s v="El Kiosko y Más"/>
    <s v="NIVEL 150 (6.60 Euros)"/>
    <n v="150"/>
    <s v="Monthly subscription"/>
    <m/>
    <n v="6.6"/>
    <n v="0.08"/>
    <n v="0.92"/>
    <m/>
    <m/>
    <m/>
    <x v="245"/>
    <m/>
  </r>
  <r>
    <n v="44779"/>
    <m/>
    <m/>
    <m/>
    <m/>
    <x v="341"/>
    <x v="186"/>
    <s v="CVAS"/>
    <x v="8"/>
    <x v="6"/>
    <s v=""/>
    <s v="Others"/>
    <s v="News"/>
    <x v="20"/>
    <s v="ACTIVE"/>
    <s v="YES"/>
    <n v="46381"/>
    <s v="El Kiosko y Más"/>
    <s v="NIVEL 150 (6.60 Euros)"/>
    <n v="150"/>
    <s v="Monthly subscription"/>
    <m/>
    <n v="6.6"/>
    <n v="0.08"/>
    <n v="0.92"/>
    <m/>
    <m/>
    <m/>
    <x v="245"/>
    <m/>
  </r>
  <r>
    <n v="44781"/>
    <m/>
    <m/>
    <m/>
    <m/>
    <x v="342"/>
    <x v="187"/>
    <s v="CVAS"/>
    <x v="8"/>
    <x v="6"/>
    <s v=""/>
    <s v="Others"/>
    <s v="News"/>
    <x v="20"/>
    <s v="ACTIVE"/>
    <s v="YES"/>
    <n v="46382"/>
    <s v="El Kiosko y Más"/>
    <s v="NIVEL 122 (8.26 Euros)"/>
    <n v="122"/>
    <s v="Monthly subscription"/>
    <m/>
    <n v="8.26"/>
    <n v="0.08"/>
    <n v="0.92"/>
    <m/>
    <m/>
    <m/>
    <x v="245"/>
    <m/>
  </r>
  <r>
    <n v="44789"/>
    <m/>
    <m/>
    <m/>
    <m/>
    <x v="343"/>
    <x v="188"/>
    <s v="CVAS"/>
    <x v="8"/>
    <x v="6"/>
    <s v=""/>
    <s v="Others"/>
    <s v="News"/>
    <x v="20"/>
    <s v="ACTIVE"/>
    <s v="YES"/>
    <n v="46396"/>
    <s v="El Kiosko y Más"/>
    <s v="NIVEL 151 (9.08 Euros)"/>
    <n v="151"/>
    <s v="Monthly subscription"/>
    <m/>
    <n v="9.08"/>
    <n v="0.08"/>
    <n v="0.92"/>
    <m/>
    <m/>
    <m/>
    <x v="245"/>
    <m/>
  </r>
  <r>
    <n v="44791"/>
    <m/>
    <m/>
    <m/>
    <m/>
    <x v="344"/>
    <x v="189"/>
    <s v="CVAS"/>
    <x v="8"/>
    <x v="6"/>
    <s v=""/>
    <s v="Others"/>
    <s v="News"/>
    <x v="20"/>
    <s v="ACTIVE"/>
    <s v="YES"/>
    <n v="46397"/>
    <s v="El Kiosko y Más"/>
    <s v="NIVEL 152 (9.67 Euros)"/>
    <n v="152"/>
    <s v="Monthly subscription"/>
    <m/>
    <n v="9.67"/>
    <n v="0.08"/>
    <n v="0.92"/>
    <m/>
    <m/>
    <m/>
    <x v="245"/>
    <m/>
  </r>
  <r>
    <n v="44793"/>
    <m/>
    <m/>
    <m/>
    <m/>
    <x v="345"/>
    <x v="190"/>
    <s v="CVAS"/>
    <x v="8"/>
    <x v="6"/>
    <s v=""/>
    <s v="Others"/>
    <s v="News"/>
    <x v="20"/>
    <s v="ACTIVE"/>
    <s v="YES"/>
    <n v="46398"/>
    <s v="El Kiosko y Más"/>
    <s v="NIVEL 153 (10.54 Euros)"/>
    <n v="153"/>
    <s v="Monthly subscription"/>
    <m/>
    <n v="10.54"/>
    <n v="0.08"/>
    <n v="0.92"/>
    <m/>
    <m/>
    <m/>
    <x v="245"/>
    <m/>
  </r>
  <r>
    <n v="44795"/>
    <m/>
    <m/>
    <m/>
    <m/>
    <x v="346"/>
    <x v="191"/>
    <s v="CVAS"/>
    <x v="8"/>
    <x v="6"/>
    <s v=""/>
    <s v="Others"/>
    <s v="News"/>
    <x v="20"/>
    <s v="ACTIVE"/>
    <s v="YES"/>
    <n v="46399"/>
    <s v="El Kiosko y Más"/>
    <s v="NIVEL 154 (11.16 Euros)"/>
    <n v="154"/>
    <s v="Monthly subscription"/>
    <m/>
    <n v="11.16"/>
    <n v="0.08"/>
    <n v="0.92"/>
    <m/>
    <m/>
    <m/>
    <x v="245"/>
    <m/>
  </r>
  <r>
    <n v="44797"/>
    <m/>
    <m/>
    <m/>
    <m/>
    <x v="347"/>
    <x v="192"/>
    <s v="CVAS"/>
    <x v="8"/>
    <x v="6"/>
    <s v=""/>
    <s v="Others"/>
    <s v="News"/>
    <x v="20"/>
    <s v="ACTIVE"/>
    <s v="YES"/>
    <n v="46400"/>
    <s v="El Kiosko y Más"/>
    <s v="NIVEL 155 (14.87 Euros)"/>
    <n v="155"/>
    <s v="Monthly subscription"/>
    <m/>
    <n v="14.87"/>
    <n v="0.08"/>
    <n v="0.92"/>
    <m/>
    <m/>
    <m/>
    <x v="245"/>
    <m/>
  </r>
  <r>
    <n v="44799"/>
    <m/>
    <m/>
    <m/>
    <m/>
    <x v="348"/>
    <x v="193"/>
    <s v="CVAS"/>
    <x v="8"/>
    <x v="6"/>
    <s v=""/>
    <s v="Others"/>
    <s v="News"/>
    <x v="20"/>
    <s v="ACTIVE"/>
    <s v="YES"/>
    <n v="46401"/>
    <s v="El Kiosko y Más"/>
    <s v="NIVEL 155 (14.87 Euros)"/>
    <n v="155"/>
    <s v="Monthly subscription"/>
    <m/>
    <n v="14.87"/>
    <n v="0.08"/>
    <n v="0.92"/>
    <m/>
    <m/>
    <m/>
    <x v="245"/>
    <m/>
  </r>
  <r>
    <n v="44809"/>
    <m/>
    <m/>
    <m/>
    <m/>
    <x v="349"/>
    <x v="194"/>
    <s v="CVAS"/>
    <x v="8"/>
    <x v="6"/>
    <s v=""/>
    <s v="Others"/>
    <s v="News"/>
    <x v="20"/>
    <s v="ACTIVE"/>
    <s v="YES"/>
    <n v="46416"/>
    <s v="El Kiosko y Más"/>
    <s v="NIVEL 156 (15.21 Euros)"/>
    <n v="156"/>
    <s v="Monthly subscription"/>
    <m/>
    <n v="15.21"/>
    <n v="0.08"/>
    <n v="0.92"/>
    <m/>
    <m/>
    <m/>
    <x v="245"/>
    <m/>
  </r>
  <r>
    <n v="44811"/>
    <m/>
    <m/>
    <m/>
    <m/>
    <x v="350"/>
    <x v="195"/>
    <s v="CVAS"/>
    <x v="8"/>
    <x v="6"/>
    <s v=""/>
    <s v="Others"/>
    <s v="News"/>
    <x v="20"/>
    <s v="ACTIVE"/>
    <s v="YES"/>
    <n v="46417"/>
    <s v="El Kiosko y Más"/>
    <s v="NIVEL 156 (15.21 Euros)"/>
    <n v="156"/>
    <s v="Monthly subscription"/>
    <m/>
    <n v="15.21"/>
    <n v="0.08"/>
    <n v="0.92"/>
    <m/>
    <m/>
    <m/>
    <x v="245"/>
    <m/>
  </r>
  <r>
    <n v="44813"/>
    <m/>
    <m/>
    <m/>
    <m/>
    <x v="351"/>
    <x v="196"/>
    <s v="CVAS"/>
    <x v="8"/>
    <x v="6"/>
    <s v=""/>
    <s v="Others"/>
    <s v="News"/>
    <x v="20"/>
    <s v="ACTIVE"/>
    <s v="YES"/>
    <n v="46418"/>
    <s v="El Kiosko y Más"/>
    <s v="NIVEL 156 (15.21 Euros)"/>
    <n v="156"/>
    <s v="Monthly subscription"/>
    <m/>
    <n v="15.21"/>
    <n v="0.08"/>
    <n v="0.92"/>
    <m/>
    <m/>
    <m/>
    <x v="245"/>
    <m/>
  </r>
  <r>
    <n v="44815"/>
    <m/>
    <m/>
    <m/>
    <m/>
    <x v="352"/>
    <x v="197"/>
    <s v="CVAS"/>
    <x v="8"/>
    <x v="6"/>
    <s v=""/>
    <s v="Others"/>
    <s v="News"/>
    <x v="20"/>
    <s v="ACTIVE"/>
    <s v="YES"/>
    <n v="46419"/>
    <s v="El Kiosko y Más"/>
    <s v="NIVEL 156 (15.21 Euros)"/>
    <n v="156"/>
    <s v="Monthly subscription"/>
    <m/>
    <n v="15.21"/>
    <n v="0.08"/>
    <n v="0.92"/>
    <m/>
    <m/>
    <m/>
    <x v="245"/>
    <m/>
  </r>
  <r>
    <n v="44817"/>
    <m/>
    <m/>
    <m/>
    <m/>
    <x v="353"/>
    <x v="198"/>
    <s v="CVAS"/>
    <x v="8"/>
    <x v="6"/>
    <s v=""/>
    <s v="Others"/>
    <s v="News"/>
    <x v="20"/>
    <s v="ACTIVE"/>
    <s v="YES"/>
    <n v="46420"/>
    <s v="El Kiosko y Más"/>
    <s v="NIVEL 157 (15.87 Euros)"/>
    <n v="157"/>
    <s v="Monthly subscription"/>
    <m/>
    <n v="15.87"/>
    <n v="0.08"/>
    <n v="0.92"/>
    <m/>
    <m/>
    <m/>
    <x v="245"/>
    <m/>
  </r>
  <r>
    <n v="44819"/>
    <m/>
    <m/>
    <m/>
    <m/>
    <x v="354"/>
    <x v="199"/>
    <s v="CVAS"/>
    <x v="8"/>
    <x v="6"/>
    <s v=""/>
    <s v="Others"/>
    <s v="News"/>
    <x v="20"/>
    <s v="ACTIVE"/>
    <s v="YES"/>
    <n v="46421"/>
    <s v="El Kiosko y Más"/>
    <s v="NIVEL 157 (15.87 Euros)"/>
    <n v="157"/>
    <s v="Monthly subscription"/>
    <m/>
    <n v="15.87"/>
    <n v="0.08"/>
    <n v="0.92"/>
    <m/>
    <m/>
    <m/>
    <x v="245"/>
    <m/>
  </r>
  <r>
    <n v="44821"/>
    <m/>
    <m/>
    <m/>
    <m/>
    <x v="355"/>
    <x v="200"/>
    <s v="CVAS"/>
    <x v="8"/>
    <x v="6"/>
    <s v=""/>
    <s v="Others"/>
    <s v="News"/>
    <x v="20"/>
    <s v="ACTIVE"/>
    <s v="YES"/>
    <n v="46422"/>
    <s v="El Kiosko y Más"/>
    <s v="NIVEL 157 (15.87 Euros)"/>
    <n v="157"/>
    <s v="Monthly subscription"/>
    <m/>
    <n v="15.87"/>
    <n v="0.08"/>
    <n v="0.92"/>
    <m/>
    <m/>
    <m/>
    <x v="245"/>
    <m/>
  </r>
  <r>
    <n v="44823"/>
    <m/>
    <m/>
    <m/>
    <m/>
    <x v="356"/>
    <x v="201"/>
    <s v="CVAS"/>
    <x v="8"/>
    <x v="6"/>
    <s v=""/>
    <s v="Others"/>
    <s v="News"/>
    <x v="20"/>
    <s v="ACTIVE"/>
    <s v="YES"/>
    <n v="46423"/>
    <s v="El Kiosko y Más"/>
    <s v="NIVEL 157 (15.87 Euros)"/>
    <n v="157"/>
    <s v="Monthly subscription"/>
    <m/>
    <n v="15.87"/>
    <n v="0.08"/>
    <n v="0.92"/>
    <m/>
    <m/>
    <m/>
    <x v="245"/>
    <m/>
  </r>
  <r>
    <n v="44825"/>
    <m/>
    <m/>
    <m/>
    <m/>
    <x v="357"/>
    <x v="202"/>
    <s v="CVAS"/>
    <x v="8"/>
    <x v="6"/>
    <s v=""/>
    <s v="Others"/>
    <s v="News"/>
    <x v="20"/>
    <s v="ACTIVE"/>
    <s v="YES"/>
    <n v="46424"/>
    <s v="El Kiosko y Más"/>
    <s v="NIVEL 157 (15.87 Euros)"/>
    <n v="157"/>
    <s v="Monthly subscription"/>
    <m/>
    <n v="15.87"/>
    <n v="0.08"/>
    <n v="0.92"/>
    <m/>
    <m/>
    <m/>
    <x v="245"/>
    <m/>
  </r>
  <r>
    <n v="44827"/>
    <m/>
    <m/>
    <m/>
    <m/>
    <x v="358"/>
    <x v="203"/>
    <s v="CVAS"/>
    <x v="8"/>
    <x v="6"/>
    <s v=""/>
    <s v="Others"/>
    <s v="News"/>
    <x v="20"/>
    <s v="ACTIVE"/>
    <s v="YES"/>
    <n v="46425"/>
    <s v="El Kiosko y Más"/>
    <s v="NIVEL 157 (15.87 Euros)"/>
    <n v="157"/>
    <s v="Monthly subscription"/>
    <m/>
    <n v="15.87"/>
    <n v="0.08"/>
    <n v="0.92"/>
    <m/>
    <m/>
    <m/>
    <x v="245"/>
    <m/>
  </r>
  <r>
    <n v="44829"/>
    <m/>
    <m/>
    <m/>
    <m/>
    <x v="359"/>
    <x v="204"/>
    <s v="CVAS"/>
    <x v="8"/>
    <x v="6"/>
    <s v=""/>
    <s v="Others"/>
    <s v="News"/>
    <x v="20"/>
    <s v="ACTIVE"/>
    <s v="YES"/>
    <n v="46426"/>
    <s v="El Kiosko y Más"/>
    <s v="NIVEL 157 (15.87 Euros)"/>
    <n v="157"/>
    <s v="Monthly subscription"/>
    <m/>
    <n v="15.87"/>
    <n v="0.08"/>
    <n v="0.92"/>
    <m/>
    <m/>
    <m/>
    <x v="245"/>
    <m/>
  </r>
  <r>
    <n v="44831"/>
    <m/>
    <m/>
    <m/>
    <m/>
    <x v="360"/>
    <x v="205"/>
    <s v="CVAS"/>
    <x v="8"/>
    <x v="6"/>
    <s v=""/>
    <s v="Others"/>
    <s v="News"/>
    <x v="20"/>
    <s v="ACTIVE"/>
    <s v="YES"/>
    <n v="46427"/>
    <s v="El Kiosko y Más"/>
    <s v="NIVEL 157 (15.87 Euros)"/>
    <n v="157"/>
    <s v="Monthly subscription"/>
    <m/>
    <n v="15.87"/>
    <n v="0.08"/>
    <n v="0.92"/>
    <m/>
    <m/>
    <m/>
    <x v="245"/>
    <m/>
  </r>
  <r>
    <n v="44833"/>
    <m/>
    <m/>
    <m/>
    <m/>
    <x v="361"/>
    <x v="206"/>
    <s v="CVAS"/>
    <x v="8"/>
    <x v="6"/>
    <s v=""/>
    <s v="Others"/>
    <s v="News"/>
    <x v="20"/>
    <s v="ACTIVE"/>
    <s v="YES"/>
    <n v="46428"/>
    <s v="El Kiosko y Más"/>
    <s v="NIVEL 158 (16.16 Euros)"/>
    <n v="158"/>
    <s v="Monthly subscription"/>
    <m/>
    <n v="16.16"/>
    <n v="0.08"/>
    <n v="0.92"/>
    <m/>
    <m/>
    <m/>
    <x v="245"/>
    <m/>
  </r>
  <r>
    <n v="44835"/>
    <m/>
    <m/>
    <m/>
    <m/>
    <x v="362"/>
    <x v="207"/>
    <s v="CVAS"/>
    <x v="8"/>
    <x v="6"/>
    <s v=""/>
    <s v="Others"/>
    <s v="News"/>
    <x v="20"/>
    <s v="ACTIVE"/>
    <s v="YES"/>
    <n v="46429"/>
    <s v="El Kiosko y Más"/>
    <s v="NIVEL 159 (16.86 Euros)"/>
    <n v="159"/>
    <s v="Monthly subscription"/>
    <m/>
    <n v="16.86"/>
    <n v="0.08"/>
    <n v="0.92"/>
    <m/>
    <m/>
    <m/>
    <x v="245"/>
    <m/>
  </r>
  <r>
    <n v="44837"/>
    <m/>
    <m/>
    <m/>
    <m/>
    <x v="363"/>
    <x v="208"/>
    <s v="CVAS"/>
    <x v="8"/>
    <x v="6"/>
    <s v=""/>
    <s v="Others"/>
    <s v="News"/>
    <x v="20"/>
    <s v="ACTIVE"/>
    <s v="YES"/>
    <n v="46430"/>
    <s v="El Kiosko y Más"/>
    <s v="NIVEL 159 (16.86 Euros)"/>
    <n v="159"/>
    <s v="Monthly subscription"/>
    <m/>
    <n v="16.86"/>
    <n v="0.08"/>
    <n v="0.92"/>
    <m/>
    <m/>
    <m/>
    <x v="245"/>
    <m/>
  </r>
  <r>
    <n v="44839"/>
    <m/>
    <m/>
    <m/>
    <m/>
    <x v="364"/>
    <x v="209"/>
    <s v="CVAS"/>
    <x v="8"/>
    <x v="6"/>
    <s v=""/>
    <s v="Others"/>
    <s v="News"/>
    <x v="20"/>
    <s v="ACTIVE"/>
    <s v="YES"/>
    <n v="46436"/>
    <s v="El Kiosko y Más"/>
    <s v="NIVEL 160 (17.18 Euros)"/>
    <n v="160"/>
    <s v="Monthly subscription"/>
    <m/>
    <n v="17.18"/>
    <n v="0.08"/>
    <n v="0.92"/>
    <m/>
    <m/>
    <m/>
    <x v="245"/>
    <m/>
  </r>
  <r>
    <n v="44841"/>
    <m/>
    <m/>
    <m/>
    <m/>
    <x v="365"/>
    <x v="210"/>
    <s v="CVAS"/>
    <x v="8"/>
    <x v="6"/>
    <s v=""/>
    <s v="Others"/>
    <s v="News"/>
    <x v="20"/>
    <s v="ACTIVE"/>
    <s v="YES"/>
    <n v="46437"/>
    <s v="El Kiosko y Más"/>
    <s v="NIVEL 161 (20.83 Euros)"/>
    <n v="161"/>
    <s v="Monthly subscription"/>
    <m/>
    <n v="20.83"/>
    <n v="0.08"/>
    <n v="0.92"/>
    <m/>
    <m/>
    <m/>
    <x v="245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32">
  <r>
    <n v="893"/>
    <m/>
    <x v="0"/>
    <n v="31301"/>
    <n v="31301"/>
    <x v="0"/>
    <x v="0"/>
    <s v="CVAS"/>
    <x v="0"/>
    <x v="0"/>
    <s v="Light Hard"/>
    <s v="Light"/>
    <s v="Light Hard"/>
    <x v="0"/>
    <s v="ACTIVE"/>
    <s v="YES"/>
    <n v="873"/>
    <s v="La Gruta del Sexo"/>
    <s v="NIVEL 58 (2.99 Euros)"/>
    <n v="58"/>
    <s v="Weekly subscription"/>
    <n v="908"/>
    <n v="2.99"/>
    <n v="0.4"/>
    <n v="0.6"/>
    <m/>
    <m/>
    <s v=""/>
    <s v="LA GRUTA DEL SEXO"/>
  </r>
  <r>
    <n v="928"/>
    <m/>
    <x v="1"/>
    <n v="56301"/>
    <n v="56301"/>
    <x v="1"/>
    <x v="1"/>
    <s v="CVAS"/>
    <x v="1"/>
    <x v="1"/>
    <s v=""/>
    <s v="Others"/>
    <s v="Images"/>
    <x v="1"/>
    <s v="ACTIVE"/>
    <s v="YES"/>
    <n v="908"/>
    <s v="Gofresh logos"/>
    <s v="NIVEL 9 (2 E)"/>
    <n v="9"/>
    <s v="Monthly subscription"/>
    <n v="25"/>
    <n v="2"/>
    <n v="0.7"/>
    <n v="0.3"/>
    <m/>
    <m/>
    <s v=""/>
    <s v="GOFRESH LOGOS"/>
  </r>
  <r>
    <n v="3109"/>
    <m/>
    <x v="2"/>
    <m/>
    <m/>
    <x v="2"/>
    <x v="2"/>
    <s v="CVAS"/>
    <x v="2"/>
    <x v="2"/>
    <m/>
    <s v="Others"/>
    <m/>
    <x v="2"/>
    <s v="INACTIVE"/>
    <s v="YES"/>
    <m/>
    <s v="MoviMessenger"/>
    <m/>
    <m/>
    <s v="Monthly subscription"/>
    <m/>
    <m/>
    <m/>
    <m/>
    <m/>
    <m/>
    <m/>
    <s v="MOVIMESSENGER"/>
  </r>
  <r>
    <n v="3141"/>
    <m/>
    <x v="2"/>
    <m/>
    <m/>
    <x v="2"/>
    <x v="2"/>
    <s v="CVAS"/>
    <x v="2"/>
    <x v="2"/>
    <m/>
    <s v="Others"/>
    <m/>
    <x v="2"/>
    <s v="INACTIVE"/>
    <s v="YES"/>
    <m/>
    <s v="Contactos"/>
    <m/>
    <m/>
    <s v="Monthly subscription"/>
    <m/>
    <m/>
    <m/>
    <m/>
    <m/>
    <m/>
    <m/>
    <s v="CONTACTOS"/>
  </r>
  <r>
    <n v="4091"/>
    <m/>
    <x v="3"/>
    <n v="29802"/>
    <n v="29802"/>
    <x v="3"/>
    <x v="0"/>
    <s v="CVAS"/>
    <x v="0"/>
    <x v="0"/>
    <s v="Light Hard"/>
    <s v="Light"/>
    <s v="Light Hard"/>
    <x v="0"/>
    <s v="ACTIVE"/>
    <s v="YES"/>
    <n v="3911"/>
    <s v="La Gruta del Sexo"/>
    <s v="NIVEL 10 (2.5)"/>
    <n v="10"/>
    <s v="PPD"/>
    <n v="1"/>
    <n v="2.5"/>
    <n v="0.3"/>
    <n v="0.7"/>
    <m/>
    <m/>
    <s v=""/>
    <s v="LA GRUTA DEL SEXO"/>
  </r>
  <r>
    <n v="5645"/>
    <m/>
    <x v="2"/>
    <m/>
    <m/>
    <x v="4"/>
    <x v="3"/>
    <s v="CVAS"/>
    <x v="2"/>
    <x v="2"/>
    <m/>
    <s v="Others"/>
    <m/>
    <x v="3"/>
    <s v="INACTIVE"/>
    <s v="YES"/>
    <m/>
    <s v="¿Quedamos?"/>
    <m/>
    <m/>
    <s v="Monthly subscription"/>
    <m/>
    <m/>
    <m/>
    <m/>
    <m/>
    <m/>
    <m/>
    <s v="¿QUEDAMOS?"/>
  </r>
  <r>
    <n v="8778"/>
    <m/>
    <x v="4"/>
    <n v="25701"/>
    <n v="25701"/>
    <x v="5"/>
    <x v="4"/>
    <s v="CVAS"/>
    <x v="3"/>
    <x v="3"/>
    <s v=""/>
    <s v="Games"/>
    <s v=""/>
    <x v="4"/>
    <s v="ACTIVE"/>
    <s v="YES"/>
    <n v="8378"/>
    <s v="Desc. Gameloft"/>
    <s v="NIVEL 11 (3 E)"/>
    <n v="11"/>
    <s v="PPD"/>
    <n v="1"/>
    <n v="3"/>
    <n v="0.5"/>
    <n v="0.5"/>
    <m/>
    <m/>
    <s v=""/>
    <s v="FUN@TIC GAMES"/>
  </r>
  <r>
    <n v="10004"/>
    <m/>
    <x v="5"/>
    <n v="56401"/>
    <n v="56401"/>
    <x v="6"/>
    <x v="0"/>
    <s v="CVAS"/>
    <x v="0"/>
    <x v="0"/>
    <s v="Light Hard"/>
    <s v="Light"/>
    <s v="Light Hard"/>
    <x v="1"/>
    <s v="ACTIVE"/>
    <s v="YES"/>
    <n v="9241"/>
    <s v="JCs NightClub"/>
    <s v="NIVEL 9 (2 E)"/>
    <n v="9"/>
    <s v="Monthly subscription"/>
    <n v="25"/>
    <n v="2"/>
    <n v="0.3"/>
    <n v="0.7"/>
    <m/>
    <m/>
    <s v=""/>
    <s v="JCS NIGHTCLUB"/>
  </r>
  <r>
    <n v="10487"/>
    <m/>
    <x v="6"/>
    <n v="42601"/>
    <n v="42601"/>
    <x v="7"/>
    <x v="5"/>
    <s v="CVAS"/>
    <x v="4"/>
    <x v="4"/>
    <s v=""/>
    <s v="Music"/>
    <s v=""/>
    <x v="2"/>
    <s v="INACTIVE"/>
    <s v="YES"/>
    <n v="9616"/>
    <s v="Club música"/>
    <s v="NIVEL 54 (0.99 Euros)"/>
    <n v="54"/>
    <s v="Weekly subscription"/>
    <n v="908"/>
    <n v="0.99"/>
    <n v="0.65"/>
    <n v="0.35"/>
    <m/>
    <m/>
    <s v=""/>
    <s v="CLUB MÚSICA"/>
  </r>
  <r>
    <n v="10494"/>
    <m/>
    <x v="7"/>
    <n v="34701"/>
    <n v="34701"/>
    <x v="8"/>
    <x v="6"/>
    <s v="CVAS"/>
    <x v="1"/>
    <x v="1"/>
    <s v=""/>
    <s v="Others"/>
    <s v="Images"/>
    <x v="0"/>
    <s v="ACTIVE"/>
    <s v="YES"/>
    <n v="9620"/>
    <s v="SolodeLogos Club"/>
    <s v="NIVEL 9 (2 E)"/>
    <n v="9"/>
    <s v="Monthly subscription"/>
    <n v="25"/>
    <n v="2"/>
    <n v="0.35"/>
    <n v="0.65"/>
    <m/>
    <m/>
    <s v=""/>
    <s v="CLUB"/>
  </r>
  <r>
    <n v="11207"/>
    <m/>
    <x v="1"/>
    <n v="56302"/>
    <n v="56302"/>
    <x v="9"/>
    <x v="7"/>
    <s v="CVAS"/>
    <x v="1"/>
    <x v="1"/>
    <s v=""/>
    <s v="Others"/>
    <s v="Images"/>
    <x v="1"/>
    <s v="ACTIVE"/>
    <s v="YES"/>
    <n v="10143"/>
    <s v="Animaciones&amp;Logos"/>
    <s v="NIVEL 9 (2 E)"/>
    <n v="9"/>
    <s v="Monthly subscription"/>
    <n v="25"/>
    <n v="2"/>
    <n v="0.65"/>
    <n v="0.35"/>
    <m/>
    <m/>
    <s v=""/>
    <s v="ANIMACIONES&amp;LOGOS"/>
  </r>
  <r>
    <n v="15325"/>
    <m/>
    <x v="8"/>
    <n v="60401"/>
    <n v="60401"/>
    <x v="10"/>
    <x v="0"/>
    <s v="CVAS"/>
    <x v="0"/>
    <x v="0"/>
    <s v="Light Hard"/>
    <s v="Light"/>
    <s v="Light Hard"/>
    <x v="5"/>
    <s v="INACTIVE"/>
    <s v="YES"/>
    <n v="20069"/>
    <s v="Euroteens"/>
    <s v="NIVEL 20 (10 E)"/>
    <n v="20"/>
    <s v="Monthly subscription"/>
    <n v="25"/>
    <n v="10"/>
    <n v="0.3"/>
    <n v="0.7"/>
    <m/>
    <m/>
    <s v=""/>
    <s v="EUROTEENS"/>
  </r>
  <r>
    <n v="17510"/>
    <m/>
    <x v="9"/>
    <n v="42701"/>
    <n v="42701"/>
    <x v="11"/>
    <x v="8"/>
    <s v="CVAS"/>
    <x v="4"/>
    <x v="4"/>
    <s v=""/>
    <s v="Music"/>
    <s v=""/>
    <x v="2"/>
    <s v="ACTIVE"/>
    <s v="YES"/>
    <n v="23992"/>
    <s v="Melodias y Tonos"/>
    <s v="NIVEL 9 (2 E)"/>
    <n v="9"/>
    <s v="Monthly subscription"/>
    <n v="25"/>
    <n v="2"/>
    <n v="0.7"/>
    <n v="0.3"/>
    <m/>
    <m/>
    <s v=""/>
    <s v="MOBILEMUSIC TONOS"/>
  </r>
  <r>
    <n v="18157"/>
    <m/>
    <x v="10"/>
    <n v="59901"/>
    <n v="59901"/>
    <x v="12"/>
    <x v="0"/>
    <s v="CVAS"/>
    <x v="0"/>
    <x v="0"/>
    <s v="Light TV"/>
    <s v="Light"/>
    <s v="Light TV"/>
    <x v="6"/>
    <s v="ACTIVE"/>
    <s v="YES"/>
    <n v="22063"/>
    <s v="Top Models"/>
    <s v="NIVEL 11 (3 E)"/>
    <n v="11"/>
    <s v="Monthly subscription"/>
    <n v="25"/>
    <n v="3"/>
    <n v="0.3"/>
    <n v="0.7"/>
    <m/>
    <m/>
    <s v=""/>
    <s v="TOP MODELS"/>
  </r>
  <r>
    <n v="18965"/>
    <m/>
    <x v="4"/>
    <n v="25702"/>
    <n v="25702"/>
    <x v="13"/>
    <x v="9"/>
    <s v="CVAS"/>
    <x v="3"/>
    <x v="3"/>
    <s v=""/>
    <s v="Games"/>
    <s v=""/>
    <x v="4"/>
    <s v="ACTIVE"/>
    <s v="YES"/>
    <n v="25225"/>
    <s v="Desc. Gamel5"/>
    <s v="NIVEL 12 (5 E)"/>
    <n v="12"/>
    <s v="PPD"/>
    <n v="1"/>
    <n v="5"/>
    <n v="0.6"/>
    <n v="0.4"/>
    <m/>
    <m/>
    <s v=""/>
    <s v="FUN@TIC GAMES"/>
  </r>
  <r>
    <n v="19168"/>
    <m/>
    <x v="11"/>
    <n v="60202"/>
    <n v="60202"/>
    <x v="14"/>
    <x v="0"/>
    <s v="CVAS"/>
    <x v="0"/>
    <x v="0"/>
    <s v="Light Soft"/>
    <s v="Light"/>
    <s v="Light Soft"/>
    <x v="7"/>
    <s v="ACTIVE"/>
    <s v="YES"/>
    <n v="25386"/>
    <s v="DescFondosPrivate"/>
    <s v="NIVEL 11 (3 E)"/>
    <n v="11"/>
    <s v="PPD"/>
    <n v="1"/>
    <n v="3"/>
    <n v="0.3"/>
    <n v="0.7"/>
    <m/>
    <m/>
    <s v=""/>
    <s v="PRIVATE"/>
  </r>
  <r>
    <n v="20508"/>
    <m/>
    <x v="12"/>
    <n v="47402"/>
    <n v="47402"/>
    <x v="15"/>
    <x v="10"/>
    <s v="CVAS"/>
    <x v="3"/>
    <x v="3"/>
    <s v=""/>
    <s v="Games"/>
    <s v=""/>
    <x v="8"/>
    <s v="ACTIVE"/>
    <s v="YES"/>
    <n v="26502"/>
    <s v="Desc.Play2Me1"/>
    <s v="NIVEL 7 (1 E)"/>
    <n v="7"/>
    <s v="PPD"/>
    <n v="1"/>
    <n v="1"/>
    <n v="0.7"/>
    <n v="0.3"/>
    <m/>
    <m/>
    <s v=""/>
    <s v="PLAY2ME"/>
  </r>
  <r>
    <n v="20510"/>
    <m/>
    <x v="12"/>
    <n v="47403"/>
    <n v="47403"/>
    <x v="16"/>
    <x v="11"/>
    <s v="CVAS"/>
    <x v="3"/>
    <x v="3"/>
    <s v=""/>
    <s v="Games"/>
    <s v=""/>
    <x v="8"/>
    <s v="ACTIVE"/>
    <s v="YES"/>
    <n v="26503"/>
    <s v="Desc.Play2Me1.5"/>
    <s v="NIVEL 8 (1.5)"/>
    <n v="8"/>
    <s v="PPD"/>
    <n v="1"/>
    <n v="1.5"/>
    <n v="0.65"/>
    <n v="0.35"/>
    <m/>
    <m/>
    <s v=""/>
    <s v="PLAY2ME"/>
  </r>
  <r>
    <n v="20512"/>
    <m/>
    <x v="12"/>
    <n v="47404"/>
    <n v="47404"/>
    <x v="17"/>
    <x v="12"/>
    <s v="CVAS"/>
    <x v="3"/>
    <x v="3"/>
    <s v=""/>
    <s v="Games"/>
    <s v=""/>
    <x v="8"/>
    <s v="ACTIVE"/>
    <s v="YES"/>
    <n v="26504"/>
    <s v="Desc.Play2Me2"/>
    <s v="NIVEL 9 (2 E)"/>
    <n v="9"/>
    <s v="PPD"/>
    <n v="1"/>
    <n v="2"/>
    <n v="0.65"/>
    <n v="0.35"/>
    <m/>
    <m/>
    <s v=""/>
    <s v="PLAY2ME"/>
  </r>
  <r>
    <n v="20514"/>
    <m/>
    <x v="12"/>
    <n v="47405"/>
    <n v="47405"/>
    <x v="18"/>
    <x v="13"/>
    <s v="CVAS"/>
    <x v="3"/>
    <x v="3"/>
    <s v=""/>
    <s v="Games"/>
    <s v=""/>
    <x v="8"/>
    <s v="ACTIVE"/>
    <s v="YES"/>
    <n v="26505"/>
    <s v="Desc.Play2Me3"/>
    <s v="NIVEL 11 (3 E)"/>
    <n v="11"/>
    <s v="PPD"/>
    <n v="1"/>
    <n v="3"/>
    <n v="0.5"/>
    <n v="0.5"/>
    <m/>
    <m/>
    <s v=""/>
    <s v="PLAY2ME"/>
  </r>
  <r>
    <n v="20516"/>
    <m/>
    <x v="12"/>
    <n v="47406"/>
    <n v="47406"/>
    <x v="19"/>
    <x v="14"/>
    <s v="CVAS"/>
    <x v="3"/>
    <x v="3"/>
    <s v=""/>
    <s v="Games"/>
    <s v=""/>
    <x v="8"/>
    <s v="ACTIVE"/>
    <s v="YES"/>
    <n v="26506"/>
    <s v="Desc.Play2Me4"/>
    <s v="NIVEL 22 (4 E)"/>
    <n v="22"/>
    <s v="PPD"/>
    <n v="1"/>
    <n v="4"/>
    <n v="0.6"/>
    <n v="0.4"/>
    <m/>
    <m/>
    <s v=""/>
    <s v="PLAY2ME"/>
  </r>
  <r>
    <n v="20518"/>
    <m/>
    <x v="12"/>
    <n v="47407"/>
    <n v="47407"/>
    <x v="20"/>
    <x v="15"/>
    <s v="CVAS"/>
    <x v="3"/>
    <x v="3"/>
    <s v=""/>
    <s v="Games"/>
    <s v=""/>
    <x v="8"/>
    <s v="ACTIVE"/>
    <s v="YES"/>
    <n v="26507"/>
    <s v="Desc.Play2Me5"/>
    <s v="NIVEL 12 (5 E)"/>
    <n v="12"/>
    <s v="PPD"/>
    <n v="1"/>
    <n v="5"/>
    <n v="0.6"/>
    <n v="0.4"/>
    <m/>
    <m/>
    <s v=""/>
    <s v="PLAY2ME"/>
  </r>
  <r>
    <n v="22108"/>
    <m/>
    <x v="13"/>
    <n v="36101"/>
    <n v="36101"/>
    <x v="21"/>
    <x v="16"/>
    <s v="CVAS"/>
    <x v="1"/>
    <x v="1"/>
    <s v=""/>
    <s v="Others"/>
    <s v="Images"/>
    <x v="6"/>
    <s v="ACTIVE"/>
    <s v="YES"/>
    <n v="27977"/>
    <s v="Fondos"/>
    <s v="NIVEL 8 (1.5)"/>
    <n v="8"/>
    <s v="PPD"/>
    <n v="1"/>
    <n v="1.5"/>
    <n v="0.4"/>
    <n v="0.6"/>
    <m/>
    <m/>
    <s v=""/>
    <s v="FONDOS"/>
  </r>
  <r>
    <n v="22110"/>
    <m/>
    <x v="14"/>
    <n v="35501"/>
    <n v="35501"/>
    <x v="22"/>
    <x v="17"/>
    <s v="CVAS"/>
    <x v="1"/>
    <x v="1"/>
    <s v=""/>
    <s v="Others"/>
    <s v="Images"/>
    <x v="6"/>
    <s v="ACTIVE"/>
    <s v="YES"/>
    <n v="27978"/>
    <s v="Videos"/>
    <s v="NIVEL 9 (2 E)"/>
    <n v="9"/>
    <s v="PPD"/>
    <n v="1"/>
    <n v="2"/>
    <n v="0.4"/>
    <n v="0.6"/>
    <m/>
    <m/>
    <s v=""/>
    <s v="VIDEOS"/>
  </r>
  <r>
    <n v="22112"/>
    <m/>
    <x v="15"/>
    <n v="35701"/>
    <n v="35701"/>
    <x v="23"/>
    <x v="18"/>
    <s v="CVAS"/>
    <x v="1"/>
    <x v="1"/>
    <s v=""/>
    <s v="Others"/>
    <s v="Images"/>
    <x v="6"/>
    <s v="ACTIVE"/>
    <s v="YES"/>
    <n v="27979"/>
    <s v="Animaciones"/>
    <s v="NIVEL 8 (1.5)"/>
    <n v="8"/>
    <s v="PPD"/>
    <n v="1"/>
    <n v="1.5"/>
    <n v="0.4"/>
    <n v="0.6"/>
    <m/>
    <m/>
    <s v=""/>
    <s v="ANIMACIONES"/>
  </r>
  <r>
    <n v="22118"/>
    <m/>
    <x v="16"/>
    <n v="36301"/>
    <n v="36301"/>
    <x v="24"/>
    <x v="19"/>
    <s v="CVAS"/>
    <x v="1"/>
    <x v="1"/>
    <s v=""/>
    <s v="Others"/>
    <s v="Images"/>
    <x v="6"/>
    <s v="ACTIVE"/>
    <s v="YES"/>
    <n v="27982"/>
    <s v="Fondos Branded"/>
    <s v="NIVEL 8 (1.5)"/>
    <n v="8"/>
    <s v="PPD"/>
    <n v="1"/>
    <n v="1.5"/>
    <n v="0.5"/>
    <n v="0.5"/>
    <m/>
    <m/>
    <s v=""/>
    <s v="FONDOS BRANDED"/>
  </r>
  <r>
    <n v="22120"/>
    <m/>
    <x v="17"/>
    <n v="36601"/>
    <n v="36601"/>
    <x v="25"/>
    <x v="20"/>
    <s v="CVAS"/>
    <x v="1"/>
    <x v="1"/>
    <s v=""/>
    <s v="Others"/>
    <s v="Images"/>
    <x v="6"/>
    <s v="ACTIVE"/>
    <s v="YES"/>
    <n v="27983"/>
    <s v="Videos Branded"/>
    <s v="NIVEL 9 (2 E)"/>
    <n v="9"/>
    <s v="PPD"/>
    <n v="1"/>
    <n v="2"/>
    <n v="0.5"/>
    <n v="0.5"/>
    <m/>
    <m/>
    <s v=""/>
    <s v="VIDEOS BRANDED"/>
  </r>
  <r>
    <n v="22122"/>
    <m/>
    <x v="18"/>
    <n v="35601"/>
    <n v="35601"/>
    <x v="21"/>
    <x v="21"/>
    <s v="CVAS"/>
    <x v="1"/>
    <x v="1"/>
    <s v=""/>
    <s v="Others"/>
    <s v="Images"/>
    <x v="6"/>
    <s v="ACTIVE"/>
    <s v="YES"/>
    <n v="27984"/>
    <s v="Animaciones Brand"/>
    <s v="NIVEL 8 (1.5)"/>
    <n v="8"/>
    <s v="PPD"/>
    <n v="1"/>
    <n v="1.5"/>
    <n v="0.5"/>
    <n v="0.5"/>
    <m/>
    <m/>
    <s v=""/>
    <s v="ANIMACIONES BRAND"/>
  </r>
  <r>
    <n v="22716"/>
    <m/>
    <x v="19"/>
    <n v="30303"/>
    <n v="30303"/>
    <x v="26"/>
    <x v="0"/>
    <s v="CVAS"/>
    <x v="0"/>
    <x v="0"/>
    <s v="Light Hard"/>
    <s v="Light"/>
    <s v="Light Hard"/>
    <x v="0"/>
    <s v="ACTIVE"/>
    <s v="YES"/>
    <n v="28472"/>
    <s v="Mundo DV Porno"/>
    <s v="NIVEL 12 (5 E)"/>
    <n v="12"/>
    <s v="PPD"/>
    <n v="1"/>
    <n v="5"/>
    <n v="0.3"/>
    <n v="0.7"/>
    <m/>
    <m/>
    <s v=""/>
    <s v="MUNDO DVD PORNO"/>
  </r>
  <r>
    <n v="22718"/>
    <m/>
    <x v="20"/>
    <n v="25102"/>
    <n v="25102"/>
    <x v="26"/>
    <x v="0"/>
    <s v="CVAS"/>
    <x v="0"/>
    <x v="0"/>
    <s v="Light Hard"/>
    <s v="Light"/>
    <s v="Light Hard"/>
    <x v="0"/>
    <s v="ACTIVE"/>
    <s v="YES"/>
    <n v="28473"/>
    <s v="Porno Profesional"/>
    <s v="NIVEL 11 (3 E)"/>
    <n v="11"/>
    <s v="PPD"/>
    <n v="1"/>
    <n v="3"/>
    <n v="0.3"/>
    <n v="0.7"/>
    <m/>
    <m/>
    <s v=""/>
    <s v="PORNO PROFESIONAL"/>
  </r>
  <r>
    <n v="23264"/>
    <m/>
    <x v="21"/>
    <n v="60001"/>
    <n v="60001"/>
    <x v="27"/>
    <x v="22"/>
    <s v="CVAS"/>
    <x v="0"/>
    <x v="0"/>
    <s v="Light TV"/>
    <s v="Light"/>
    <s v="Light TV"/>
    <x v="9"/>
    <s v="INACTIVE"/>
    <s v="YES"/>
    <n v="28945"/>
    <s v="Canal Venus"/>
    <s v="NIVEL 28 (6 E)"/>
    <n v="28"/>
    <s v="Monthly subscription"/>
    <n v="25"/>
    <n v="6"/>
    <n v="0.3"/>
    <n v="0.7"/>
    <m/>
    <m/>
    <s v=""/>
    <s v="CANAL VENUS"/>
  </r>
  <r>
    <n v="23274"/>
    <m/>
    <x v="22"/>
    <n v="58101"/>
    <n v="58101"/>
    <x v="28"/>
    <x v="23"/>
    <s v="CVAS"/>
    <x v="0"/>
    <x v="0"/>
    <s v="Light TV"/>
    <s v="Light"/>
    <s v="Light TV"/>
    <x v="9"/>
    <s v="INACTIVE"/>
    <s v="YES"/>
    <n v="28584"/>
    <s v="Forman TV"/>
    <s v="NIVEL 28 (6 E)"/>
    <n v="28"/>
    <s v="Monthly subscription"/>
    <n v="25"/>
    <n v="6"/>
    <n v="0.3"/>
    <n v="0.7"/>
    <m/>
    <m/>
    <s v=""/>
    <s v="FORMAN TV"/>
  </r>
  <r>
    <n v="23383"/>
    <m/>
    <x v="23"/>
    <n v="58001"/>
    <n v="58001"/>
    <x v="29"/>
    <x v="0"/>
    <s v="CVAS"/>
    <x v="0"/>
    <x v="0"/>
    <s v="Light TV"/>
    <s v="Light"/>
    <s v="Light TV"/>
    <x v="10"/>
    <s v="ACTIVE"/>
    <s v="YES"/>
    <n v="29044"/>
    <s v="Fantasy Mansion"/>
    <s v="NIVEL 22 (4 E)"/>
    <n v="22"/>
    <s v="Monthly subscription"/>
    <n v="25"/>
    <n v="4"/>
    <n v="0.3"/>
    <n v="0.7"/>
    <m/>
    <m/>
    <s v=""/>
    <s v="FANTASY MANSION"/>
  </r>
  <r>
    <n v="23386"/>
    <m/>
    <x v="24"/>
    <n v="60101"/>
    <n v="60101"/>
    <x v="29"/>
    <x v="0"/>
    <s v="CVAS"/>
    <x v="0"/>
    <x v="0"/>
    <s v="Light TV"/>
    <s v="Light"/>
    <s v="Light TV"/>
    <x v="10"/>
    <s v="ACTIVE"/>
    <s v="YES"/>
    <n v="29045"/>
    <s v="Wicked TV"/>
    <s v="NIVEL 28 (6 E)"/>
    <n v="28"/>
    <s v="Monthly subscription"/>
    <n v="25"/>
    <n v="6"/>
    <n v="0.3"/>
    <n v="0.7"/>
    <m/>
    <m/>
    <s v=""/>
    <s v="WICKED"/>
  </r>
  <r>
    <n v="23832"/>
    <m/>
    <x v="25"/>
    <n v="24602"/>
    <n v="24602"/>
    <x v="26"/>
    <x v="0"/>
    <s v="CVAS"/>
    <x v="0"/>
    <x v="0"/>
    <s v="Light Hard"/>
    <s v="Light"/>
    <s v="Light Hard"/>
    <x v="0"/>
    <s v="ACTIVE"/>
    <s v="YES"/>
    <n v="29453"/>
    <s v="Divinas mamás"/>
    <s v="NIVEL 11 (3 E)"/>
    <n v="11"/>
    <s v="PPD"/>
    <n v="1"/>
    <n v="3"/>
    <n v="0.3"/>
    <n v="0.7"/>
    <m/>
    <m/>
    <s v=""/>
    <s v="DIVINAS MAMAS"/>
  </r>
  <r>
    <n v="23837"/>
    <m/>
    <x v="26"/>
    <n v="24502"/>
    <n v="24502"/>
    <x v="26"/>
    <x v="0"/>
    <s v="CVAS"/>
    <x v="0"/>
    <x v="0"/>
    <s v="Light Hard"/>
    <s v="Light"/>
    <s v="Light Hard"/>
    <x v="0"/>
    <s v="ACTIVE"/>
    <s v="YES"/>
    <n v="29455"/>
    <s v="Corridas"/>
    <s v="NIVEL 11 (3 E)"/>
    <n v="11"/>
    <s v="PPD"/>
    <n v="1"/>
    <n v="3"/>
    <n v="0.3"/>
    <n v="0.7"/>
    <m/>
    <m/>
    <s v=""/>
    <s v="CORRIDAS"/>
  </r>
  <r>
    <n v="23841"/>
    <m/>
    <x v="27"/>
    <n v="34402"/>
    <n v="34402"/>
    <x v="26"/>
    <x v="0"/>
    <s v="CVAS"/>
    <x v="0"/>
    <x v="0"/>
    <s v="Light Hard"/>
    <s v="Light"/>
    <s v="Light Hard"/>
    <x v="0"/>
    <s v="ACTIVE"/>
    <s v="YES"/>
    <n v="29457"/>
    <s v="Hardcore"/>
    <s v="NIVEL 11 (3 E)"/>
    <n v="11"/>
    <s v="PPD"/>
    <n v="1"/>
    <n v="3"/>
    <n v="0.3"/>
    <n v="0.7"/>
    <m/>
    <m/>
    <s v=""/>
    <s v="HARDCORE"/>
  </r>
  <r>
    <n v="23845"/>
    <m/>
    <x v="28"/>
    <n v="24902"/>
    <n v="24902"/>
    <x v="26"/>
    <x v="0"/>
    <s v="CVAS"/>
    <x v="0"/>
    <x v="0"/>
    <s v="Light Hard"/>
    <s v="Light"/>
    <s v="Light Hard"/>
    <x v="0"/>
    <s v="ACTIVE"/>
    <s v="YES"/>
    <n v="29459"/>
    <s v="Hentai"/>
    <s v="NIVEL 11 (3 E)"/>
    <n v="11"/>
    <s v="PPD"/>
    <n v="1"/>
    <n v="3"/>
    <n v="0.3"/>
    <n v="0.7"/>
    <m/>
    <m/>
    <s v=""/>
    <s v="HENTAI"/>
  </r>
  <r>
    <n v="23849"/>
    <m/>
    <x v="29"/>
    <n v="25002"/>
    <n v="25002"/>
    <x v="26"/>
    <x v="0"/>
    <s v="CVAS"/>
    <x v="0"/>
    <x v="0"/>
    <s v="Light Hard"/>
    <s v="Light"/>
    <s v="Light Hard"/>
    <x v="0"/>
    <s v="ACTIVE"/>
    <s v="YES"/>
    <n v="29461"/>
    <s v="Lesbianas"/>
    <s v="NIVEL 11 (3 E)"/>
    <n v="11"/>
    <s v="PPD"/>
    <n v="1"/>
    <n v="3"/>
    <n v="0.3"/>
    <n v="0.7"/>
    <m/>
    <m/>
    <s v=""/>
    <s v="LESBIANAS"/>
  </r>
  <r>
    <n v="23853"/>
    <m/>
    <x v="30"/>
    <n v="24402"/>
    <n v="24402"/>
    <x v="26"/>
    <x v="0"/>
    <s v="CVAS"/>
    <x v="0"/>
    <x v="0"/>
    <s v="Light Hard"/>
    <s v="Light"/>
    <s v="Light Hard"/>
    <x v="0"/>
    <s v="ACTIVE"/>
    <s v="YES"/>
    <n v="29463"/>
    <s v="Cochinas Latinas"/>
    <s v="NIVEL 11 (3 E)"/>
    <n v="11"/>
    <s v="PPD"/>
    <n v="1"/>
    <n v="3"/>
    <n v="0.3"/>
    <n v="0.7"/>
    <m/>
    <m/>
    <s v=""/>
    <s v="COCHINAS LATINAS"/>
  </r>
  <r>
    <n v="23923"/>
    <m/>
    <x v="31"/>
    <n v="27102"/>
    <n v="27102"/>
    <x v="30"/>
    <x v="0"/>
    <s v="CVAS"/>
    <x v="0"/>
    <x v="0"/>
    <s v="Light Hard"/>
    <s v="Light"/>
    <s v="Light Hard"/>
    <x v="8"/>
    <s v="ACTIVE"/>
    <s v="YES"/>
    <n v="29499"/>
    <s v="Casadas"/>
    <s v="NIVEL 9 (2 Euros)"/>
    <n v="9"/>
    <s v="PPD"/>
    <n v="1"/>
    <n v="2"/>
    <n v="0.3"/>
    <n v="0.7"/>
    <m/>
    <m/>
    <s v=""/>
    <s v="CASADAS"/>
  </r>
  <r>
    <n v="23925"/>
    <m/>
    <x v="31"/>
    <n v="27103"/>
    <n v="27103"/>
    <x v="26"/>
    <x v="0"/>
    <s v="CVAS"/>
    <x v="0"/>
    <x v="0"/>
    <s v="Light Hard"/>
    <s v="Light"/>
    <s v=""/>
    <x v="8"/>
    <s v="ACTIVE"/>
    <s v="YES"/>
    <n v="29500"/>
    <s v="Casadas"/>
    <s v="NIVEL 11 (3 E)"/>
    <n v="11"/>
    <s v="PPD"/>
    <n v="1"/>
    <n v="3"/>
    <n v="0.3"/>
    <n v="0.7"/>
    <m/>
    <m/>
    <s v=""/>
    <s v="CASADAS"/>
  </r>
  <r>
    <n v="23927"/>
    <m/>
    <x v="32"/>
    <n v="27502"/>
    <n v="27502"/>
    <x v="31"/>
    <x v="0"/>
    <s v="CVAS"/>
    <x v="0"/>
    <x v="0"/>
    <s v="Light Hard"/>
    <s v="Light"/>
    <s v="Light Hard"/>
    <x v="8"/>
    <s v="ACTIVE"/>
    <s v="YES"/>
    <n v="29501"/>
    <s v="Jovencitas"/>
    <s v="NIVEL 9 (2 Euros)"/>
    <n v="9"/>
    <s v="PPD"/>
    <n v="1"/>
    <n v="2"/>
    <n v="0.3"/>
    <n v="0.7"/>
    <m/>
    <m/>
    <s v=""/>
    <s v="JOVENCITAS"/>
  </r>
  <r>
    <n v="23929"/>
    <m/>
    <x v="32"/>
    <n v="27503"/>
    <n v="27503"/>
    <x v="26"/>
    <x v="0"/>
    <s v="CVAS"/>
    <x v="0"/>
    <x v="0"/>
    <s v="Light Hard"/>
    <s v="Light"/>
    <s v="Light Hard"/>
    <x v="8"/>
    <s v="ACTIVE"/>
    <s v="YES"/>
    <n v="29502"/>
    <s v="Jovencitas"/>
    <s v="NIVEL 11 (3 E)"/>
    <n v="11"/>
    <s v="PPD"/>
    <n v="1"/>
    <n v="3"/>
    <n v="0.3"/>
    <n v="0.7"/>
    <m/>
    <m/>
    <s v=""/>
    <s v="JOVENCITAS"/>
  </r>
  <r>
    <n v="23931"/>
    <m/>
    <x v="33"/>
    <n v="27903"/>
    <n v="27903"/>
    <x v="32"/>
    <x v="0"/>
    <s v="CVAS"/>
    <x v="0"/>
    <x v="0"/>
    <s v="Light Hard"/>
    <s v="Light"/>
    <s v="Light Hard"/>
    <x v="8"/>
    <s v="ACTIVE"/>
    <s v="YES"/>
    <n v="29503"/>
    <s v="Mamadas"/>
    <s v="NIVEL 9 (2 Euros)"/>
    <n v="9"/>
    <s v="PPD"/>
    <n v="1"/>
    <n v="2"/>
    <n v="0.4"/>
    <n v="0.6"/>
    <m/>
    <m/>
    <s v=""/>
    <s v="MAMADAS"/>
  </r>
  <r>
    <n v="23933"/>
    <m/>
    <x v="33"/>
    <n v="27902"/>
    <n v="27902"/>
    <x v="26"/>
    <x v="0"/>
    <s v="CVAS"/>
    <x v="0"/>
    <x v="0"/>
    <s v="Light Hard"/>
    <s v="Light"/>
    <s v="Light Hard"/>
    <x v="8"/>
    <s v="ACTIVE"/>
    <s v="YES"/>
    <n v="29504"/>
    <s v="Mamadas"/>
    <s v="NIVEL 11 (3 E)"/>
    <n v="11"/>
    <s v="PPD"/>
    <n v="1"/>
    <n v="3"/>
    <n v="0.3"/>
    <n v="0.7"/>
    <m/>
    <m/>
    <s v=""/>
    <s v="MAMADAS"/>
  </r>
  <r>
    <n v="23935"/>
    <m/>
    <x v="34"/>
    <n v="27403"/>
    <n v="27403"/>
    <x v="33"/>
    <x v="0"/>
    <s v="CVAS"/>
    <x v="0"/>
    <x v="0"/>
    <s v="Light Hard"/>
    <s v="Light"/>
    <s v="Light Hard"/>
    <x v="8"/>
    <s v="ACTIVE"/>
    <s v="YES"/>
    <n v="29505"/>
    <s v="Ibericas"/>
    <s v="NIVEL 9 (2 Euros)"/>
    <n v="9"/>
    <s v="PPD"/>
    <n v="1"/>
    <n v="2"/>
    <n v="0.3"/>
    <n v="0.7"/>
    <m/>
    <m/>
    <s v=""/>
    <s v="IBERICAS"/>
  </r>
  <r>
    <n v="23937"/>
    <m/>
    <x v="34"/>
    <n v="27402"/>
    <n v="27402"/>
    <x v="26"/>
    <x v="0"/>
    <s v="CVAS"/>
    <x v="0"/>
    <x v="0"/>
    <s v="Light Hard"/>
    <s v="Light"/>
    <s v="Light Hard"/>
    <x v="8"/>
    <s v="ACTIVE"/>
    <s v="YES"/>
    <n v="29506"/>
    <s v="Putas"/>
    <s v="NIVEL 11 (3 E)"/>
    <n v="11"/>
    <s v="PPD"/>
    <n v="1"/>
    <n v="3"/>
    <n v="0.3"/>
    <n v="0.7"/>
    <m/>
    <m/>
    <s v=""/>
    <s v="PUTAS"/>
  </r>
  <r>
    <n v="23939"/>
    <m/>
    <x v="35"/>
    <n v="27202"/>
    <n v="27202"/>
    <x v="34"/>
    <x v="0"/>
    <s v="CVAS"/>
    <x v="0"/>
    <x v="0"/>
    <s v="Light Hard"/>
    <s v="Light"/>
    <s v="Light Hard"/>
    <x v="8"/>
    <s v="ACTIVE"/>
    <s v="YES"/>
    <n v="29507"/>
    <s v="Sexo en publico"/>
    <s v="NIVEL 9 (2 Euros)"/>
    <n v="9"/>
    <s v="PPD"/>
    <n v="1"/>
    <n v="2"/>
    <n v="0.3"/>
    <n v="0.7"/>
    <m/>
    <m/>
    <s v=""/>
    <s v="SEXO EN PUBLICO"/>
  </r>
  <r>
    <n v="23941"/>
    <m/>
    <x v="35"/>
    <n v="27203"/>
    <n v="27203"/>
    <x v="26"/>
    <x v="0"/>
    <s v="CVAS"/>
    <x v="0"/>
    <x v="0"/>
    <s v="Light Hard"/>
    <s v="Light"/>
    <s v="Light Hard"/>
    <x v="8"/>
    <s v="ACTIVE"/>
    <s v="YES"/>
    <n v="29508"/>
    <s v="Follamigos"/>
    <s v="NIVEL 11 (3 E)"/>
    <n v="11"/>
    <s v="PPD"/>
    <n v="1"/>
    <n v="3"/>
    <n v="0.3"/>
    <n v="0.7"/>
    <m/>
    <m/>
    <s v=""/>
    <s v="FOLLAMIGOS"/>
  </r>
  <r>
    <n v="24096"/>
    <m/>
    <x v="36"/>
    <n v="89"/>
    <n v="89"/>
    <x v="29"/>
    <x v="0"/>
    <s v="CVAS"/>
    <x v="0"/>
    <x v="0"/>
    <s v="Light Soft"/>
    <s v="Light"/>
    <s v="Light Soft"/>
    <x v="11"/>
    <s v="ACTIVE"/>
    <s v="YES"/>
    <n v="29687"/>
    <s v="MoviSexy"/>
    <s v="NIVEL 12 (5 E)"/>
    <n v="12"/>
    <s v="Monthly subscription"/>
    <n v="25"/>
    <n v="5"/>
    <n v="0.3"/>
    <n v="0.7"/>
    <m/>
    <m/>
    <s v=""/>
    <s v="MOVISEXY"/>
  </r>
  <r>
    <n v="24300"/>
    <m/>
    <x v="37"/>
    <n v="58301"/>
    <n v="58301"/>
    <x v="35"/>
    <x v="24"/>
    <s v="CVAS"/>
    <x v="0"/>
    <x v="0"/>
    <s v="Light TV"/>
    <s v="Light"/>
    <s v="Light TV"/>
    <x v="12"/>
    <s v="ACTIVE"/>
    <s v="YES"/>
    <n v="29810"/>
    <s v="Paquete TV Adultos"/>
    <s v="NIVEL 38 (20 Euros)"/>
    <n v="38"/>
    <s v="Monthly subscription"/>
    <n v="484"/>
    <n v="20"/>
    <n v="0.3"/>
    <n v="0.7"/>
    <m/>
    <m/>
    <s v=""/>
    <s v="PAQUETE TV AD"/>
  </r>
  <r>
    <n v="24981"/>
    <m/>
    <x v="38"/>
    <n v="27303"/>
    <n v="27303"/>
    <x v="26"/>
    <x v="0"/>
    <s v="CVAS"/>
    <x v="0"/>
    <x v="0"/>
    <s v="Light Hard"/>
    <s v="Light"/>
    <s v="Light Hard"/>
    <x v="8"/>
    <s v="ACTIVE"/>
    <s v="YES"/>
    <n v="30412"/>
    <s v="Gay"/>
    <s v="NIVEL 9 (2 E)"/>
    <n v="9"/>
    <s v="PPD"/>
    <n v="1"/>
    <n v="2"/>
    <n v="0.3"/>
    <n v="0.7"/>
    <m/>
    <m/>
    <s v=""/>
    <s v="GAY"/>
  </r>
  <r>
    <n v="24983"/>
    <m/>
    <x v="38"/>
    <n v="27302"/>
    <n v="27302"/>
    <x v="26"/>
    <x v="0"/>
    <s v="CVAS"/>
    <x v="0"/>
    <x v="0"/>
    <s v="Light Hard"/>
    <s v="Light"/>
    <s v="Light Hard"/>
    <x v="8"/>
    <s v="ACTIVE"/>
    <s v="YES"/>
    <n v="30413"/>
    <s v="Gay"/>
    <s v="NIVEL 11 (3 E)"/>
    <n v="11"/>
    <s v="PPD"/>
    <n v="1"/>
    <n v="3"/>
    <n v="0.3"/>
    <n v="0.7"/>
    <m/>
    <m/>
    <s v=""/>
    <s v="GAY"/>
  </r>
  <r>
    <n v="24985"/>
    <m/>
    <x v="39"/>
    <n v="27803"/>
    <n v="27803"/>
    <x v="26"/>
    <x v="0"/>
    <s v="CVAS"/>
    <x v="0"/>
    <x v="0"/>
    <s v="Light Hard"/>
    <s v="Light"/>
    <s v="Light Hard"/>
    <x v="8"/>
    <s v="ACTIVE"/>
    <s v="YES"/>
    <n v="30414"/>
    <s v="Maduras"/>
    <s v="NIVEL 9 (2 E)"/>
    <n v="9"/>
    <s v="PPD"/>
    <n v="1"/>
    <n v="2"/>
    <n v="0.3"/>
    <n v="0.7"/>
    <m/>
    <m/>
    <s v=""/>
    <s v="MADURAS"/>
  </r>
  <r>
    <n v="24987"/>
    <m/>
    <x v="39"/>
    <n v="27802"/>
    <n v="27802"/>
    <x v="26"/>
    <x v="0"/>
    <s v="CVAS"/>
    <x v="0"/>
    <x v="0"/>
    <s v="Light Hard"/>
    <s v="Light"/>
    <s v="Light Hard"/>
    <x v="8"/>
    <s v="ACTIVE"/>
    <s v="YES"/>
    <n v="30415"/>
    <s v="Maduras"/>
    <s v="NIVEL 11 (3 E)"/>
    <n v="11"/>
    <s v="PPD"/>
    <n v="1"/>
    <n v="3"/>
    <n v="0.3"/>
    <n v="0.7"/>
    <m/>
    <m/>
    <s v=""/>
    <s v="MADURAS"/>
  </r>
  <r>
    <n v="25069"/>
    <m/>
    <x v="40"/>
    <n v="34602"/>
    <n v="34602"/>
    <x v="26"/>
    <x v="0"/>
    <s v="CVAS"/>
    <x v="0"/>
    <x v="0"/>
    <s v="Light Hard"/>
    <s v="Light"/>
    <s v="Light Hard"/>
    <x v="0"/>
    <s v="ACTIVE"/>
    <s v="YES"/>
    <n v="30455"/>
    <s v="Abuelos Cachondos"/>
    <s v="NIVEL 11 (3 E)"/>
    <n v="11"/>
    <s v="PPD"/>
    <n v="1"/>
    <n v="3"/>
    <n v="0.3"/>
    <n v="0.7"/>
    <m/>
    <m/>
    <s v=""/>
    <s v="ABUELOS CACHONDOS"/>
  </r>
  <r>
    <n v="25126"/>
    <m/>
    <x v="41"/>
    <n v="45402"/>
    <n v="45402"/>
    <x v="26"/>
    <x v="0"/>
    <s v="CVAS"/>
    <x v="0"/>
    <x v="0"/>
    <s v="Light Soft"/>
    <s v="Light"/>
    <s v="Light Soft"/>
    <x v="10"/>
    <s v="ACTIVE"/>
    <s v="YES"/>
    <n v="30486"/>
    <s v="Webcams"/>
    <s v="NIVEL 8 (1.5)"/>
    <n v="8"/>
    <s v="PPD"/>
    <n v="1"/>
    <n v="1.5"/>
    <n v="0.3"/>
    <n v="0.7"/>
    <m/>
    <m/>
    <s v=""/>
    <s v="WEBCAMS"/>
  </r>
  <r>
    <n v="25130"/>
    <m/>
    <x v="42"/>
    <n v="45502"/>
    <n v="45502"/>
    <x v="26"/>
    <x v="0"/>
    <s v="CVAS"/>
    <x v="0"/>
    <x v="0"/>
    <s v="Light Soft"/>
    <s v="Light"/>
    <s v="Light Soft"/>
    <x v="10"/>
    <s v="ACTIVE"/>
    <s v="YES"/>
    <n v="30488"/>
    <s v="Oriental"/>
    <s v="NIVEL 8 (1.5)"/>
    <n v="8"/>
    <s v="PPD"/>
    <n v="1"/>
    <n v="1.5"/>
    <n v="0.3"/>
    <n v="0.7"/>
    <m/>
    <m/>
    <s v=""/>
    <s v="ORIENTAL"/>
  </r>
  <r>
    <n v="25134"/>
    <m/>
    <x v="43"/>
    <n v="45302"/>
    <n v="45302"/>
    <x v="26"/>
    <x v="0"/>
    <s v="CVAS"/>
    <x v="0"/>
    <x v="0"/>
    <s v="Light Soft"/>
    <s v="Light"/>
    <s v="Light Soft"/>
    <x v="10"/>
    <s v="ACTIVE"/>
    <s v="YES"/>
    <n v="30490"/>
    <s v="Culazos"/>
    <s v="NIVEL 8 (1.5)"/>
    <n v="8"/>
    <s v="PPD"/>
    <n v="1"/>
    <n v="1.5"/>
    <n v="0.3"/>
    <n v="0.7"/>
    <m/>
    <m/>
    <s v=""/>
    <s v="CULAZOS"/>
  </r>
  <r>
    <n v="25138"/>
    <m/>
    <x v="44"/>
    <n v="45202"/>
    <n v="45202"/>
    <x v="26"/>
    <x v="0"/>
    <s v="CVAS"/>
    <x v="0"/>
    <x v="0"/>
    <s v="Light Soft"/>
    <s v="Light"/>
    <s v="Light Soft"/>
    <x v="10"/>
    <s v="ACTIVE"/>
    <s v="YES"/>
    <n v="30492"/>
    <s v="Chicas humedas"/>
    <s v="NIVEL 8 (1.5)"/>
    <n v="8"/>
    <s v="PPD"/>
    <n v="1"/>
    <n v="1.5"/>
    <n v="0.3"/>
    <n v="0.7"/>
    <m/>
    <m/>
    <s v=""/>
    <s v="CHICAS HUMEDAS"/>
  </r>
  <r>
    <n v="25142"/>
    <m/>
    <x v="45"/>
    <n v="45602"/>
    <n v="45602"/>
    <x v="26"/>
    <x v="0"/>
    <s v="CVAS"/>
    <x v="0"/>
    <x v="0"/>
    <s v="Light Soft"/>
    <s v="Light"/>
    <s v="Light Soft"/>
    <x v="10"/>
    <s v="ACTIVE"/>
    <s v="YES"/>
    <n v="30494"/>
    <s v="Jovencitas"/>
    <s v="NIVEL 8 (1.5)"/>
    <n v="8"/>
    <s v="PPD"/>
    <n v="1"/>
    <n v="1.5"/>
    <n v="0.3"/>
    <n v="0.7"/>
    <m/>
    <m/>
    <s v=""/>
    <s v="JOVENCITAS"/>
  </r>
  <r>
    <n v="25146"/>
    <m/>
    <x v="46"/>
    <n v="45101"/>
    <n v="45101"/>
    <x v="26"/>
    <x v="0"/>
    <s v="CVAS"/>
    <x v="0"/>
    <x v="0"/>
    <s v="Light Soft"/>
    <s v="Light"/>
    <s v="Light Soft"/>
    <x v="10"/>
    <s v="ACTIVE"/>
    <s v="YES"/>
    <n v="30496"/>
    <s v="Porn Stars"/>
    <s v="NIVEL 8 (1.5)"/>
    <n v="8"/>
    <s v="PPD"/>
    <n v="1"/>
    <n v="1.5"/>
    <n v="0.3"/>
    <n v="0.7"/>
    <m/>
    <m/>
    <s v=""/>
    <s v="PORN STARS"/>
  </r>
  <r>
    <n v="25150"/>
    <m/>
    <x v="47"/>
    <n v="45702"/>
    <n v="45702"/>
    <x v="26"/>
    <x v="0"/>
    <s v="CVAS"/>
    <x v="0"/>
    <x v="0"/>
    <s v="Light Soft"/>
    <s v="Light"/>
    <s v="Light Soft"/>
    <x v="10"/>
    <s v="ACTIVE"/>
    <s v="YES"/>
    <n v="30498"/>
    <s v="Stripers"/>
    <s v="NIVEL 8 (1.5)"/>
    <n v="8"/>
    <s v="PPD"/>
    <n v="1"/>
    <n v="1.5"/>
    <n v="0.3"/>
    <n v="0.7"/>
    <m/>
    <m/>
    <s v=""/>
    <s v="STRIPERS"/>
  </r>
  <r>
    <n v="25162"/>
    <m/>
    <x v="48"/>
    <n v="27601"/>
    <n v="27601"/>
    <x v="26"/>
    <x v="0"/>
    <s v="CVAS"/>
    <x v="0"/>
    <x v="0"/>
    <s v="Light Soft"/>
    <s v="Light"/>
    <s v="Light Soft"/>
    <x v="8"/>
    <s v="ACTIVE"/>
    <s v="YES"/>
    <n v="30504"/>
    <s v="Chicas Malas"/>
    <s v="NIVEL 8 (1.5)"/>
    <n v="8"/>
    <s v="PPD"/>
    <n v="1"/>
    <n v="1.5"/>
    <n v="0.3"/>
    <n v="0.7"/>
    <m/>
    <m/>
    <s v=""/>
    <s v="CHICAS MALAS"/>
  </r>
  <r>
    <n v="25172"/>
    <m/>
    <x v="49"/>
    <n v="27701"/>
    <n v="27701"/>
    <x v="26"/>
    <x v="0"/>
    <s v="CVAS"/>
    <x v="0"/>
    <x v="0"/>
    <s v="Light Soft"/>
    <s v="Light"/>
    <s v="Light Soft"/>
    <x v="8"/>
    <s v="ACTIVE"/>
    <s v="YES"/>
    <n v="30509"/>
    <s v="Macizos"/>
    <s v="NIVEL 8 (1.5)"/>
    <n v="8"/>
    <s v="PPD"/>
    <n v="1"/>
    <n v="1.5"/>
    <n v="0.3"/>
    <n v="0.7"/>
    <m/>
    <m/>
    <s v=""/>
    <s v="MACIZOS"/>
  </r>
  <r>
    <n v="25376"/>
    <m/>
    <x v="50"/>
    <n v="58701"/>
    <n v="58701"/>
    <x v="29"/>
    <x v="0"/>
    <s v="CVAS"/>
    <x v="0"/>
    <x v="0"/>
    <s v="Light TV"/>
    <s v="Light"/>
    <s v="Light TV"/>
    <x v="7"/>
    <s v="INACTIVE"/>
    <s v="YES"/>
    <n v="30710"/>
    <s v=" Private XXX"/>
    <s v="NIVEL 28 (6 E)"/>
    <n v="28"/>
    <s v="Monthly subscription"/>
    <n v="25"/>
    <n v="6"/>
    <n v="0.3"/>
    <n v="0.7"/>
    <m/>
    <m/>
    <s v=""/>
    <s v="PRIVATE"/>
  </r>
  <r>
    <n v="25398"/>
    <m/>
    <x v="51"/>
    <n v="51001"/>
    <n v="51001"/>
    <x v="26"/>
    <x v="0"/>
    <s v="CVAS"/>
    <x v="0"/>
    <x v="0"/>
    <s v="Light Soft"/>
    <s v="Light"/>
    <s v="Light Soft"/>
    <x v="10"/>
    <s v="ACTIVE"/>
    <s v="YES"/>
    <n v="30718"/>
    <s v="Wicked"/>
    <s v="NIVEL 10 (2.5)"/>
    <n v="10"/>
    <s v="PPD"/>
    <n v="1"/>
    <n v="2.5"/>
    <n v="0.3"/>
    <n v="0.7"/>
    <m/>
    <m/>
    <s v=""/>
    <s v="WICKED"/>
  </r>
  <r>
    <n v="25399"/>
    <m/>
    <x v="49"/>
    <n v="27702"/>
    <n v="27702"/>
    <x v="26"/>
    <x v="0"/>
    <s v="CVAS"/>
    <x v="0"/>
    <x v="0"/>
    <s v="Light Soft"/>
    <s v="Light"/>
    <s v="Light Soft"/>
    <x v="8"/>
    <s v="ACTIVE"/>
    <s v="YES"/>
    <n v="30511"/>
    <s v="Macizos"/>
    <s v="NIVEL 10 (2.5)"/>
    <n v="10"/>
    <s v="PPD"/>
    <n v="1"/>
    <n v="2.5"/>
    <n v="0.3"/>
    <n v="0.7"/>
    <m/>
    <m/>
    <s v=""/>
    <s v="MACIZOS"/>
  </r>
  <r>
    <n v="25401"/>
    <m/>
    <x v="48"/>
    <n v="27602"/>
    <n v="27602"/>
    <x v="26"/>
    <x v="0"/>
    <s v="CVAS"/>
    <x v="0"/>
    <x v="0"/>
    <s v="Light Soft"/>
    <s v="Light"/>
    <s v="Light Soft"/>
    <x v="8"/>
    <s v="ACTIVE"/>
    <s v="YES"/>
    <n v="30505"/>
    <s v="Latinas"/>
    <s v="NIVEL 10 (2.5)"/>
    <n v="10"/>
    <s v="PPD"/>
    <n v="1"/>
    <n v="2.5"/>
    <n v="0.3"/>
    <n v="0.7"/>
    <m/>
    <m/>
    <s v=""/>
    <s v="LATINAS"/>
  </r>
  <r>
    <n v="25404"/>
    <m/>
    <x v="47"/>
    <n v="45701"/>
    <n v="45701"/>
    <x v="26"/>
    <x v="0"/>
    <s v="CVAS"/>
    <x v="0"/>
    <x v="0"/>
    <s v="Light Soft"/>
    <s v="Light"/>
    <s v="Light Soft"/>
    <x v="10"/>
    <s v="ACTIVE"/>
    <s v="YES"/>
    <n v="30499"/>
    <s v="Stripers"/>
    <s v="NIVEL 10 (2.5)"/>
    <n v="10"/>
    <s v="PPD"/>
    <n v="1"/>
    <n v="2.5"/>
    <n v="0.3"/>
    <n v="0.7"/>
    <m/>
    <m/>
    <s v=""/>
    <s v="STRIPERS"/>
  </r>
  <r>
    <n v="25405"/>
    <m/>
    <x v="46"/>
    <n v="45102"/>
    <n v="45102"/>
    <x v="26"/>
    <x v="0"/>
    <s v="CVAS"/>
    <x v="0"/>
    <x v="0"/>
    <s v="Light Soft"/>
    <s v="Light"/>
    <s v="Light Soft"/>
    <x v="10"/>
    <s v="ACTIVE"/>
    <s v="YES"/>
    <n v="30497"/>
    <s v="Porn Stars"/>
    <s v="NIVEL 10 (2.5)"/>
    <n v="10"/>
    <s v="PPD"/>
    <n v="1"/>
    <n v="2.5"/>
    <n v="0.3"/>
    <n v="0.7"/>
    <m/>
    <m/>
    <s v=""/>
    <s v="PORN STARS"/>
  </r>
  <r>
    <n v="25407"/>
    <m/>
    <x v="44"/>
    <n v="45201"/>
    <n v="45201"/>
    <x v="26"/>
    <x v="0"/>
    <s v="CVAS"/>
    <x v="0"/>
    <x v="0"/>
    <s v="Light Soft"/>
    <s v="Light"/>
    <s v="Light Soft"/>
    <x v="10"/>
    <s v="ACTIVE"/>
    <s v="YES"/>
    <n v="30493"/>
    <s v="Chicas humedas"/>
    <s v="NIVEL 10 (2.5)"/>
    <n v="10"/>
    <s v="PPD"/>
    <n v="1"/>
    <n v="2.5"/>
    <n v="0.3"/>
    <n v="0.7"/>
    <m/>
    <m/>
    <s v=""/>
    <s v="CHICAS HUMEDAS"/>
  </r>
  <r>
    <n v="25408"/>
    <m/>
    <x v="43"/>
    <n v="45301"/>
    <n v="45301"/>
    <x v="26"/>
    <x v="0"/>
    <s v="CVAS"/>
    <x v="0"/>
    <x v="0"/>
    <s v="Light Soft"/>
    <s v="Light"/>
    <s v="Light Soft"/>
    <x v="10"/>
    <s v="ACTIVE"/>
    <s v="YES"/>
    <n v="30491"/>
    <s v="Culazos"/>
    <s v="NIVEL 10 (2.5)"/>
    <n v="10"/>
    <s v="PPD"/>
    <n v="1"/>
    <n v="2.5"/>
    <n v="0.3"/>
    <n v="0.7"/>
    <m/>
    <m/>
    <s v=""/>
    <s v="CULAZOS"/>
  </r>
  <r>
    <n v="25409"/>
    <m/>
    <x v="42"/>
    <n v="45501"/>
    <n v="45501"/>
    <x v="26"/>
    <x v="0"/>
    <s v="CVAS"/>
    <x v="0"/>
    <x v="0"/>
    <s v="Light Soft"/>
    <s v="Light"/>
    <s v="Light Soft"/>
    <x v="10"/>
    <s v="ACTIVE"/>
    <s v="YES"/>
    <n v="30489"/>
    <s v="Oriental"/>
    <s v="NIVEL 10 (2.5)"/>
    <n v="10"/>
    <s v="PPD"/>
    <n v="1"/>
    <n v="2.5"/>
    <n v="0.3"/>
    <n v="0.7"/>
    <m/>
    <m/>
    <s v=""/>
    <s v="ORIENTAL"/>
  </r>
  <r>
    <n v="25410"/>
    <m/>
    <x v="41"/>
    <n v="45401"/>
    <n v="45401"/>
    <x v="26"/>
    <x v="0"/>
    <s v="CVAS"/>
    <x v="0"/>
    <x v="0"/>
    <s v="Light Soft"/>
    <s v="Light"/>
    <s v="Light Soft"/>
    <x v="10"/>
    <s v="ACTIVE"/>
    <s v="YES"/>
    <n v="30487"/>
    <s v="webcams"/>
    <s v="NIVEL 10 (2.5)"/>
    <n v="10"/>
    <s v="PPD"/>
    <n v="1"/>
    <n v="2.5"/>
    <n v="0.3"/>
    <n v="0.7"/>
    <m/>
    <m/>
    <s v=""/>
    <s v="WEBCAMS"/>
  </r>
  <r>
    <n v="25414"/>
    <m/>
    <x v="52"/>
    <n v="30902"/>
    <n v="30902"/>
    <x v="26"/>
    <x v="0"/>
    <s v="CVAS"/>
    <x v="0"/>
    <x v="0"/>
    <s v="Light Soft"/>
    <s v="Light"/>
    <s v="Light Soft"/>
    <x v="0"/>
    <s v="ACTIVE"/>
    <s v="YES"/>
    <n v="30719"/>
    <s v="Tattoo"/>
    <s v="NIVEL 8 (1.5)"/>
    <n v="8"/>
    <s v="PPD"/>
    <n v="1"/>
    <n v="1.5"/>
    <n v="0.3"/>
    <n v="0.7"/>
    <m/>
    <m/>
    <s v=""/>
    <s v="TATTOO"/>
  </r>
  <r>
    <n v="25415"/>
    <m/>
    <x v="52"/>
    <n v="30901"/>
    <n v="30901"/>
    <x v="26"/>
    <x v="0"/>
    <s v="CVAS"/>
    <x v="0"/>
    <x v="0"/>
    <s v="Light Soft"/>
    <s v="Light"/>
    <s v="Light Soft"/>
    <x v="0"/>
    <s v="ACTIVE"/>
    <s v="YES"/>
    <n v="30720"/>
    <s v="Tattoo"/>
    <s v="NIVEL 10 (2.5)"/>
    <n v="10"/>
    <s v="PPD"/>
    <n v="1"/>
    <n v="2.5"/>
    <n v="0.3"/>
    <n v="0.7"/>
    <m/>
    <m/>
    <s v=""/>
    <s v="TATTOO"/>
  </r>
  <r>
    <n v="25417"/>
    <m/>
    <x v="53"/>
    <n v="30401"/>
    <n v="30401"/>
    <x v="26"/>
    <x v="0"/>
    <s v="CVAS"/>
    <x v="0"/>
    <x v="0"/>
    <s v="Light Soft"/>
    <s v="Light"/>
    <s v="Light Soft"/>
    <x v="0"/>
    <s v="ACTIVE"/>
    <s v="YES"/>
    <n v="30721"/>
    <s v="Lencería"/>
    <s v="NIVEL 10 (2.5)"/>
    <n v="10"/>
    <s v="PPD"/>
    <n v="1"/>
    <n v="2.5"/>
    <n v="0.3"/>
    <n v="0.7"/>
    <m/>
    <m/>
    <s v=""/>
    <s v="LENCERÍA"/>
  </r>
  <r>
    <n v="25419"/>
    <m/>
    <x v="53"/>
    <n v="30402"/>
    <n v="30402"/>
    <x v="26"/>
    <x v="0"/>
    <s v="CVAS"/>
    <x v="0"/>
    <x v="0"/>
    <s v="Light Soft"/>
    <s v="Light"/>
    <s v="Light Soft"/>
    <x v="0"/>
    <s v="ACTIVE"/>
    <s v="YES"/>
    <n v="30722"/>
    <s v="Lencería"/>
    <s v="NIVEL 8 (1.5)"/>
    <n v="8"/>
    <s v="PPD"/>
    <n v="1"/>
    <n v="1.5"/>
    <n v="0.3"/>
    <n v="0.7"/>
    <m/>
    <m/>
    <s v=""/>
    <s v="LENCERÍA"/>
  </r>
  <r>
    <n v="25422"/>
    <m/>
    <x v="54"/>
    <n v="25402"/>
    <n v="25402"/>
    <x v="36"/>
    <x v="25"/>
    <s v="CVAS"/>
    <x v="4"/>
    <x v="4"/>
    <s v=""/>
    <s v="Music"/>
    <s v=""/>
    <x v="13"/>
    <s v="ACTIVE"/>
    <s v="YES"/>
    <n v="30723"/>
    <s v="MOVIREAL-20-UNIVE"/>
    <s v="NIVEL 56 (1.99 Euros)"/>
    <n v="56"/>
    <s v="PPD"/>
    <n v="1"/>
    <n v="1.99"/>
    <n v="0.26910000000000001"/>
    <n v="0.24909999999999999"/>
    <n v="0.3518"/>
    <n v="0.13"/>
    <s v="UNIVERSAL"/>
    <s v="MUSICA.TRUNI199"/>
  </r>
  <r>
    <n v="25424"/>
    <m/>
    <x v="54"/>
    <n v="25403"/>
    <n v="25403"/>
    <x v="37"/>
    <x v="26"/>
    <s v="CVAS"/>
    <x v="4"/>
    <x v="4"/>
    <s v=""/>
    <s v="Music"/>
    <s v=""/>
    <x v="13"/>
    <s v="ACTIVE"/>
    <s v="YES"/>
    <n v="30724"/>
    <s v="MOVIREAL-20-SONY"/>
    <s v="NIVEL 56 (1.99 Euros)"/>
    <n v="56"/>
    <s v="PPD"/>
    <n v="1"/>
    <n v="1.99"/>
    <n v="0.24399999999999999"/>
    <n v="0.22399999999999998"/>
    <n v="0.40200000000000002"/>
    <n v="0.13"/>
    <s v="SONY"/>
    <s v="MUSICA.TRSON199"/>
  </r>
  <r>
    <n v="25428"/>
    <m/>
    <x v="54"/>
    <n v="25404"/>
    <n v="25404"/>
    <x v="38"/>
    <x v="27"/>
    <s v="CVAS"/>
    <x v="4"/>
    <x v="4"/>
    <s v=""/>
    <s v="Music"/>
    <s v=""/>
    <x v="13"/>
    <s v="ACTIVE"/>
    <s v="YES"/>
    <n v="30726"/>
    <s v="MOVIREAL-20-WARNE"/>
    <s v="NIVEL 56 (1.99 Euros)"/>
    <n v="56"/>
    <s v="PPD"/>
    <n v="1"/>
    <n v="1.99"/>
    <n v="0.25659999999999999"/>
    <n v="0.2366"/>
    <n v="0.37689999999999996"/>
    <n v="0.13"/>
    <s v="WARNER"/>
    <s v="MUSICA.TRWAR199"/>
  </r>
  <r>
    <n v="25432"/>
    <m/>
    <x v="54"/>
    <n v="25405"/>
    <n v="25405"/>
    <x v="39"/>
    <x v="28"/>
    <s v="CVAS"/>
    <x v="4"/>
    <x v="4"/>
    <s v=""/>
    <s v="Music"/>
    <s v=""/>
    <x v="13"/>
    <s v="ACTIVE"/>
    <s v="YES"/>
    <n v="30728"/>
    <s v="MOVIREAL-20-GENX"/>
    <s v="NIVEL 56 (1.99 Euros)"/>
    <n v="56"/>
    <s v="PPD"/>
    <n v="1"/>
    <n v="1.99"/>
    <n v="0.245"/>
    <n v="0.22500000000000001"/>
    <n v="0.4"/>
    <n v="0.13"/>
    <s v="GENEXIES"/>
    <s v="MUSICA.TRGEN199"/>
  </r>
  <r>
    <n v="25437"/>
    <m/>
    <x v="55"/>
    <n v="30501"/>
    <n v="30501"/>
    <x v="26"/>
    <x v="0"/>
    <s v="CVAS"/>
    <x v="0"/>
    <x v="0"/>
    <s v="Light Soft"/>
    <s v="Light"/>
    <s v="Light Soft"/>
    <x v="0"/>
    <s v="ACTIVE"/>
    <s v="YES"/>
    <n v="30730"/>
    <s v="Morenazas"/>
    <s v="NIVEL 10 (2.5)"/>
    <n v="10"/>
    <s v="PPD"/>
    <n v="1"/>
    <n v="2.5"/>
    <n v="0.3"/>
    <n v="0.7"/>
    <m/>
    <m/>
    <s v=""/>
    <s v="MORENAZAS"/>
  </r>
  <r>
    <n v="25442"/>
    <m/>
    <x v="55"/>
    <n v="30502"/>
    <n v="30502"/>
    <x v="26"/>
    <x v="0"/>
    <s v="CVAS"/>
    <x v="0"/>
    <x v="0"/>
    <s v="Light Soft"/>
    <s v="Light"/>
    <s v="Light Soft"/>
    <x v="0"/>
    <s v="ACTIVE"/>
    <s v="YES"/>
    <n v="30732"/>
    <s v="Morenazas"/>
    <s v="NIVEL 8 (1.5)"/>
    <n v="8"/>
    <s v="PPD"/>
    <n v="1"/>
    <n v="1.5"/>
    <n v="0.3"/>
    <n v="0.7"/>
    <m/>
    <m/>
    <s v=""/>
    <s v="MORENAZAS"/>
  </r>
  <r>
    <n v="25452"/>
    <m/>
    <x v="56"/>
    <n v="46602"/>
    <n v="46602"/>
    <x v="40"/>
    <x v="29"/>
    <s v="CVAS"/>
    <x v="4"/>
    <x v="4"/>
    <s v=""/>
    <s v="Music"/>
    <s v=""/>
    <x v="13"/>
    <s v="ACTIVE"/>
    <s v="YES"/>
    <n v="30738"/>
    <s v="Tonos de Humor"/>
    <s v="NIVEL 9 (2 E)"/>
    <n v="9"/>
    <s v="PPD"/>
    <n v="1"/>
    <n v="2"/>
    <n v="0.6"/>
    <n v="0.4"/>
    <m/>
    <m/>
    <s v=""/>
    <s v="MOVIHUMOR-20"/>
  </r>
  <r>
    <n v="25454"/>
    <m/>
    <x v="57"/>
    <n v="30601"/>
    <n v="30601"/>
    <x v="26"/>
    <x v="0"/>
    <s v="CVAS"/>
    <x v="0"/>
    <x v="0"/>
    <s v="Light Soft"/>
    <s v="Light"/>
    <s v="Light Soft"/>
    <x v="0"/>
    <s v="ACTIVE"/>
    <s v="YES"/>
    <n v="30739"/>
    <s v="Mulatas"/>
    <s v="NIVEL 10 (2.5)"/>
    <n v="10"/>
    <s v="PPD"/>
    <n v="1"/>
    <n v="2.5"/>
    <n v="0.3"/>
    <n v="0.7"/>
    <m/>
    <m/>
    <s v=""/>
    <s v="MULATAS"/>
  </r>
  <r>
    <n v="25456"/>
    <m/>
    <x v="57"/>
    <n v="30602"/>
    <n v="30602"/>
    <x v="26"/>
    <x v="0"/>
    <s v="CVAS"/>
    <x v="0"/>
    <x v="0"/>
    <s v="Light Soft"/>
    <s v="Light"/>
    <s v="Light Soft"/>
    <x v="0"/>
    <s v="ACTIVE"/>
    <s v="YES"/>
    <n v="30744"/>
    <s v="Mulatas"/>
    <s v="NIVEL 8 (1.5)"/>
    <n v="8"/>
    <s v="PPD"/>
    <n v="1"/>
    <n v="1.5"/>
    <n v="0.3"/>
    <n v="0.7"/>
    <m/>
    <m/>
    <s v=""/>
    <s v="MULATAS"/>
  </r>
  <r>
    <n v="25458"/>
    <m/>
    <x v="58"/>
    <n v="30701"/>
    <n v="30701"/>
    <x v="26"/>
    <x v="0"/>
    <s v="CVAS"/>
    <x v="0"/>
    <x v="0"/>
    <s v="Light Soft"/>
    <s v="Light"/>
    <s v="Light Soft"/>
    <x v="0"/>
    <s v="ACTIVE"/>
    <s v="YES"/>
    <n v="30745"/>
    <s v="Rubias"/>
    <s v="NIVEL 10 (2.5)"/>
    <n v="10"/>
    <s v="PPD"/>
    <n v="1"/>
    <n v="2.5"/>
    <n v="0.3"/>
    <n v="0.7"/>
    <m/>
    <m/>
    <s v=""/>
    <s v="RUBIAS"/>
  </r>
  <r>
    <n v="25460"/>
    <m/>
    <x v="58"/>
    <n v="30702"/>
    <n v="30702"/>
    <x v="26"/>
    <x v="0"/>
    <s v="CVAS"/>
    <x v="0"/>
    <x v="0"/>
    <s v="Light Soft"/>
    <s v="Light"/>
    <s v="Light Soft"/>
    <x v="0"/>
    <s v="ACTIVE"/>
    <s v="YES"/>
    <n v="30746"/>
    <s v="Rubias"/>
    <s v="NIVEL 8 (1.5)"/>
    <n v="8"/>
    <s v="PPD"/>
    <n v="1"/>
    <n v="1.5"/>
    <n v="0.3"/>
    <n v="0.7"/>
    <m/>
    <m/>
    <s v=""/>
    <s v="RUBIAS"/>
  </r>
  <r>
    <n v="25462"/>
    <m/>
    <x v="59"/>
    <n v="30801"/>
    <n v="30801"/>
    <x v="26"/>
    <x v="0"/>
    <s v="CVAS"/>
    <x v="0"/>
    <x v="0"/>
    <s v="Light Soft"/>
    <s v="Light"/>
    <s v="Light Soft"/>
    <x v="0"/>
    <s v="ACTIVE"/>
    <s v="YES"/>
    <n v="30747"/>
    <s v="Supertangas"/>
    <s v="NIVEL 10 (2.5)"/>
    <n v="10"/>
    <s v="PPD"/>
    <n v="1"/>
    <n v="2.5"/>
    <n v="0.3"/>
    <n v="0.7"/>
    <m/>
    <m/>
    <s v=""/>
    <s v="SUPERTANGAS"/>
  </r>
  <r>
    <n v="25464"/>
    <m/>
    <x v="59"/>
    <n v="30802"/>
    <n v="30802"/>
    <x v="26"/>
    <x v="0"/>
    <s v="CVAS"/>
    <x v="0"/>
    <x v="0"/>
    <s v="Light Soft"/>
    <s v="Light"/>
    <s v="Light Soft"/>
    <x v="0"/>
    <s v="ACTIVE"/>
    <s v="YES"/>
    <n v="30748"/>
    <s v="Supertangas"/>
    <s v="NIVEL 8 (1.5)"/>
    <n v="8"/>
    <s v="PPD"/>
    <n v="1"/>
    <n v="1.5"/>
    <n v="0.3"/>
    <n v="0.7"/>
    <m/>
    <m/>
    <s v=""/>
    <s v="SUPERTANGAS"/>
  </r>
  <r>
    <n v="25609"/>
    <m/>
    <x v="60"/>
    <n v="36401"/>
    <n v="36401"/>
    <x v="41"/>
    <x v="30"/>
    <s v="CVAS"/>
    <x v="1"/>
    <x v="1"/>
    <s v=""/>
    <s v="Others"/>
    <s v="Images"/>
    <x v="6"/>
    <s v="ACTIVE"/>
    <s v="YES"/>
    <n v="30468"/>
    <s v="Susc Fond MB Xhtm"/>
    <s v="NIVEL 22 (4 E)"/>
    <n v="22"/>
    <s v="Monthly subscription"/>
    <n v="25"/>
    <n v="4"/>
    <n v="0.4"/>
    <n v="0.6"/>
    <m/>
    <m/>
    <s v=""/>
    <s v="SUSC FOND MB XHTM"/>
  </r>
  <r>
    <n v="25707"/>
    <m/>
    <x v="45"/>
    <n v="45601"/>
    <n v="45601"/>
    <x v="26"/>
    <x v="0"/>
    <s v="CVAS"/>
    <x v="0"/>
    <x v="0"/>
    <s v="Light Soft"/>
    <s v="Light"/>
    <s v="Light Soft"/>
    <x v="10"/>
    <s v="ACTIVE"/>
    <s v="YES"/>
    <n v="30495"/>
    <s v="Jovencitas"/>
    <s v="NIVEL 10 (2.5)"/>
    <n v="10"/>
    <s v="PPD"/>
    <n v="1"/>
    <n v="2.5"/>
    <n v="0.3"/>
    <n v="0.7"/>
    <m/>
    <m/>
    <s v=""/>
    <s v="JOVENCITAS"/>
  </r>
  <r>
    <n v="25712"/>
    <m/>
    <x v="61"/>
    <n v="28001"/>
    <n v="28001"/>
    <x v="26"/>
    <x v="0"/>
    <s v="CVAS"/>
    <x v="0"/>
    <x v="0"/>
    <s v="Light Soft"/>
    <s v="Light"/>
    <s v="Light Soft"/>
    <x v="8"/>
    <s v="ACTIVE"/>
    <s v="YES"/>
    <n v="30906"/>
    <s v="Vecinitas"/>
    <s v="NIVEL 10 (2.5)"/>
    <n v="10"/>
    <s v="PPD"/>
    <n v="1"/>
    <n v="2.5"/>
    <n v="0.3"/>
    <n v="0.7"/>
    <m/>
    <m/>
    <s v=""/>
    <s v="VECINITAS"/>
  </r>
  <r>
    <n v="25814"/>
    <m/>
    <x v="54"/>
    <n v="25401"/>
    <n v="25401"/>
    <x v="42"/>
    <x v="31"/>
    <s v="CVAS"/>
    <x v="4"/>
    <x v="4"/>
    <s v=""/>
    <s v="Music"/>
    <s v=""/>
    <x v="13"/>
    <s v="ACTIVE"/>
    <s v="YES"/>
    <n v="31007"/>
    <s v="Tonos Reales"/>
    <s v="NIVEL 60 (3.99 Euros)"/>
    <n v="60"/>
    <s v="Monthly subscription"/>
    <n v="25"/>
    <n v="3.99"/>
    <n v="0.27500000000000002"/>
    <n v="0.19500000000000001"/>
    <n v="0.4"/>
    <n v="0.13"/>
    <s v="TODOS"/>
    <s v="TARIFA PLANA TONO"/>
  </r>
  <r>
    <n v="25828"/>
    <m/>
    <x v="62"/>
    <n v="36501"/>
    <n v="36501"/>
    <x v="43"/>
    <x v="32"/>
    <s v="CVAS"/>
    <x v="1"/>
    <x v="1"/>
    <s v=""/>
    <s v="Others"/>
    <s v="Images"/>
    <x v="6"/>
    <s v="ACTIVE"/>
    <s v="YES"/>
    <n v="31009"/>
    <s v="Fondo Avatares"/>
    <s v="NIVEL 11 (3 E)"/>
    <n v="11"/>
    <s v="Monthly subscription"/>
    <n v="25"/>
    <n v="3"/>
    <n v="0.4"/>
    <n v="0.6"/>
    <m/>
    <m/>
    <s v=""/>
    <s v="FONDO AVATARES"/>
  </r>
  <r>
    <n v="25849"/>
    <m/>
    <x v="63"/>
    <n v="60501"/>
    <n v="60501"/>
    <x v="29"/>
    <x v="0"/>
    <s v="CVAS"/>
    <x v="0"/>
    <x v="0"/>
    <s v="Light Hard"/>
    <s v="Light"/>
    <s v="Light Hard"/>
    <x v="5"/>
    <s v="ACTIVE"/>
    <s v="YES"/>
    <n v="31025"/>
    <s v="Porno Travieso"/>
    <s v="NIVEL 20 (10 E)"/>
    <n v="20"/>
    <s v="Monthly subscription"/>
    <n v="25"/>
    <n v="10"/>
    <n v="0.3"/>
    <n v="0.7"/>
    <m/>
    <m/>
    <s v=""/>
    <s v="PORNO TRAVIESO"/>
  </r>
  <r>
    <n v="25855"/>
    <m/>
    <x v="64"/>
    <n v="60601"/>
    <n v="60601"/>
    <x v="29"/>
    <x v="0"/>
    <s v="CVAS"/>
    <x v="0"/>
    <x v="0"/>
    <s v="Light Hard"/>
    <s v="Light"/>
    <s v="Light Hard"/>
    <x v="5"/>
    <s v="INACTIVE"/>
    <s v="YES"/>
    <n v="31044"/>
    <s v="You Porn XXX/Tu Porno"/>
    <s v="NIVEL 20 (10 E)"/>
    <n v="20"/>
    <s v="Monthly subscription"/>
    <n v="25"/>
    <n v="10"/>
    <n v="0.3"/>
    <n v="0.7"/>
    <m/>
    <m/>
    <s v=""/>
    <s v="YOU PORN XXX/TU PORNO"/>
  </r>
  <r>
    <n v="25857"/>
    <m/>
    <x v="56"/>
    <n v="46601"/>
    <n v="46601"/>
    <x v="44"/>
    <x v="33"/>
    <s v="CVAS"/>
    <x v="4"/>
    <x v="4"/>
    <s v=""/>
    <s v="Music"/>
    <s v=""/>
    <x v="13"/>
    <s v="ACTIVE"/>
    <s v="YES"/>
    <n v="31045"/>
    <s v="Tonos de Humor"/>
    <s v="NIVEL 11 (3 E)"/>
    <n v="11"/>
    <s v="Monthly subscription"/>
    <n v="25"/>
    <n v="3"/>
    <n v="0.65"/>
    <n v="0.35"/>
    <m/>
    <m/>
    <s v=""/>
    <s v="ALLUCANEAT-30"/>
  </r>
  <r>
    <n v="28347"/>
    <m/>
    <x v="65"/>
    <n v="35801"/>
    <n v="35801"/>
    <x v="45"/>
    <x v="34"/>
    <s v="CVAS"/>
    <x v="1"/>
    <x v="1"/>
    <s v=""/>
    <s v="Others"/>
    <s v="Images"/>
    <x v="6"/>
    <s v="ACTIVE"/>
    <s v="YES"/>
    <n v="32026"/>
    <s v="Fondos Dinamicos"/>
    <s v="NIVEL 9 (2 E)"/>
    <n v="9"/>
    <s v="PPD"/>
    <n v="1"/>
    <n v="2"/>
    <n v="0.4"/>
    <n v="0.6"/>
    <m/>
    <m/>
    <s v=""/>
    <s v="FONDOS DINAMICOS"/>
  </r>
  <r>
    <n v="28390"/>
    <m/>
    <x v="2"/>
    <m/>
    <m/>
    <x v="46"/>
    <x v="35"/>
    <s v="CVAS"/>
    <x v="0"/>
    <x v="0"/>
    <m/>
    <s v="Others"/>
    <m/>
    <x v="10"/>
    <s v="INACTIVE"/>
    <s v="YES"/>
    <m/>
    <s v="Cheap &amp; Nasty"/>
    <m/>
    <m/>
    <s v="Weekly subscription"/>
    <m/>
    <m/>
    <m/>
    <m/>
    <m/>
    <m/>
    <m/>
    <s v="CHEAP &amp; NASTY"/>
  </r>
  <r>
    <n v="28428"/>
    <m/>
    <x v="66"/>
    <n v="50701"/>
    <n v="50701"/>
    <x v="47"/>
    <x v="0"/>
    <s v="CVAS"/>
    <x v="0"/>
    <x v="0"/>
    <s v="Light Hard"/>
    <s v="Light"/>
    <s v="Light Hard"/>
    <x v="10"/>
    <s v="ACTIVE"/>
    <s v="YES"/>
    <n v="32060"/>
    <s v="Playhouse"/>
    <s v="NIVEL 58 (2.99 Euros)"/>
    <n v="58"/>
    <s v="Weekly subscription"/>
    <n v="908"/>
    <n v="2.99"/>
    <n v="0.3"/>
    <n v="0.7"/>
    <m/>
    <m/>
    <s v=""/>
    <s v="PLAYHOUSE"/>
  </r>
  <r>
    <n v="28488"/>
    <m/>
    <x v="3"/>
    <n v="29801"/>
    <n v="29801"/>
    <x v="47"/>
    <x v="0"/>
    <s v="CVAS"/>
    <x v="0"/>
    <x v="0"/>
    <s v="Light Hard"/>
    <s v="Light"/>
    <s v="Light Hard"/>
    <x v="0"/>
    <s v="ACTIVE"/>
    <s v="YES"/>
    <n v="32084"/>
    <s v="Video X Porn"/>
    <s v="NIVEL 9 (2 E)"/>
    <n v="9"/>
    <s v="Weekly subscription"/>
    <n v="908"/>
    <n v="2"/>
    <n v="0.3"/>
    <n v="0.7"/>
    <m/>
    <m/>
    <s v=""/>
    <s v="VIDEO X PORN"/>
  </r>
  <r>
    <n v="28622"/>
    <m/>
    <x v="19"/>
    <n v="30301"/>
    <n v="30301"/>
    <x v="47"/>
    <x v="0"/>
    <s v="CVAS"/>
    <x v="0"/>
    <x v="0"/>
    <s v="Light Soft"/>
    <s v="Light"/>
    <s v="Light Soft"/>
    <x v="0"/>
    <s v="INACTIVE"/>
    <s v="YES"/>
    <n v="32251"/>
    <s v="Mundo DVD Porno"/>
    <s v="NIVEL 58 (2.99 Euros)"/>
    <n v="58"/>
    <s v="Weekly subscription"/>
    <n v="908"/>
    <n v="2.99"/>
    <n v="0.3"/>
    <n v="0.7"/>
    <m/>
    <m/>
    <s v=""/>
    <s v="MUNDO DVD PORNO"/>
  </r>
  <r>
    <n v="28632"/>
    <m/>
    <x v="67"/>
    <n v="30201"/>
    <n v="30201"/>
    <x v="47"/>
    <x v="0"/>
    <s v="CVAS"/>
    <x v="0"/>
    <x v="0"/>
    <s v="Light Hard"/>
    <s v="Light"/>
    <s v="Light Hard"/>
    <x v="0"/>
    <s v="INACTIVE"/>
    <s v="YES"/>
    <n v="32256"/>
    <s v="Mundo DVD Porno Legacy"/>
    <s v="NIVEL 9 (2 E)"/>
    <n v="9"/>
    <s v="Weekly subscription"/>
    <n v="908"/>
    <n v="2"/>
    <n v="0.3"/>
    <n v="0.7"/>
    <m/>
    <m/>
    <s v=""/>
    <s v="MUNDO DVD PORNO"/>
  </r>
  <r>
    <n v="28767"/>
    <m/>
    <x v="68"/>
    <n v="45802"/>
    <n v="45802"/>
    <x v="26"/>
    <x v="0"/>
    <s v="CVAS"/>
    <x v="0"/>
    <x v="0"/>
    <s v="Light Soft"/>
    <s v="Light"/>
    <s v="Light Soft"/>
    <x v="10"/>
    <s v="ACTIVE"/>
    <s v="YES"/>
    <n v="32325"/>
    <s v="Tera Patrick Soft"/>
    <s v="NIVEL 8 (1.5)"/>
    <n v="8"/>
    <s v="PPD"/>
    <n v="1"/>
    <n v="1.5"/>
    <n v="0.3"/>
    <n v="0.7"/>
    <m/>
    <m/>
    <s v=""/>
    <s v="TERA PATRICK"/>
  </r>
  <r>
    <n v="28769"/>
    <m/>
    <x v="68"/>
    <n v="45801"/>
    <n v="45801"/>
    <x v="26"/>
    <x v="0"/>
    <s v="CVAS"/>
    <x v="0"/>
    <x v="0"/>
    <s v="Light Soft"/>
    <s v="Light"/>
    <s v="Light Soft"/>
    <x v="10"/>
    <s v="ACTIVE"/>
    <s v="YES"/>
    <n v="32344"/>
    <s v="Tera Patrick Soft"/>
    <s v="NIVEL 10 (2.5)"/>
    <n v="10"/>
    <s v="PPD"/>
    <n v="1"/>
    <n v="2.5"/>
    <n v="0.3"/>
    <n v="0.7"/>
    <m/>
    <m/>
    <s v=""/>
    <s v="TERA PATRICK"/>
  </r>
  <r>
    <n v="28773"/>
    <m/>
    <x v="69"/>
    <n v="28201"/>
    <n v="28201"/>
    <x v="47"/>
    <x v="0"/>
    <s v="CVAS"/>
    <x v="0"/>
    <x v="0"/>
    <s v="Light Hard"/>
    <s v="Light"/>
    <s v="Light Hard"/>
    <x v="8"/>
    <s v="ACTIVE"/>
    <s v="YES"/>
    <n v="32346"/>
    <s v="excitame"/>
    <s v="NIVEL 7 (1 E)"/>
    <n v="7"/>
    <s v="Weekly subscription"/>
    <n v="908"/>
    <n v="1"/>
    <n v="0.3"/>
    <n v="0.7"/>
    <m/>
    <m/>
    <s v=""/>
    <s v="EXCITAME"/>
  </r>
  <r>
    <n v="28775"/>
    <m/>
    <x v="70"/>
    <n v="28101"/>
    <n v="28101"/>
    <x v="47"/>
    <x v="0"/>
    <s v="CVAS"/>
    <x v="0"/>
    <x v="0"/>
    <s v="Light Hard"/>
    <s v="Light"/>
    <s v="Light Hard"/>
    <x v="8"/>
    <s v="ACTIVE"/>
    <s v="YES"/>
    <n v="32347"/>
    <s v="excitame"/>
    <s v="NIVEL 9 (2 E)"/>
    <n v="9"/>
    <s v="Weekly subscription"/>
    <n v="908"/>
    <n v="2"/>
    <n v="0.3"/>
    <n v="0.7"/>
    <m/>
    <m/>
    <s v=""/>
    <s v="EXCITAME"/>
  </r>
  <r>
    <n v="29012"/>
    <m/>
    <x v="71"/>
    <n v="88"/>
    <n v="88"/>
    <x v="29"/>
    <x v="0"/>
    <s v="CVAS"/>
    <x v="0"/>
    <x v="0"/>
    <s v="Light Hard"/>
    <s v="Light"/>
    <s v="Light Hard"/>
    <x v="11"/>
    <s v="ACTIVE"/>
    <s v="YES"/>
    <n v="32506"/>
    <s v="MoviSexy XXX"/>
    <s v="NIVEL 20 (10 E)"/>
    <n v="20"/>
    <s v="Monthly subscription"/>
    <n v="25"/>
    <n v="10"/>
    <n v="0.3"/>
    <n v="0.7"/>
    <m/>
    <m/>
    <s v=""/>
    <s v="MOVISEXY"/>
  </r>
  <r>
    <n v="29032"/>
    <m/>
    <x v="72"/>
    <n v="58601"/>
    <n v="58601"/>
    <x v="48"/>
    <x v="36"/>
    <s v="CVAS"/>
    <x v="0"/>
    <x v="0"/>
    <s v="Light TV"/>
    <s v="Light"/>
    <s v="Light TV"/>
    <x v="9"/>
    <s v="INACTIVE"/>
    <s v="YES"/>
    <n v="32526"/>
    <s v="Playboy Tv"/>
    <s v="NIVEL 12 (5 E)"/>
    <n v="12"/>
    <s v="Monthly subscription"/>
    <n v="25"/>
    <n v="5"/>
    <n v="0.3"/>
    <n v="0.7"/>
    <m/>
    <m/>
    <s v=""/>
    <s v="PLAYBOY"/>
  </r>
  <r>
    <n v="29148"/>
    <m/>
    <x v="73"/>
    <n v="24702"/>
    <n v="24702"/>
    <x v="26"/>
    <x v="0"/>
    <s v="CVAS"/>
    <x v="0"/>
    <x v="0"/>
    <s v="Light Hard"/>
    <s v="Light"/>
    <s v="Light Hard"/>
    <x v="0"/>
    <s v="ACTIVE"/>
    <s v="YES"/>
    <n v="32664"/>
    <s v="En Familia!"/>
    <s v="NIVEL 11 (3 E)"/>
    <n v="11"/>
    <s v="PPD"/>
    <n v="1"/>
    <n v="3"/>
    <n v="0.3"/>
    <n v="0.7"/>
    <m/>
    <m/>
    <s v=""/>
    <s v="EN FAMILIA"/>
  </r>
  <r>
    <n v="29152"/>
    <m/>
    <x v="74"/>
    <n v="24802"/>
    <n v="24802"/>
    <x v="26"/>
    <x v="0"/>
    <s v="CVAS"/>
    <x v="0"/>
    <x v="0"/>
    <s v="Light Hard"/>
    <s v="Light"/>
    <s v="Light Hard"/>
    <x v="0"/>
    <s v="ACTIVE"/>
    <s v="YES"/>
    <n v="32666"/>
    <s v="Grandes Pollas"/>
    <s v="NIVEL 11 (3 E)"/>
    <n v="11"/>
    <s v="PPD"/>
    <n v="1"/>
    <n v="3"/>
    <n v="0.3"/>
    <n v="0.7"/>
    <m/>
    <m/>
    <s v=""/>
    <s v="GRANDES POLLAS"/>
  </r>
  <r>
    <n v="29158"/>
    <m/>
    <x v="75"/>
    <n v="69"/>
    <n v="21369"/>
    <x v="49"/>
    <x v="37"/>
    <s v="CVAS"/>
    <x v="3"/>
    <x v="3"/>
    <s v=""/>
    <s v="Games"/>
    <s v=""/>
    <x v="4"/>
    <s v="ACTIVE"/>
    <s v="YES"/>
    <n v="32669"/>
    <s v="Susc gameloft 3e"/>
    <s v="NIVEL 11 (3 E)"/>
    <n v="11"/>
    <s v="Monthly subscription"/>
    <n v="25"/>
    <n v="3"/>
    <n v="0.5"/>
    <n v="0.5"/>
    <m/>
    <m/>
    <s v=""/>
    <s v="GAMELOFT GAMES"/>
  </r>
  <r>
    <n v="29247"/>
    <m/>
    <x v="76"/>
    <n v="87"/>
    <n v="87"/>
    <x v="47"/>
    <x v="0"/>
    <s v="CVAS"/>
    <x v="0"/>
    <x v="0"/>
    <s v="Light Hard"/>
    <s v="Light"/>
    <s v="Light Hard"/>
    <x v="11"/>
    <s v="ACTIVE"/>
    <s v="YES"/>
    <n v="32506"/>
    <s v="MoviSexy XXX"/>
    <s v="NIVEL 58 (2.99 Euros)"/>
    <n v="58"/>
    <s v="Weekly subscription"/>
    <n v="908"/>
    <n v="2.99"/>
    <n v="0.3"/>
    <n v="0.7"/>
    <m/>
    <m/>
    <s v=""/>
    <s v="MOVISEXY"/>
  </r>
  <r>
    <n v="29249"/>
    <m/>
    <x v="77"/>
    <n v="90"/>
    <n v="90"/>
    <x v="47"/>
    <x v="0"/>
    <s v="CVAS"/>
    <x v="0"/>
    <x v="0"/>
    <s v="Light Soft"/>
    <s v="Light"/>
    <s v="Light Soft"/>
    <x v="11"/>
    <s v="ACTIVE"/>
    <s v="YES"/>
    <n v="29687"/>
    <s v="MoviSexy"/>
    <s v="NIVEL 56 (1.99 Euros)"/>
    <n v="56"/>
    <s v="Weekly subscription"/>
    <n v="908"/>
    <n v="1.99"/>
    <n v="0.3"/>
    <n v="0.7"/>
    <m/>
    <m/>
    <s v=""/>
    <s v="MOVISEXY"/>
  </r>
  <r>
    <n v="29288"/>
    <m/>
    <x v="78"/>
    <n v="31001"/>
    <n v="31001"/>
    <x v="26"/>
    <x v="0"/>
    <s v="CVAS"/>
    <x v="0"/>
    <x v="0"/>
    <s v="Light Soft"/>
    <s v="Light"/>
    <s v="Light Soft"/>
    <x v="0"/>
    <s v="ACTIVE"/>
    <s v="YES"/>
    <n v="32744"/>
    <s v="Videoclub X"/>
    <s v="NIVEL 10 (2.5)"/>
    <n v="10"/>
    <s v="PPD"/>
    <n v="1"/>
    <n v="2.5"/>
    <n v="0.3"/>
    <n v="0.7"/>
    <m/>
    <m/>
    <s v=""/>
    <s v="VIDEOCLUB X"/>
  </r>
  <r>
    <n v="29290"/>
    <m/>
    <x v="78"/>
    <n v="31002"/>
    <n v="31002"/>
    <x v="26"/>
    <x v="0"/>
    <s v="CVAS"/>
    <x v="0"/>
    <x v="0"/>
    <s v="Light Soft"/>
    <s v="Light"/>
    <s v="Light Soft"/>
    <x v="0"/>
    <s v="ACTIVE"/>
    <s v="YES"/>
    <n v="32745"/>
    <s v="Videoclub X"/>
    <s v="NIVEL 22 (4 E)"/>
    <n v="22"/>
    <s v="PPD"/>
    <n v="1"/>
    <n v="4"/>
    <n v="0.3"/>
    <n v="0.7"/>
    <m/>
    <m/>
    <s v=""/>
    <s v="VIDEOCLUB X"/>
  </r>
  <r>
    <n v="29748"/>
    <m/>
    <x v="79"/>
    <n v="60301"/>
    <n v="60301"/>
    <x v="47"/>
    <x v="0"/>
    <s v="CVAS"/>
    <x v="0"/>
    <x v="0"/>
    <s v="Light Hard"/>
    <s v="Light"/>
    <s v="Light Hard"/>
    <x v="7"/>
    <s v="ACTIVE"/>
    <s v="YES"/>
    <n v="33004"/>
    <s v="Private"/>
    <s v="NIVEL 58 (2.99 Euros)"/>
    <n v="58"/>
    <s v="Weekly subscription"/>
    <n v="908"/>
    <n v="2.99"/>
    <n v="0.3"/>
    <n v="0.7"/>
    <m/>
    <m/>
    <s v=""/>
    <s v="PRIVATE"/>
  </r>
  <r>
    <n v="29751"/>
    <m/>
    <x v="11"/>
    <n v="60201"/>
    <n v="60201"/>
    <x v="47"/>
    <x v="0"/>
    <s v="CVAS"/>
    <x v="0"/>
    <x v="0"/>
    <s v="Light Soft"/>
    <s v="Light"/>
    <s v="Light Soft"/>
    <x v="7"/>
    <s v="INACTIVE"/>
    <s v="YES"/>
    <n v="33005"/>
    <s v="Private"/>
    <s v="NIVEL 58 (2.99 Euros)"/>
    <n v="58"/>
    <s v="Weekly subscription"/>
    <n v="908"/>
    <n v="2.99"/>
    <n v="0.3"/>
    <n v="0.7"/>
    <m/>
    <m/>
    <s v=""/>
    <s v="PRIVATE"/>
  </r>
  <r>
    <n v="30088"/>
    <m/>
    <x v="80"/>
    <n v="28301"/>
    <n v="28301"/>
    <x v="47"/>
    <x v="0"/>
    <s v="CVAS"/>
    <x v="0"/>
    <x v="0"/>
    <s v="Light Hard"/>
    <s v="Light"/>
    <s v="Light Hard"/>
    <x v="8"/>
    <s v="ACTIVE"/>
    <s v="YES"/>
    <n v="33304"/>
    <s v="Puta Locura / Mr 69"/>
    <s v="NIVEL 58 (2.99 Euros)"/>
    <n v="58"/>
    <s v="Weekly subscription"/>
    <n v="908"/>
    <n v="2.99"/>
    <n v="0.3"/>
    <n v="0.7"/>
    <m/>
    <m/>
    <s v=""/>
    <s v="PUTA LOCURA / MR 69"/>
  </r>
  <r>
    <n v="30191"/>
    <m/>
    <x v="81"/>
    <n v="86"/>
    <n v="86"/>
    <x v="47"/>
    <x v="0"/>
    <s v="CVAS"/>
    <x v="0"/>
    <x v="0"/>
    <s v="Light Hard"/>
    <s v="Light"/>
    <s v="Light Hard"/>
    <x v="11"/>
    <s v="ACTIVE"/>
    <s v="YES"/>
    <n v="33425"/>
    <s v="Megazorrones"/>
    <s v="NIVEL 58 (2.99 Euros)"/>
    <n v="58"/>
    <s v="Weekly subscription"/>
    <n v="908"/>
    <n v="2.99"/>
    <n v="0.3"/>
    <n v="0.7"/>
    <m/>
    <m/>
    <s v=""/>
    <s v="MEGAZORRONES"/>
  </r>
  <r>
    <n v="30193"/>
    <m/>
    <x v="82"/>
    <n v="85"/>
    <n v="85"/>
    <x v="29"/>
    <x v="0"/>
    <s v="CVAS"/>
    <x v="0"/>
    <x v="0"/>
    <s v="Light Hard"/>
    <s v="Light"/>
    <s v="Light Hard"/>
    <x v="11"/>
    <s v="ACTIVE"/>
    <s v="YES"/>
    <n v="33425"/>
    <s v="Megazorrones"/>
    <s v="NIVEL 20 (10 E)"/>
    <n v="20"/>
    <s v="Monthly subscription"/>
    <n v="25"/>
    <n v="10"/>
    <n v="0.3"/>
    <n v="0.7"/>
    <m/>
    <m/>
    <s v=""/>
    <s v="MEGAZORRONES"/>
  </r>
  <r>
    <n v="30201"/>
    <m/>
    <x v="83"/>
    <n v="48802"/>
    <n v="48802"/>
    <x v="26"/>
    <x v="0"/>
    <s v="CVAS"/>
    <x v="0"/>
    <x v="0"/>
    <s v="Light Hard"/>
    <s v="Light"/>
    <s v="Light Hard"/>
    <x v="10"/>
    <s v="ACTIVE"/>
    <s v="YES"/>
    <n v="33429"/>
    <s v="Por Culo"/>
    <s v="NIVEL 11 (3 E)"/>
    <n v="11"/>
    <s v="PPD"/>
    <n v="1"/>
    <n v="3"/>
    <n v="0.3"/>
    <n v="0.7"/>
    <m/>
    <m/>
    <s v=""/>
    <s v="POR CULO"/>
  </r>
  <r>
    <n v="30205"/>
    <m/>
    <x v="84"/>
    <n v="47902"/>
    <n v="47902"/>
    <x v="26"/>
    <x v="0"/>
    <s v="CVAS"/>
    <x v="0"/>
    <x v="0"/>
    <s v="Light Hard"/>
    <s v="Light"/>
    <s v="Light Hard"/>
    <x v="10"/>
    <s v="ACTIVE"/>
    <s v="YES"/>
    <n v="33431"/>
    <s v="Enfermeras"/>
    <s v="NIVEL 11 (3 E)"/>
    <n v="11"/>
    <s v="PPD"/>
    <n v="1"/>
    <n v="3"/>
    <n v="0.3"/>
    <n v="0.7"/>
    <m/>
    <m/>
    <s v=""/>
    <s v="ENFERMERAS"/>
  </r>
  <r>
    <n v="30230"/>
    <m/>
    <x v="85"/>
    <n v="48203"/>
    <n v="48203"/>
    <x v="26"/>
    <x v="0"/>
    <s v="CVAS"/>
    <x v="0"/>
    <x v="0"/>
    <s v="Light Hard"/>
    <s v="Light"/>
    <s v="Light Hard"/>
    <x v="10"/>
    <s v="ACTIVE"/>
    <s v="YES"/>
    <n v="33445"/>
    <s v="Ex Novias"/>
    <s v="NIVEL 11 (3 E)"/>
    <n v="11"/>
    <s v="PPD"/>
    <n v="1"/>
    <n v="3"/>
    <n v="0.3"/>
    <n v="0.7"/>
    <m/>
    <m/>
    <s v=""/>
    <s v="EX NOVIAS"/>
  </r>
  <r>
    <n v="30234"/>
    <m/>
    <x v="86"/>
    <n v="49202"/>
    <n v="49202"/>
    <x v="26"/>
    <x v="0"/>
    <s v="CVAS"/>
    <x v="0"/>
    <x v="0"/>
    <s v="Light Hard"/>
    <s v="Light"/>
    <s v="Light Hard"/>
    <x v="10"/>
    <s v="ACTIVE"/>
    <s v="YES"/>
    <n v="33447"/>
    <s v="Sexo de Lujo"/>
    <s v="NIVEL 11 (3 E)"/>
    <n v="11"/>
    <s v="PPD"/>
    <n v="1"/>
    <n v="3"/>
    <n v="0.3"/>
    <n v="0.7"/>
    <m/>
    <m/>
    <s v=""/>
    <s v="SEXO DE LUJO"/>
  </r>
  <r>
    <n v="30238"/>
    <m/>
    <x v="87"/>
    <n v="49402"/>
    <n v="49402"/>
    <x v="26"/>
    <x v="0"/>
    <s v="CVAS"/>
    <x v="0"/>
    <x v="0"/>
    <s v="Light Hard"/>
    <s v="Light"/>
    <s v="Light Hard"/>
    <x v="10"/>
    <s v="ACTIVE"/>
    <s v="YES"/>
    <n v="33449"/>
    <s v="Tetonas"/>
    <s v="NIVEL 11 (3 E)"/>
    <n v="11"/>
    <s v="PPD"/>
    <n v="1"/>
    <n v="3"/>
    <n v="0.3"/>
    <n v="0.7"/>
    <m/>
    <m/>
    <s v=""/>
    <s v="TETONAS"/>
  </r>
  <r>
    <n v="30242"/>
    <m/>
    <x v="88"/>
    <n v="49802"/>
    <n v="49802"/>
    <x v="26"/>
    <x v="0"/>
    <s v="CVAS"/>
    <x v="0"/>
    <x v="0"/>
    <s v="Light Hard"/>
    <s v="Light"/>
    <s v="Light Hard"/>
    <x v="10"/>
    <s v="ACTIVE"/>
    <s v="YES"/>
    <n v="33451"/>
    <s v="Universitarias"/>
    <s v="NIVEL 11 (3 E)"/>
    <n v="11"/>
    <s v="PPD"/>
    <n v="1"/>
    <n v="3"/>
    <n v="0.3"/>
    <n v="0.7"/>
    <m/>
    <m/>
    <s v=""/>
    <s v="UNIVERSITARIAS"/>
  </r>
  <r>
    <n v="30246"/>
    <m/>
    <x v="89"/>
    <n v="48602"/>
    <n v="48602"/>
    <x v="26"/>
    <x v="0"/>
    <s v="CVAS"/>
    <x v="0"/>
    <x v="0"/>
    <s v="Light Hard"/>
    <s v="Light"/>
    <s v="Light Hard"/>
    <x v="10"/>
    <s v="ACTIVE"/>
    <s v="YES"/>
    <n v="33453"/>
    <s v="Orgias"/>
    <s v="NIVEL 11 (3 E)"/>
    <n v="11"/>
    <s v="PPD"/>
    <n v="1"/>
    <n v="3"/>
    <n v="0.3"/>
    <n v="0.7"/>
    <m/>
    <m/>
    <s v=""/>
    <s v="ORGIAS"/>
  </r>
  <r>
    <n v="30271"/>
    <m/>
    <x v="90"/>
    <n v="48502"/>
    <n v="48502"/>
    <x v="26"/>
    <x v="0"/>
    <s v="CVAS"/>
    <x v="0"/>
    <x v="0"/>
    <s v="Light Hard"/>
    <s v="Light"/>
    <s v="Light Hard"/>
    <x v="10"/>
    <s v="ACTIVE"/>
    <s v="YES"/>
    <n v="33505"/>
    <s v="Orgasmos Femeninos"/>
    <s v="NIVEL 11 (3 E)"/>
    <n v="11"/>
    <s v="PPD"/>
    <n v="1"/>
    <n v="3"/>
    <n v="0.3"/>
    <n v="0.7"/>
    <m/>
    <m/>
    <s v=""/>
    <s v="ORGASMOS FEMENINOS"/>
  </r>
  <r>
    <n v="30275"/>
    <m/>
    <x v="91"/>
    <n v="49602"/>
    <n v="49602"/>
    <x v="26"/>
    <x v="0"/>
    <s v="CVAS"/>
    <x v="0"/>
    <x v="0"/>
    <s v="Light Hard"/>
    <s v="Light"/>
    <s v="Light Hard"/>
    <x v="10"/>
    <s v="ACTIVE"/>
    <s v="YES"/>
    <n v="33507"/>
    <s v="Travestis"/>
    <s v="NIVEL 11 (3 E)"/>
    <n v="11"/>
    <s v="PPD"/>
    <n v="1"/>
    <n v="3"/>
    <n v="0.3"/>
    <n v="0.7"/>
    <m/>
    <m/>
    <s v=""/>
    <s v="TRAVESTIS"/>
  </r>
  <r>
    <n v="30279"/>
    <m/>
    <x v="92"/>
    <n v="48402"/>
    <n v="48402"/>
    <x v="26"/>
    <x v="0"/>
    <s v="CVAS"/>
    <x v="0"/>
    <x v="0"/>
    <s v="Light Hard"/>
    <s v="Light"/>
    <s v="Light Hard"/>
    <x v="10"/>
    <s v="ACTIVE"/>
    <s v="YES"/>
    <n v="33509"/>
    <s v="Mulatas"/>
    <s v="NIVEL 11 (3 E)"/>
    <n v="11"/>
    <s v="PPD"/>
    <n v="1"/>
    <n v="3"/>
    <n v="0.3"/>
    <n v="0.7"/>
    <m/>
    <m/>
    <s v=""/>
    <s v="MULATAS"/>
  </r>
  <r>
    <n v="30283"/>
    <m/>
    <x v="93"/>
    <n v="49302"/>
    <n v="49302"/>
    <x v="26"/>
    <x v="0"/>
    <s v="CVAS"/>
    <x v="0"/>
    <x v="0"/>
    <s v="Light Hard"/>
    <s v="Light"/>
    <s v="Light Hard"/>
    <x v="10"/>
    <s v="ACTIVE"/>
    <s v="YES"/>
    <n v="33511"/>
    <s v="Sexo Oriental"/>
    <s v="NIVEL 11 (3 E)"/>
    <n v="11"/>
    <s v="PPD"/>
    <n v="1"/>
    <n v="3"/>
    <n v="0.3"/>
    <n v="0.7"/>
    <m/>
    <m/>
    <s v=""/>
    <s v="SEXO ORIENTAL"/>
  </r>
  <r>
    <n v="30287"/>
    <m/>
    <x v="94"/>
    <n v="49702"/>
    <n v="49702"/>
    <x v="26"/>
    <x v="0"/>
    <s v="CVAS"/>
    <x v="0"/>
    <x v="0"/>
    <s v="Light Hard"/>
    <s v="Light"/>
    <s v="Light Hard"/>
    <x v="10"/>
    <s v="ACTIVE"/>
    <s v="YES"/>
    <n v="33513"/>
    <s v="Tríos"/>
    <s v="NIVEL 11 (3 E)"/>
    <n v="11"/>
    <s v="PPD"/>
    <n v="1"/>
    <n v="3"/>
    <n v="0.3"/>
    <n v="0.7"/>
    <m/>
    <m/>
    <s v=""/>
    <s v="TRÍOS"/>
  </r>
  <r>
    <n v="30291"/>
    <m/>
    <x v="95"/>
    <n v="48302"/>
    <n v="48302"/>
    <x v="26"/>
    <x v="0"/>
    <s v="CVAS"/>
    <x v="0"/>
    <x v="0"/>
    <s v="Light Hard"/>
    <s v="Light"/>
    <s v="Light Hard"/>
    <x v="10"/>
    <s v="ACTIVE"/>
    <s v="YES"/>
    <n v="33515"/>
    <s v="Gordas"/>
    <s v="NIVEL 11 (3 E)"/>
    <n v="11"/>
    <s v="PPD"/>
    <n v="1"/>
    <n v="3"/>
    <n v="0.3"/>
    <n v="0.7"/>
    <m/>
    <m/>
    <s v=""/>
    <s v="GORDAS"/>
  </r>
  <r>
    <n v="30295"/>
    <m/>
    <x v="96"/>
    <n v="48102"/>
    <n v="48102"/>
    <x v="26"/>
    <x v="0"/>
    <s v="CVAS"/>
    <x v="0"/>
    <x v="0"/>
    <s v="Light Hard"/>
    <s v="Light"/>
    <s v="Light Hard"/>
    <x v="10"/>
    <s v="ACTIVE"/>
    <s v="YES"/>
    <n v="33517"/>
    <s v="Especial Coños"/>
    <s v="NIVEL 11 (3 E)"/>
    <n v="11"/>
    <s v="PPD"/>
    <n v="1"/>
    <n v="3"/>
    <n v="0.3"/>
    <n v="0.7"/>
    <m/>
    <m/>
    <s v=""/>
    <s v="ESPECIAL COÑOS"/>
  </r>
  <r>
    <n v="30471"/>
    <m/>
    <x v="97"/>
    <n v="47802"/>
    <n v="47802"/>
    <x v="26"/>
    <x v="0"/>
    <s v="CVAS"/>
    <x v="0"/>
    <x v="0"/>
    <s v="Light Hard"/>
    <s v="Light"/>
    <s v="Light Hard"/>
    <x v="10"/>
    <s v="ACTIVE"/>
    <s v="YES"/>
    <n v="33665"/>
    <s v="Club de Intercambios"/>
    <s v="NIVEL 11 (3 E)"/>
    <n v="11"/>
    <s v="PPD"/>
    <n v="1"/>
    <n v="3"/>
    <n v="0.3"/>
    <n v="0.7"/>
    <m/>
    <m/>
    <s v=""/>
    <s v="CLUB DE INTERCAMBIOS"/>
  </r>
  <r>
    <n v="30475"/>
    <m/>
    <x v="98"/>
    <n v="49002"/>
    <n v="49002"/>
    <x v="50"/>
    <x v="0"/>
    <s v="CVAS"/>
    <x v="0"/>
    <x v="0"/>
    <s v="Light Hard"/>
    <s v="Light"/>
    <s v="Light Hard"/>
    <x v="10"/>
    <s v="ACTIVE"/>
    <s v="YES"/>
    <n v="33667"/>
    <s v="Sexo Casero"/>
    <s v="NIVEL 11 (3 E)"/>
    <n v="11"/>
    <s v="PPD"/>
    <n v="1"/>
    <n v="3"/>
    <n v="0.3"/>
    <n v="0.7"/>
    <m/>
    <m/>
    <s v=""/>
    <s v="SEXO CASERO"/>
  </r>
  <r>
    <n v="30710"/>
    <m/>
    <x v="99"/>
    <n v="27"/>
    <n v="15327"/>
    <x v="51"/>
    <x v="38"/>
    <s v="CVAS"/>
    <x v="3"/>
    <x v="3"/>
    <s v=""/>
    <s v="Games"/>
    <s v=""/>
    <x v="14"/>
    <s v="ACTIVE"/>
    <s v="YES"/>
    <n v="33905"/>
    <s v="Susc Sem EA 0,99e"/>
    <s v="NIVEL 54 (0.99 Euros)"/>
    <n v="54"/>
    <s v="Weekly subscription"/>
    <n v="908"/>
    <n v="0.99"/>
    <n v="0.5"/>
    <n v="0.5"/>
    <m/>
    <m/>
    <s v=""/>
    <s v="EA"/>
  </r>
  <r>
    <n v="30714"/>
    <m/>
    <x v="2"/>
    <s v="X"/>
    <s v="X"/>
    <x v="52"/>
    <x v="39"/>
    <s v="CVAS"/>
    <x v="3"/>
    <x v="3"/>
    <s v=""/>
    <s v="Games"/>
    <s v=""/>
    <x v="14"/>
    <s v="ACTIVE"/>
    <s v="YES"/>
    <n v="33907"/>
    <s v="TP Seman EA 0,99e"/>
    <s v="NIVEL 54 (0.99 Euros)"/>
    <n v="54"/>
    <s v="Weekly subscription"/>
    <n v="908"/>
    <n v="0.99"/>
    <n v="0.5"/>
    <n v="0.5"/>
    <m/>
    <m/>
    <s v=""/>
    <s v="EA"/>
  </r>
  <r>
    <n v="30791"/>
    <m/>
    <x v="100"/>
    <n v="24302"/>
    <n v="24302"/>
    <x v="26"/>
    <x v="0"/>
    <s v="CVAS"/>
    <x v="0"/>
    <x v="0"/>
    <s v="Light Hard"/>
    <s v="Light"/>
    <s v="Light Hard"/>
    <x v="0"/>
    <s v="ACTIVE"/>
    <s v="YES"/>
    <n v="33965"/>
    <s v="Aficionados Españoles"/>
    <s v="NIVEL 11 (3 E)"/>
    <n v="11"/>
    <s v="PPD"/>
    <n v="1"/>
    <n v="3"/>
    <n v="0.3"/>
    <n v="0.7"/>
    <m/>
    <m/>
    <s v=""/>
    <s v="AFICIONADOS ESPAÑOLES"/>
  </r>
  <r>
    <n v="30880"/>
    <m/>
    <x v="101"/>
    <n v="29402"/>
    <n v="29402"/>
    <x v="53"/>
    <x v="40"/>
    <s v="CVAS"/>
    <x v="3"/>
    <x v="3"/>
    <s v=""/>
    <s v="Games"/>
    <s v=""/>
    <x v="8"/>
    <s v="ACTIVE"/>
    <s v="YES"/>
    <n v="34085"/>
    <s v="Susc Real Network"/>
    <s v="NIVEL 11 (3 E)"/>
    <n v="11"/>
    <s v="Monthly subscription"/>
    <n v="25"/>
    <n v="3"/>
    <n v="0.5"/>
    <n v="0.5"/>
    <m/>
    <m/>
    <s v=""/>
    <s v="SUSC REAL NETWORK"/>
  </r>
  <r>
    <n v="31036"/>
    <m/>
    <x v="12"/>
    <n v="47401"/>
    <n v="47401"/>
    <x v="54"/>
    <x v="41"/>
    <s v="CVAS"/>
    <x v="3"/>
    <x v="3"/>
    <s v=""/>
    <s v="Games"/>
    <s v=""/>
    <x v="8"/>
    <s v="ACTIVE"/>
    <s v="YES"/>
    <n v="34267"/>
    <s v="Susc Sem Play2Me"/>
    <s v="NIVEL 54 (0.99 Euros)"/>
    <n v="54"/>
    <s v="Weekly subscription"/>
    <n v="908"/>
    <n v="0.99"/>
    <n v="0.5"/>
    <n v="0.5"/>
    <m/>
    <m/>
    <s v=""/>
    <s v="PLAY2ME"/>
  </r>
  <r>
    <n v="31039"/>
    <m/>
    <x v="102"/>
    <n v="34204"/>
    <n v="34204"/>
    <x v="55"/>
    <x v="42"/>
    <s v="CVAS"/>
    <x v="3"/>
    <x v="3"/>
    <s v=""/>
    <s v="Games"/>
    <s v=""/>
    <x v="8"/>
    <s v="ACTIVE"/>
    <s v="YES"/>
    <n v="34268"/>
    <s v="Play2me"/>
    <s v="NIVEL 60 (3.99 Euros)"/>
    <n v="60"/>
    <s v="PPD"/>
    <n v="1"/>
    <n v="3.99"/>
    <n v="0.5"/>
    <n v="0.5"/>
    <m/>
    <m/>
    <s v=""/>
    <s v="PLAY2ME"/>
  </r>
  <r>
    <n v="31041"/>
    <m/>
    <x v="102"/>
    <n v="34203"/>
    <n v="34203"/>
    <x v="56"/>
    <x v="43"/>
    <s v="CVAS"/>
    <x v="3"/>
    <x v="3"/>
    <s v=""/>
    <s v="Games"/>
    <s v=""/>
    <x v="8"/>
    <s v="ACTIVE"/>
    <s v="YES"/>
    <n v="34269"/>
    <s v="Juegos P2M 2,99"/>
    <s v="NIVEL 58 (2.99 Euros)"/>
    <n v="58"/>
    <s v="PPD"/>
    <n v="1"/>
    <n v="2.99"/>
    <n v="0.5"/>
    <n v="0.5"/>
    <m/>
    <m/>
    <s v=""/>
    <s v="PLAY2ME"/>
  </r>
  <r>
    <n v="31043"/>
    <m/>
    <x v="102"/>
    <n v="34202"/>
    <n v="34202"/>
    <x v="57"/>
    <x v="44"/>
    <s v="CVAS"/>
    <x v="3"/>
    <x v="3"/>
    <s v=""/>
    <s v="Games"/>
    <s v=""/>
    <x v="8"/>
    <s v="ACTIVE"/>
    <s v="YES"/>
    <n v="34270"/>
    <s v="Juegos P2M 1,99"/>
    <s v="NIVEL 56 (1.99 Euros)"/>
    <n v="56"/>
    <s v="PPD"/>
    <n v="1"/>
    <n v="1.99"/>
    <n v="0.5"/>
    <n v="0.5"/>
    <m/>
    <m/>
    <s v=""/>
    <s v="PLAY2ME"/>
  </r>
  <r>
    <n v="31048"/>
    <m/>
    <x v="103"/>
    <n v="38301"/>
    <n v="38301"/>
    <x v="58"/>
    <x v="45"/>
    <s v="CVAS"/>
    <x v="0"/>
    <x v="0"/>
    <s v="Light Hard"/>
    <s v="Light"/>
    <s v="Light Hard"/>
    <x v="15"/>
    <s v="ACTIVE"/>
    <s v="YES"/>
    <n v="34284"/>
    <s v="La Calle del Sexo"/>
    <s v="NIVEL 58 (2.99 Euros)"/>
    <n v="58"/>
    <s v="Weekly subscription"/>
    <n v="908"/>
    <n v="2.99"/>
    <n v="0.3"/>
    <n v="0.7"/>
    <m/>
    <m/>
    <s v=""/>
    <s v="LA CALLE DEL SEXO"/>
  </r>
  <r>
    <n v="31150"/>
    <m/>
    <x v="75"/>
    <n v="70"/>
    <n v="21370"/>
    <x v="59"/>
    <x v="46"/>
    <s v="CVAS"/>
    <x v="3"/>
    <x v="3"/>
    <s v=""/>
    <s v="Games"/>
    <s v=""/>
    <x v="4"/>
    <s v="ACTIVE"/>
    <s v="YES"/>
    <n v="34385"/>
    <s v="Juegos 2,99 euros"/>
    <s v="NIVEL 58 (2.99 Euros)"/>
    <n v="58"/>
    <s v="PPD"/>
    <n v="1"/>
    <n v="2.99"/>
    <n v="0.5"/>
    <n v="0.5"/>
    <m/>
    <m/>
    <s v=""/>
    <s v="GAMELOFT GAMES"/>
  </r>
  <r>
    <n v="31192"/>
    <m/>
    <x v="104"/>
    <n v="36701"/>
    <n v="36701"/>
    <x v="60"/>
    <x v="47"/>
    <s v="CVAS"/>
    <x v="1"/>
    <x v="1"/>
    <s v=""/>
    <s v="Others"/>
    <s v="Images"/>
    <x v="6"/>
    <s v="ACTIVE"/>
    <s v="YES"/>
    <n v="34424"/>
    <s v="Tf Plana Videos "/>
    <s v="NIVEL 56 (1.99 Euros)"/>
    <n v="56"/>
    <s v="Weekly subscription"/>
    <n v="908"/>
    <n v="1.99"/>
    <n v="0.4"/>
    <n v="0.6"/>
    <m/>
    <m/>
    <s v=""/>
    <s v="TF PLANA VIDEOS "/>
  </r>
  <r>
    <n v="31208"/>
    <m/>
    <x v="105"/>
    <n v="42501"/>
    <n v="42501"/>
    <x v="47"/>
    <x v="0"/>
    <s v="CVAS"/>
    <x v="4"/>
    <x v="4"/>
    <s v=""/>
    <s v="Music"/>
    <s v=""/>
    <x v="2"/>
    <s v="INACTIVE"/>
    <s v="YES"/>
    <n v="34444"/>
    <s v="Chat Musica"/>
    <s v="NIVEL 54 (0.99 Euros)"/>
    <n v="54"/>
    <s v="Weekly subscription"/>
    <n v="908"/>
    <n v="0.99"/>
    <n v="0.4"/>
    <n v="0.6"/>
    <m/>
    <m/>
    <s v=""/>
    <s v="CHAT MUSICA"/>
  </r>
  <r>
    <n v="31272"/>
    <m/>
    <x v="106"/>
    <n v="98"/>
    <n v="98"/>
    <x v="29"/>
    <x v="0"/>
    <s v="CVAS"/>
    <x v="0"/>
    <x v="0"/>
    <s v="Light Hard"/>
    <s v="Light"/>
    <s v="Light Hard"/>
    <x v="11"/>
    <s v="ACTIVE"/>
    <s v="YES"/>
    <n v="34506"/>
    <s v="Xvideos Club"/>
    <s v="NIVEL 20 (10 E)"/>
    <n v="20"/>
    <s v="Monthly subscription"/>
    <n v="25"/>
    <n v="10"/>
    <n v="0.3"/>
    <n v="0.7"/>
    <m/>
    <m/>
    <s v=""/>
    <s v="XVIDEOS CLUB"/>
  </r>
  <r>
    <n v="31368"/>
    <m/>
    <x v="107"/>
    <n v="44601"/>
    <n v="44601"/>
    <x v="61"/>
    <x v="0"/>
    <s v="CVAS"/>
    <x v="4"/>
    <x v="4"/>
    <s v=""/>
    <s v="Music"/>
    <s v=""/>
    <x v="16"/>
    <s v="ACTIVE"/>
    <s v="YES"/>
    <n v="34624"/>
    <s v="Musica x Paises"/>
    <s v="NIVEL 54 (0.99 Euros)"/>
    <n v="54"/>
    <s v="Weekly subscription"/>
    <n v="908"/>
    <n v="0.99"/>
    <n v="0.7"/>
    <n v="0.3"/>
    <m/>
    <m/>
    <s v=""/>
    <s v="MUSICA X PAISES"/>
  </r>
  <r>
    <n v="31370"/>
    <m/>
    <x v="108"/>
    <n v="43601"/>
    <n v="43601"/>
    <x v="62"/>
    <x v="0"/>
    <s v="CVAS"/>
    <x v="4"/>
    <x v="4"/>
    <s v=""/>
    <s v="Music"/>
    <s v=""/>
    <x v="16"/>
    <s v="ACTIVE"/>
    <s v="YES"/>
    <n v="34625"/>
    <s v="Bandas Sonoras"/>
    <s v="NIVEL 54 (0.99 Euros)"/>
    <n v="54"/>
    <s v="Weekly subscription"/>
    <n v="908"/>
    <n v="0.99"/>
    <n v="0.6"/>
    <n v="0.4"/>
    <m/>
    <m/>
    <s v=""/>
    <s v="BANDAS SONORAS"/>
  </r>
  <r>
    <n v="31548"/>
    <m/>
    <x v="109"/>
    <n v="37803"/>
    <n v="37803"/>
    <x v="26"/>
    <x v="0"/>
    <s v="CVAS"/>
    <x v="0"/>
    <x v="0"/>
    <s v="Light Hard"/>
    <s v="Light"/>
    <s v="Light Hard"/>
    <x v="17"/>
    <s v="ACTIVE"/>
    <s v="YES"/>
    <n v="34784"/>
    <s v="GayMobile+18"/>
    <s v="NIVEL 9 (2 E)"/>
    <n v="9"/>
    <s v="PPD"/>
    <n v="1"/>
    <n v="2"/>
    <n v="0.3"/>
    <n v="0.7"/>
    <m/>
    <m/>
    <s v=""/>
    <s v="GAY MOBILE"/>
  </r>
  <r>
    <n v="31550"/>
    <m/>
    <x v="109"/>
    <n v="37802"/>
    <n v="37802"/>
    <x v="26"/>
    <x v="0"/>
    <s v="CVAS"/>
    <x v="0"/>
    <x v="0"/>
    <s v="Light Hard"/>
    <s v="Light"/>
    <s v="Light Hard"/>
    <x v="17"/>
    <s v="ACTIVE"/>
    <s v="YES"/>
    <n v="34785"/>
    <s v="GayMobile+18"/>
    <s v="NIVEL 11 (3 E)"/>
    <n v="11"/>
    <s v="PPD"/>
    <n v="1"/>
    <n v="3"/>
    <n v="0.3"/>
    <n v="0.7"/>
    <m/>
    <m/>
    <s v=""/>
    <s v="GAY MOBILE"/>
  </r>
  <r>
    <n v="31568"/>
    <m/>
    <x v="110"/>
    <n v="50202"/>
    <n v="50202"/>
    <x v="47"/>
    <x v="0"/>
    <s v="CVAS"/>
    <x v="0"/>
    <x v="0"/>
    <s v="Light Hard"/>
    <s v="Light"/>
    <s v="Light Hard"/>
    <x v="10"/>
    <s v="ACTIVE"/>
    <s v="YES"/>
    <n v="34787"/>
    <s v="Digital Sin"/>
    <s v="NIVEL 58 (2.99 Euros)"/>
    <n v="58"/>
    <s v="Weekly subscription"/>
    <n v="908"/>
    <n v="2.99"/>
    <n v="0.3"/>
    <n v="0.7"/>
    <m/>
    <m/>
    <s v=""/>
    <s v="DIGITAL SIN"/>
  </r>
  <r>
    <n v="31570"/>
    <m/>
    <x v="111"/>
    <n v="50901"/>
    <n v="50901"/>
    <x v="47"/>
    <x v="0"/>
    <s v="CVAS"/>
    <x v="0"/>
    <x v="0"/>
    <s v="Light Hard"/>
    <s v="Light"/>
    <s v="Light Hard"/>
    <x v="10"/>
    <s v="INACTIVE"/>
    <s v="YES"/>
    <n v="34788"/>
    <s v="Wicked"/>
    <s v="NIVEL 58 (2.99 Euros)"/>
    <n v="58"/>
    <s v="Weekly subscription"/>
    <n v="908"/>
    <n v="2.99"/>
    <n v="0.3"/>
    <n v="0.7"/>
    <m/>
    <m/>
    <s v=""/>
    <s v="WICKED"/>
  </r>
  <r>
    <n v="31572"/>
    <m/>
    <x v="112"/>
    <n v="50401"/>
    <n v="50401"/>
    <x v="47"/>
    <x v="0"/>
    <s v="CVAS"/>
    <x v="0"/>
    <x v="0"/>
    <s v="Light Hard"/>
    <s v="Light"/>
    <s v="Light Hard"/>
    <x v="10"/>
    <s v="INACTIVE"/>
    <s v="YES"/>
    <n v="34789"/>
    <s v="Nectar"/>
    <s v="NIVEL 58 (2.99 Euros)"/>
    <n v="58"/>
    <s v="Weekly subscription"/>
    <n v="908"/>
    <n v="2.99"/>
    <n v="0.3"/>
    <n v="0.7"/>
    <m/>
    <m/>
    <s v=""/>
    <s v="NECTAR"/>
  </r>
  <r>
    <n v="31574"/>
    <m/>
    <x v="113"/>
    <n v="50501"/>
    <n v="50501"/>
    <x v="47"/>
    <x v="0"/>
    <s v="CVAS"/>
    <x v="0"/>
    <x v="0"/>
    <s v="Light Hard"/>
    <s v="Light"/>
    <s v="Light Hard"/>
    <x v="10"/>
    <s v="INACTIVE"/>
    <s v="YES"/>
    <n v="34790"/>
    <s v="New Sensations"/>
    <s v="NIVEL 58 (2.99 Euros)"/>
    <n v="58"/>
    <s v="Weekly subscription"/>
    <n v="908"/>
    <n v="2.99"/>
    <n v="0.3"/>
    <n v="0.7"/>
    <m/>
    <m/>
    <s v=""/>
    <s v="NEW SENSATIONS"/>
  </r>
  <r>
    <n v="31581"/>
    <m/>
    <x v="109"/>
    <n v="37801"/>
    <n v="37801"/>
    <x v="47"/>
    <x v="0"/>
    <s v="CVAS"/>
    <x v="0"/>
    <x v="0"/>
    <s v="Light Hard"/>
    <s v="Light"/>
    <s v="Light Hard"/>
    <x v="17"/>
    <s v="ACTIVE"/>
    <s v="YES"/>
    <n v="34786"/>
    <s v="GayMobile+18"/>
    <s v="NIVEL 58 (2.99 Euros)"/>
    <n v="58"/>
    <s v="Weekly subscription"/>
    <n v="908"/>
    <n v="2.99"/>
    <n v="0.3"/>
    <n v="0.7"/>
    <m/>
    <m/>
    <s v=""/>
    <s v="GAY MOBILE"/>
  </r>
  <r>
    <n v="31608"/>
    <m/>
    <x v="114"/>
    <n v="50001"/>
    <n v="50001"/>
    <x v="47"/>
    <x v="0"/>
    <s v="CVAS"/>
    <x v="0"/>
    <x v="0"/>
    <s v="Light Hard"/>
    <s v="Light"/>
    <s v="Light Hard"/>
    <x v="10"/>
    <s v="INACTIVE"/>
    <s v="YES"/>
    <n v="34804"/>
    <s v="Tera Patrick"/>
    <s v="NIVEL 58 (2.99 Euros)"/>
    <n v="58"/>
    <s v="Weekly subscription"/>
    <n v="908"/>
    <n v="2.99"/>
    <n v="0.3"/>
    <n v="0.7"/>
    <m/>
    <m/>
    <s v=""/>
    <s v="TERA PATRICK"/>
  </r>
  <r>
    <n v="31610"/>
    <m/>
    <x v="115"/>
    <n v="58401"/>
    <n v="58401"/>
    <x v="47"/>
    <x v="0"/>
    <s v="CVAS"/>
    <x v="0"/>
    <x v="0"/>
    <s v="Light TV"/>
    <s v="Light"/>
    <s v="Light TV"/>
    <x v="18"/>
    <s v="ACTIVE"/>
    <s v="YES"/>
    <n v="34805"/>
    <s v="Passion HD"/>
    <s v="NIVEL 58 (2.99 Euros)"/>
    <n v="58"/>
    <s v="Weekly subscription"/>
    <n v="908"/>
    <n v="2.99"/>
    <n v="0.3"/>
    <n v="0.7"/>
    <m/>
    <m/>
    <s v=""/>
    <s v="PASSION HD"/>
  </r>
  <r>
    <n v="31612"/>
    <m/>
    <x v="116"/>
    <n v="58501"/>
    <n v="58501"/>
    <x v="47"/>
    <x v="0"/>
    <s v="CVAS"/>
    <x v="0"/>
    <x v="0"/>
    <s v="Light TV"/>
    <s v="Light"/>
    <s v="Light TV"/>
    <x v="9"/>
    <s v="INACTIVE"/>
    <s v="YES"/>
    <n v="34806"/>
    <s v="Canal Penthouse"/>
    <s v="NIVEL 58 (2.99 Euros)"/>
    <n v="58"/>
    <s v="Weekly subscription"/>
    <n v="908"/>
    <n v="2.99"/>
    <n v="0.3"/>
    <n v="0.7"/>
    <m/>
    <m/>
    <s v=""/>
    <s v="CANAL PENTHOUSE"/>
  </r>
  <r>
    <n v="31688"/>
    <m/>
    <x v="117"/>
    <n v="35901"/>
    <n v="35901"/>
    <x v="63"/>
    <x v="48"/>
    <s v="CVAS"/>
    <x v="1"/>
    <x v="1"/>
    <s v=""/>
    <s v="Others"/>
    <s v="Images"/>
    <x v="6"/>
    <s v="ACTIVE"/>
    <s v="YES"/>
    <n v="34884"/>
    <s v="Temas Movistar"/>
    <s v="NIVEL 56 (1.99 Euros)"/>
    <n v="56"/>
    <s v="PPD"/>
    <n v="1"/>
    <n v="1.99"/>
    <n v="0.4"/>
    <n v="0.6"/>
    <m/>
    <m/>
    <s v=""/>
    <s v="TEMAS MOVISTAR"/>
  </r>
  <r>
    <n v="31690"/>
    <m/>
    <x v="118"/>
    <n v="36801"/>
    <n v="36801"/>
    <x v="64"/>
    <x v="49"/>
    <s v="CVAS"/>
    <x v="1"/>
    <x v="1"/>
    <s v=""/>
    <s v="Others"/>
    <s v="Images"/>
    <x v="6"/>
    <s v="ACTIVE"/>
    <s v="YES"/>
    <n v="34885"/>
    <s v="TP Fondos Semanal"/>
    <s v="NIVEL 54 (0.99 Euros)"/>
    <n v="54"/>
    <s v="Weekly subscription"/>
    <n v="908"/>
    <n v="0.99"/>
    <n v="0.4"/>
    <n v="0.6"/>
    <m/>
    <m/>
    <s v=""/>
    <s v="TP FONDOS SEMANAL"/>
  </r>
  <r>
    <n v="31788"/>
    <m/>
    <x v="119"/>
    <n v="78"/>
    <n v="78"/>
    <x v="29"/>
    <x v="0"/>
    <s v="CVAS"/>
    <x v="0"/>
    <x v="0"/>
    <s v="Light Soft"/>
    <s v="Light"/>
    <s v="Light Soft"/>
    <x v="11"/>
    <s v="ACTIVE"/>
    <s v="YES"/>
    <n v="34964"/>
    <s v="Fashion TV"/>
    <s v="NIVEL 12 (5 E)"/>
    <n v="12"/>
    <s v="Monthly subscription"/>
    <n v="25"/>
    <n v="5"/>
    <n v="0.3"/>
    <n v="0.7"/>
    <m/>
    <m/>
    <s v=""/>
    <s v="FASHION TV"/>
  </r>
  <r>
    <n v="31792"/>
    <m/>
    <x v="25"/>
    <n v="24601"/>
    <n v="24601"/>
    <x v="65"/>
    <x v="0"/>
    <s v="CVAS"/>
    <x v="0"/>
    <x v="0"/>
    <s v="Light Hard"/>
    <s v="Light"/>
    <s v="Light Soft"/>
    <x v="0"/>
    <s v="INACTIVE"/>
    <s v="YES"/>
    <n v="34967"/>
    <s v="Divinas Mamas"/>
    <s v="NIVEL 58 (2.99 Euros)"/>
    <n v="58"/>
    <s v="Weekly subscription"/>
    <n v="908"/>
    <n v="2.99"/>
    <n v="0.3"/>
    <n v="0.7"/>
    <m/>
    <m/>
    <s v=""/>
    <s v="DIVINAS MAMAS"/>
  </r>
  <r>
    <n v="31794"/>
    <m/>
    <x v="100"/>
    <n v="24301"/>
    <n v="24301"/>
    <x v="47"/>
    <x v="0"/>
    <s v="CVAS"/>
    <x v="0"/>
    <x v="0"/>
    <s v="Light Soft"/>
    <s v="Light"/>
    <s v="Light Soft"/>
    <x v="0"/>
    <s v="INACTIVE"/>
    <s v="YES"/>
    <n v="34984"/>
    <s v="Aficionados Españoles"/>
    <s v="NIVEL 58 (2.99 Euros)"/>
    <n v="58"/>
    <s v="Weekly subscription"/>
    <n v="908"/>
    <n v="2.99"/>
    <n v="0.3"/>
    <n v="0.7"/>
    <m/>
    <m/>
    <s v=""/>
    <s v="AFICIONADOS ESPAÑOLES"/>
  </r>
  <r>
    <n v="31796"/>
    <m/>
    <x v="26"/>
    <n v="24501"/>
    <n v="24501"/>
    <x v="47"/>
    <x v="0"/>
    <s v="CVAS"/>
    <x v="0"/>
    <x v="0"/>
    <s v="Light Soft"/>
    <s v="Light"/>
    <s v="Light Soft"/>
    <x v="0"/>
    <s v="INACTIVE"/>
    <s v="YES"/>
    <n v="34985"/>
    <s v="Corridas"/>
    <s v="NIVEL 58 (2.99 Euros)"/>
    <n v="58"/>
    <s v="Weekly subscription"/>
    <n v="908"/>
    <n v="2.99"/>
    <n v="0.3"/>
    <n v="0.7"/>
    <m/>
    <m/>
    <s v=""/>
    <s v="CORRIDAS"/>
  </r>
  <r>
    <n v="31798"/>
    <m/>
    <x v="74"/>
    <n v="24801"/>
    <n v="24801"/>
    <x v="47"/>
    <x v="0"/>
    <s v="CVAS"/>
    <x v="0"/>
    <x v="0"/>
    <s v="Light Hard"/>
    <s v="Light"/>
    <s v="Light Hard"/>
    <x v="0"/>
    <s v="INACTIVE"/>
    <s v="YES"/>
    <n v="34986"/>
    <s v="Grandes Pollas"/>
    <s v="NIVEL 58 (2.99 Euros)"/>
    <n v="58"/>
    <s v="Weekly subscription"/>
    <n v="908"/>
    <n v="2.99"/>
    <n v="0.3"/>
    <n v="0.7"/>
    <m/>
    <m/>
    <s v=""/>
    <s v="GRANDES POLLAS"/>
  </r>
  <r>
    <n v="31800"/>
    <m/>
    <x v="27"/>
    <n v="34401"/>
    <n v="34401"/>
    <x v="47"/>
    <x v="0"/>
    <s v="CVAS"/>
    <x v="0"/>
    <x v="0"/>
    <s v="Light Hard"/>
    <s v="Light"/>
    <s v="Light Hard"/>
    <x v="0"/>
    <s v="INACTIVE"/>
    <s v="YES"/>
    <n v="34987"/>
    <s v="Hardcore"/>
    <s v="NIVEL 58 (2.99 Euros)"/>
    <n v="58"/>
    <s v="Weekly subscription"/>
    <n v="908"/>
    <n v="2.99"/>
    <n v="0.3"/>
    <n v="0.7"/>
    <m/>
    <m/>
    <s v=""/>
    <s v="HARDCORE"/>
  </r>
  <r>
    <n v="31802"/>
    <m/>
    <x v="28"/>
    <n v="24901"/>
    <n v="24901"/>
    <x v="47"/>
    <x v="0"/>
    <s v="CVAS"/>
    <x v="0"/>
    <x v="0"/>
    <s v="Light Soft"/>
    <s v="Light"/>
    <s v="Light Soft"/>
    <x v="0"/>
    <s v="INACTIVE"/>
    <s v="YES"/>
    <n v="34988"/>
    <s v="Hentai"/>
    <s v="NIVEL 58 (2.99 Euros)"/>
    <n v="58"/>
    <s v="Weekly subscription"/>
    <n v="908"/>
    <n v="2.99"/>
    <n v="0.3"/>
    <n v="0.7"/>
    <m/>
    <m/>
    <s v=""/>
    <s v="HENTAI"/>
  </r>
  <r>
    <n v="31804"/>
    <m/>
    <x v="73"/>
    <n v="24701"/>
    <n v="24701"/>
    <x v="47"/>
    <x v="0"/>
    <s v="CVAS"/>
    <x v="0"/>
    <x v="0"/>
    <s v="Light Soft"/>
    <s v="Light"/>
    <s v="Light Soft"/>
    <x v="0"/>
    <s v="INACTIVE"/>
    <s v="YES"/>
    <n v="34989"/>
    <s v="En Familia"/>
    <s v="NIVEL 58 (2.99 Euros)"/>
    <n v="58"/>
    <s v="Weekly subscription"/>
    <n v="908"/>
    <n v="2.99"/>
    <n v="0.3"/>
    <n v="0.7"/>
    <m/>
    <m/>
    <s v=""/>
    <s v="EN FAMILIA"/>
  </r>
  <r>
    <n v="31806"/>
    <m/>
    <x v="29"/>
    <n v="25001"/>
    <n v="25001"/>
    <x v="47"/>
    <x v="0"/>
    <s v="CVAS"/>
    <x v="0"/>
    <x v="0"/>
    <s v="Light Soft"/>
    <s v="Light"/>
    <s v="Light Soft"/>
    <x v="0"/>
    <s v="INACTIVE"/>
    <s v="YES"/>
    <n v="34990"/>
    <s v="Lesbianas"/>
    <s v="NIVEL 58 (2.99 Euros)"/>
    <n v="58"/>
    <s v="Weekly subscription"/>
    <n v="908"/>
    <n v="2.99"/>
    <n v="0.3"/>
    <n v="0.7"/>
    <m/>
    <m/>
    <s v=""/>
    <s v="LESBIANAS"/>
  </r>
  <r>
    <n v="31808"/>
    <m/>
    <x v="30"/>
    <n v="24401"/>
    <n v="24401"/>
    <x v="47"/>
    <x v="0"/>
    <s v="CVAS"/>
    <x v="0"/>
    <x v="0"/>
    <s v="Light Hard"/>
    <s v="Light"/>
    <s v="Light Hard"/>
    <x v="0"/>
    <s v="INACTIVE"/>
    <s v="YES"/>
    <n v="34991"/>
    <s v="Cochinas Latinas"/>
    <s v="NIVEL 58 (2.99 Euros)"/>
    <n v="58"/>
    <s v="Weekly subscription"/>
    <n v="908"/>
    <n v="2.99"/>
    <n v="0.3"/>
    <n v="0.7"/>
    <m/>
    <m/>
    <s v=""/>
    <s v="COCHINAS LATINAS"/>
  </r>
  <r>
    <n v="31810"/>
    <m/>
    <x v="40"/>
    <n v="34601"/>
    <n v="34601"/>
    <x v="47"/>
    <x v="0"/>
    <s v="CVAS"/>
    <x v="0"/>
    <x v="0"/>
    <s v="Light Hard"/>
    <s v="Light"/>
    <s v="Light Hard"/>
    <x v="0"/>
    <s v="INACTIVE"/>
    <s v="YES"/>
    <n v="34992"/>
    <s v="Abuelos Cachondos"/>
    <s v="NIVEL 58 (2.99 Euros)"/>
    <n v="58"/>
    <s v="Weekly subscription"/>
    <n v="908"/>
    <n v="2.99"/>
    <n v="0.3"/>
    <n v="0.7"/>
    <m/>
    <m/>
    <s v=""/>
    <s v="ABUELOS CACHONDOS"/>
  </r>
  <r>
    <n v="31812"/>
    <m/>
    <x v="20"/>
    <n v="25101"/>
    <n v="25101"/>
    <x v="47"/>
    <x v="0"/>
    <s v="CVAS"/>
    <x v="0"/>
    <x v="0"/>
    <s v="Light Soft"/>
    <s v="Light"/>
    <s v="Light Soft"/>
    <x v="0"/>
    <s v="INACTIVE"/>
    <s v="YES"/>
    <n v="34993"/>
    <s v="Porno Profesional"/>
    <s v="NIVEL 58 (2.99 Euros)"/>
    <n v="58"/>
    <s v="Weekly subscription"/>
    <n v="908"/>
    <n v="2.99"/>
    <n v="0.3"/>
    <n v="0.7"/>
    <m/>
    <m/>
    <s v=""/>
    <s v="PORNO PROFESIONAL"/>
  </r>
  <r>
    <n v="31868"/>
    <m/>
    <x v="93"/>
    <n v="49301"/>
    <n v="49301"/>
    <x v="47"/>
    <x v="0"/>
    <s v="CVAS"/>
    <x v="0"/>
    <x v="0"/>
    <s v="Light Soft"/>
    <s v="Light"/>
    <s v="Light Soft"/>
    <x v="10"/>
    <s v="INACTIVE"/>
    <s v="YES"/>
    <n v="35010"/>
    <s v="Sexo Oriental"/>
    <s v="NIVEL 58 (2.99 Euros)"/>
    <n v="58"/>
    <s v="Weekly subscription"/>
    <n v="908"/>
    <n v="2.99"/>
    <n v="0.3"/>
    <n v="0.7"/>
    <m/>
    <m/>
    <s v=""/>
    <s v="SEXO ORIENTAL"/>
  </r>
  <r>
    <n v="31872"/>
    <m/>
    <x v="83"/>
    <n v="48801"/>
    <n v="48801"/>
    <x v="47"/>
    <x v="0"/>
    <s v="CVAS"/>
    <x v="0"/>
    <x v="0"/>
    <s v="Light Hard"/>
    <s v="Light"/>
    <s v="Light Hard"/>
    <x v="10"/>
    <s v="INACTIVE"/>
    <s v="YES"/>
    <n v="35012"/>
    <s v="Por Culo"/>
    <s v="NIVEL 58 (2.99 Euros)"/>
    <n v="58"/>
    <s v="Weekly subscription"/>
    <n v="908"/>
    <n v="2.99"/>
    <n v="0.3"/>
    <n v="0.7"/>
    <m/>
    <m/>
    <s v=""/>
    <s v="POR CULO"/>
  </r>
  <r>
    <n v="31874"/>
    <m/>
    <x v="84"/>
    <n v="47901"/>
    <n v="47901"/>
    <x v="47"/>
    <x v="0"/>
    <s v="CVAS"/>
    <x v="0"/>
    <x v="0"/>
    <s v="Light Hard"/>
    <s v="Light"/>
    <s v="Light Soft"/>
    <x v="10"/>
    <s v="INACTIVE"/>
    <s v="YES"/>
    <n v="35013"/>
    <s v="Enfermeras"/>
    <s v="NIVEL 58 (2.99 Euros)"/>
    <n v="58"/>
    <s v="Weekly subscription"/>
    <n v="908"/>
    <n v="2.99"/>
    <n v="0.3"/>
    <n v="0.7"/>
    <m/>
    <m/>
    <s v=""/>
    <s v="ENFERMERAS"/>
  </r>
  <r>
    <n v="31876"/>
    <m/>
    <x v="85"/>
    <n v="48202"/>
    <n v="48202"/>
    <x v="47"/>
    <x v="0"/>
    <s v="CVAS"/>
    <x v="0"/>
    <x v="0"/>
    <s v="Light Soft"/>
    <s v="Light"/>
    <s v="Light Soft"/>
    <x v="10"/>
    <s v="INACTIVE"/>
    <s v="YES"/>
    <n v="35014"/>
    <s v="Ex Novias"/>
    <s v="NIVEL 58 (2.99 Euros)"/>
    <n v="58"/>
    <s v="Weekly subscription"/>
    <n v="908"/>
    <n v="2.99"/>
    <n v="0.3"/>
    <n v="0.7"/>
    <m/>
    <m/>
    <s v=""/>
    <s v="EX NOVIAS"/>
  </r>
  <r>
    <n v="31878"/>
    <m/>
    <x v="95"/>
    <n v="48301"/>
    <n v="48301"/>
    <x v="47"/>
    <x v="0"/>
    <s v="CVAS"/>
    <x v="0"/>
    <x v="0"/>
    <s v="Light Soft"/>
    <s v="Light"/>
    <s v="Light Soft"/>
    <x v="10"/>
    <s v="INACTIVE"/>
    <s v="YES"/>
    <n v="35015"/>
    <s v="Gordas"/>
    <s v="NIVEL 58 (2.99 Euros)"/>
    <n v="58"/>
    <s v="Weekly subscription"/>
    <n v="908"/>
    <n v="2.99"/>
    <n v="0.3"/>
    <n v="0.7"/>
    <m/>
    <m/>
    <s v=""/>
    <s v="GORDAS"/>
  </r>
  <r>
    <n v="31880"/>
    <m/>
    <x v="97"/>
    <n v="47801"/>
    <n v="47801"/>
    <x v="47"/>
    <x v="0"/>
    <s v="CVAS"/>
    <x v="0"/>
    <x v="0"/>
    <s v="Light Soft"/>
    <s v="Light"/>
    <s v="Light Soft"/>
    <x v="10"/>
    <s v="INACTIVE"/>
    <s v="YES"/>
    <n v="35016"/>
    <s v="Club de Intercambios"/>
    <s v="NIVEL 58 (2.99 Euros)"/>
    <n v="58"/>
    <s v="Weekly subscription"/>
    <n v="908"/>
    <n v="2.99"/>
    <n v="0.3"/>
    <n v="0.7"/>
    <m/>
    <m/>
    <s v=""/>
    <s v="CLUB DE INTERCAMBIOS"/>
  </r>
  <r>
    <n v="31882"/>
    <m/>
    <x v="92"/>
    <n v="48401"/>
    <n v="48401"/>
    <x v="47"/>
    <x v="0"/>
    <s v="CVAS"/>
    <x v="0"/>
    <x v="0"/>
    <s v="Light Soft"/>
    <s v="Light"/>
    <s v="Light Soft"/>
    <x v="10"/>
    <s v="INACTIVE"/>
    <s v="YES"/>
    <n v="35017"/>
    <s v="Mulatas"/>
    <s v="NIVEL 58 (2.99 Euros)"/>
    <n v="58"/>
    <s v="Weekly subscription"/>
    <n v="908"/>
    <n v="2.99"/>
    <n v="0.3"/>
    <n v="0.7"/>
    <m/>
    <m/>
    <s v=""/>
    <s v="MULATAS"/>
  </r>
  <r>
    <n v="31884"/>
    <m/>
    <x v="90"/>
    <n v="48501"/>
    <n v="48501"/>
    <x v="47"/>
    <x v="0"/>
    <s v="CVAS"/>
    <x v="0"/>
    <x v="0"/>
    <s v="Light Hard"/>
    <s v="Light"/>
    <s v="Light Hard"/>
    <x v="10"/>
    <s v="INACTIVE"/>
    <s v="YES"/>
    <n v="35018"/>
    <s v="Orgasmos Femeninos"/>
    <s v="NIVEL 58 (2.99 Euros)"/>
    <n v="58"/>
    <s v="Weekly subscription"/>
    <n v="908"/>
    <n v="2.99"/>
    <n v="0.3"/>
    <n v="0.7"/>
    <m/>
    <m/>
    <s v=""/>
    <s v="ORGASMOS FEMENINOS"/>
  </r>
  <r>
    <n v="31886"/>
    <m/>
    <x v="89"/>
    <n v="48601"/>
    <n v="48601"/>
    <x v="47"/>
    <x v="0"/>
    <s v="CVAS"/>
    <x v="0"/>
    <x v="0"/>
    <s v="Light Hard"/>
    <s v="Light"/>
    <s v="Light Hard"/>
    <x v="10"/>
    <s v="INACTIVE"/>
    <s v="YES"/>
    <n v="35019"/>
    <s v="Orgias"/>
    <s v="NIVEL 58 (2.99 Euros)"/>
    <n v="58"/>
    <s v="Weekly subscription"/>
    <n v="908"/>
    <n v="2.99"/>
    <n v="0.3"/>
    <n v="0.7"/>
    <m/>
    <m/>
    <s v=""/>
    <s v="ORGIAS"/>
  </r>
  <r>
    <n v="31888"/>
    <m/>
    <x v="96"/>
    <n v="48101"/>
    <n v="48101"/>
    <x v="47"/>
    <x v="0"/>
    <s v="CVAS"/>
    <x v="0"/>
    <x v="0"/>
    <s v="Light Soft"/>
    <s v="Light"/>
    <s v="Light Soft"/>
    <x v="10"/>
    <s v="INACTIVE"/>
    <s v="YES"/>
    <n v="35020"/>
    <s v="Especial Coños"/>
    <s v="NIVEL 58 (2.99 Euros)"/>
    <n v="58"/>
    <s v="Weekly subscription"/>
    <n v="908"/>
    <n v="2.99"/>
    <n v="0.3"/>
    <n v="0.7"/>
    <m/>
    <m/>
    <s v=""/>
    <s v="ESPECIAL COÑOS"/>
  </r>
  <r>
    <n v="31890"/>
    <m/>
    <x v="98"/>
    <n v="49001"/>
    <n v="49001"/>
    <x v="47"/>
    <x v="0"/>
    <s v="CVAS"/>
    <x v="0"/>
    <x v="0"/>
    <s v="Light Hard"/>
    <s v="Light"/>
    <s v="Light Hard"/>
    <x v="10"/>
    <s v="ACTIVE"/>
    <s v="YES"/>
    <n v="35021"/>
    <s v="Amateur"/>
    <s v="NIVEL 58 (2.99 Euros)"/>
    <n v="58"/>
    <s v="Weekly subscription"/>
    <n v="908"/>
    <n v="2.99"/>
    <n v="0.3"/>
    <n v="0.7"/>
    <m/>
    <m/>
    <s v=""/>
    <s v="AMATEUR"/>
  </r>
  <r>
    <n v="31892"/>
    <m/>
    <x v="87"/>
    <n v="49401"/>
    <n v="49401"/>
    <x v="47"/>
    <x v="0"/>
    <s v="CVAS"/>
    <x v="0"/>
    <x v="0"/>
    <s v="Light Hard"/>
    <s v="Light"/>
    <s v="Light Hard"/>
    <x v="10"/>
    <s v="INACTIVE"/>
    <s v="YES"/>
    <n v="35022"/>
    <s v="Tetonas"/>
    <s v="NIVEL 58 (2.99 Euros)"/>
    <n v="58"/>
    <s v="Weekly subscription"/>
    <n v="908"/>
    <n v="2.99"/>
    <n v="0.3"/>
    <n v="0.7"/>
    <m/>
    <m/>
    <s v=""/>
    <s v="TETONAS"/>
  </r>
  <r>
    <n v="31894"/>
    <m/>
    <x v="91"/>
    <n v="49601"/>
    <n v="49601"/>
    <x v="47"/>
    <x v="0"/>
    <s v="CVAS"/>
    <x v="0"/>
    <x v="0"/>
    <s v="Light Soft"/>
    <s v="Light"/>
    <s v="Light Soft"/>
    <x v="10"/>
    <s v="INACTIVE"/>
    <s v="YES"/>
    <n v="35023"/>
    <s v="Travestis"/>
    <s v="NIVEL 58 (2.99 Euros)"/>
    <n v="58"/>
    <s v="Weekly subscription"/>
    <n v="908"/>
    <n v="2.99"/>
    <n v="0.3"/>
    <n v="0.7"/>
    <m/>
    <m/>
    <s v=""/>
    <s v="TRAVESTIS"/>
  </r>
  <r>
    <n v="31896"/>
    <m/>
    <x v="94"/>
    <n v="49701"/>
    <n v="49701"/>
    <x v="47"/>
    <x v="0"/>
    <s v="CVAS"/>
    <x v="0"/>
    <x v="0"/>
    <s v="Light Soft"/>
    <s v="Light"/>
    <s v="Light Soft"/>
    <x v="10"/>
    <s v="INACTIVE"/>
    <s v="YES"/>
    <n v="35024"/>
    <s v="Tríos"/>
    <s v="NIVEL 58 (2.99 Euros)"/>
    <n v="58"/>
    <s v="Weekly subscription"/>
    <n v="908"/>
    <n v="2.99"/>
    <n v="0.3"/>
    <n v="0.7"/>
    <m/>
    <m/>
    <s v=""/>
    <s v="TRÍOS"/>
  </r>
  <r>
    <n v="31898"/>
    <m/>
    <x v="88"/>
    <n v="49801"/>
    <n v="49801"/>
    <x v="47"/>
    <x v="0"/>
    <s v="CVAS"/>
    <x v="0"/>
    <x v="0"/>
    <s v="Light Hard"/>
    <s v="Light"/>
    <s v="Light Hard"/>
    <x v="10"/>
    <s v="INACTIVE"/>
    <s v="YES"/>
    <n v="35025"/>
    <s v="Universitarias"/>
    <s v="NIVEL 58 (2.99 Euros)"/>
    <n v="58"/>
    <s v="Weekly subscription"/>
    <n v="908"/>
    <n v="2.99"/>
    <n v="0.3"/>
    <n v="0.7"/>
    <m/>
    <m/>
    <s v=""/>
    <s v="UNIVERSITARIAS"/>
  </r>
  <r>
    <n v="31900"/>
    <m/>
    <x v="86"/>
    <n v="49201"/>
    <n v="49201"/>
    <x v="47"/>
    <x v="0"/>
    <s v="CVAS"/>
    <x v="0"/>
    <x v="0"/>
    <s v="Light Hard"/>
    <s v="Light"/>
    <s v="Light Hard"/>
    <x v="10"/>
    <s v="INACTIVE"/>
    <s v="YES"/>
    <n v="35026"/>
    <s v="Sexo de Lujo"/>
    <s v="NIVEL 58 (2.99 Euros)"/>
    <n v="58"/>
    <s v="Weekly subscription"/>
    <n v="908"/>
    <n v="2.99"/>
    <n v="0.3"/>
    <n v="0.7"/>
    <m/>
    <m/>
    <s v=""/>
    <s v="SEXO DE LUJO"/>
  </r>
  <r>
    <n v="31902"/>
    <m/>
    <x v="35"/>
    <n v="27201"/>
    <n v="27201"/>
    <x v="47"/>
    <x v="0"/>
    <s v="CVAS"/>
    <x v="0"/>
    <x v="0"/>
    <s v="Light Hard"/>
    <s v="Light"/>
    <s v="Light Hard"/>
    <x v="8"/>
    <s v="INACTIVE"/>
    <s v="YES"/>
    <n v="35027"/>
    <s v="Follamigos"/>
    <s v="NIVEL 58 (2.99 Euros)"/>
    <n v="58"/>
    <s v="Weekly subscription"/>
    <n v="908"/>
    <n v="2.99"/>
    <n v="0.3"/>
    <n v="0.7"/>
    <m/>
    <m/>
    <s v=""/>
    <s v="FOLLAMIGOS"/>
  </r>
  <r>
    <n v="31906"/>
    <m/>
    <x v="31"/>
    <n v="27101"/>
    <n v="27101"/>
    <x v="47"/>
    <x v="0"/>
    <s v="CVAS"/>
    <x v="0"/>
    <x v="0"/>
    <s v="Light Hard"/>
    <s v="Light"/>
    <s v="Light Hard"/>
    <x v="8"/>
    <s v="INACTIVE"/>
    <s v="YES"/>
    <n v="35029"/>
    <s v="Casadas"/>
    <s v="NIVEL 58 (2.99 Euros)"/>
    <n v="58"/>
    <s v="Weekly subscription"/>
    <n v="908"/>
    <n v="2.99"/>
    <n v="0.3"/>
    <n v="0.7"/>
    <m/>
    <m/>
    <s v=""/>
    <s v="CASADAS"/>
  </r>
  <r>
    <n v="31908"/>
    <m/>
    <x v="32"/>
    <n v="27501"/>
    <n v="27501"/>
    <x v="47"/>
    <x v="0"/>
    <s v="CVAS"/>
    <x v="0"/>
    <x v="0"/>
    <s v="Light Soft"/>
    <s v="Light"/>
    <s v="Light Soft"/>
    <x v="8"/>
    <s v="INACTIVE"/>
    <s v="YES"/>
    <n v="35030"/>
    <s v="Jovencitas"/>
    <s v="NIVEL 58 (2.99 Euros)"/>
    <n v="58"/>
    <s v="Weekly subscription"/>
    <n v="908"/>
    <n v="2.99"/>
    <n v="0.3"/>
    <n v="0.7"/>
    <m/>
    <m/>
    <s v=""/>
    <s v="JOVENCITAS"/>
  </r>
  <r>
    <n v="31910"/>
    <m/>
    <x v="39"/>
    <n v="27801"/>
    <n v="27801"/>
    <x v="47"/>
    <x v="0"/>
    <s v="CVAS"/>
    <x v="0"/>
    <x v="0"/>
    <s v="Light Soft"/>
    <s v="Light"/>
    <s v="Light Hard"/>
    <x v="8"/>
    <s v="INACTIVE"/>
    <s v="YES"/>
    <n v="35031"/>
    <s v="Maduras"/>
    <s v="NIVEL 58 (2.99 Euros)"/>
    <n v="58"/>
    <s v="Weekly subscription"/>
    <n v="908"/>
    <n v="2.99"/>
    <n v="0.3"/>
    <n v="0.7"/>
    <m/>
    <m/>
    <s v=""/>
    <s v="MADURAS"/>
  </r>
  <r>
    <n v="31912"/>
    <m/>
    <x v="33"/>
    <n v="27901"/>
    <n v="27901"/>
    <x v="47"/>
    <x v="0"/>
    <s v="CVAS"/>
    <x v="0"/>
    <x v="0"/>
    <s v="Light Hard"/>
    <s v="Light"/>
    <s v="Light Hard"/>
    <x v="8"/>
    <s v="INACTIVE"/>
    <s v="YES"/>
    <n v="35032"/>
    <s v="Mamadas"/>
    <s v="NIVEL 58 (2.99 Euros)"/>
    <n v="58"/>
    <s v="Weekly subscription"/>
    <n v="908"/>
    <n v="2.99"/>
    <n v="0.3"/>
    <n v="0.7"/>
    <m/>
    <m/>
    <s v=""/>
    <s v="MAMADAS"/>
  </r>
  <r>
    <n v="31916"/>
    <m/>
    <x v="38"/>
    <n v="27301"/>
    <n v="27301"/>
    <x v="47"/>
    <x v="0"/>
    <s v="CVAS"/>
    <x v="0"/>
    <x v="0"/>
    <s v="Light Hard"/>
    <s v="Light"/>
    <s v="Light Hard"/>
    <x v="8"/>
    <s v="INACTIVE"/>
    <s v="YES"/>
    <n v="35034"/>
    <s v="Gay"/>
    <s v="NIVEL 58 (2.99 Euros)"/>
    <n v="58"/>
    <s v="Weekly subscription"/>
    <n v="908"/>
    <n v="2.99"/>
    <n v="0.3"/>
    <n v="0.7"/>
    <m/>
    <m/>
    <s v=""/>
    <s v="GAY"/>
  </r>
  <r>
    <n v="31918"/>
    <m/>
    <x v="34"/>
    <n v="27401"/>
    <n v="27401"/>
    <x v="47"/>
    <x v="0"/>
    <s v="CVAS"/>
    <x v="0"/>
    <x v="0"/>
    <s v="Light Hard"/>
    <s v="Light"/>
    <s v="Light Hard"/>
    <x v="8"/>
    <s v="INACTIVE"/>
    <s v="YES"/>
    <n v="35035"/>
    <s v="PornStars"/>
    <s v="NIVEL 58 (2.99 Euros)"/>
    <n v="58"/>
    <s v="Weekly subscription"/>
    <n v="908"/>
    <n v="2.99"/>
    <n v="0.3"/>
    <n v="0.7"/>
    <m/>
    <m/>
    <s v=""/>
    <s v="PORNSTARS"/>
  </r>
  <r>
    <n v="32053"/>
    <m/>
    <x v="2"/>
    <m/>
    <m/>
    <x v="66"/>
    <x v="50"/>
    <s v="CVAS"/>
    <x v="0"/>
    <x v="0"/>
    <m/>
    <s v="Others"/>
    <m/>
    <x v="11"/>
    <s v="INACTIVE"/>
    <s v="YES"/>
    <m/>
    <s v="Worldsex"/>
    <m/>
    <m/>
    <s v="Weekly subscription"/>
    <m/>
    <m/>
    <m/>
    <m/>
    <m/>
    <m/>
    <m/>
    <s v="WORLDSEX"/>
  </r>
  <r>
    <n v="32067"/>
    <m/>
    <x v="120"/>
    <n v="79"/>
    <n v="79"/>
    <x v="47"/>
    <x v="0"/>
    <s v="CVAS"/>
    <x v="5"/>
    <x v="2"/>
    <s v=""/>
    <s v="Others"/>
    <s v="Free Time"/>
    <x v="11"/>
    <s v="ACTIVE"/>
    <s v="YES"/>
    <n v="34964"/>
    <s v="Fashion TV"/>
    <s v="NIVEL 56 (1.99 Euros)"/>
    <n v="56"/>
    <s v="Weekly subscription"/>
    <n v="908"/>
    <n v="1.99"/>
    <n v="0.6"/>
    <n v="0.4"/>
    <m/>
    <m/>
    <s v=""/>
    <s v="FASHION TV"/>
  </r>
  <r>
    <n v="32487"/>
    <m/>
    <x v="64"/>
    <n v="60602"/>
    <n v="60602"/>
    <x v="67"/>
    <x v="0"/>
    <s v="CVAS"/>
    <x v="0"/>
    <x v="0"/>
    <s v="Light Hard"/>
    <s v="Light"/>
    <s v="Light Hard"/>
    <x v="5"/>
    <s v="ACTIVE"/>
    <s v="YES"/>
    <n v="31044"/>
    <s v="Tu Porno"/>
    <s v="NIVEL 58 (2.99 Euros)"/>
    <n v="58"/>
    <s v="Weekly subscription"/>
    <n v="908"/>
    <n v="2.99"/>
    <n v="0.3"/>
    <n v="0.7"/>
    <m/>
    <m/>
    <s v=""/>
    <s v="TU PORNO"/>
  </r>
  <r>
    <n v="32668"/>
    <m/>
    <x v="121"/>
    <n v="47603"/>
    <n v="47603"/>
    <x v="68"/>
    <x v="51"/>
    <s v="CVAS"/>
    <x v="3"/>
    <x v="3"/>
    <s v=""/>
    <s v="Games"/>
    <s v=""/>
    <x v="19"/>
    <s v="ACTIVE"/>
    <s v="YES"/>
    <n v="35704"/>
    <s v="Descarga 0,99 eur"/>
    <s v="NIVEL 54 (0.99 Euros)"/>
    <n v="54"/>
    <s v="PPD"/>
    <n v="1"/>
    <n v="0.99"/>
    <n v="0.5"/>
    <n v="0.5"/>
    <m/>
    <m/>
    <s v=""/>
    <s v="CONNECT2MEDIA"/>
  </r>
  <r>
    <n v="32670"/>
    <m/>
    <x v="121"/>
    <n v="47604"/>
    <n v="47604"/>
    <x v="69"/>
    <x v="52"/>
    <s v="CVAS"/>
    <x v="3"/>
    <x v="3"/>
    <s v=""/>
    <s v="Games"/>
    <s v=""/>
    <x v="19"/>
    <s v="ACTIVE"/>
    <s v="YES"/>
    <n v="35705"/>
    <s v="Descarga 1,49 eur"/>
    <s v="NIVEL 55 (1.49 Euros)"/>
    <n v="55"/>
    <s v="PPD"/>
    <n v="1"/>
    <n v="1.49"/>
    <n v="0.5"/>
    <n v="0.5"/>
    <m/>
    <m/>
    <s v=""/>
    <s v="CONNECT2MEDIA"/>
  </r>
  <r>
    <n v="32672"/>
    <m/>
    <x v="121"/>
    <n v="47605"/>
    <n v="47605"/>
    <x v="70"/>
    <x v="53"/>
    <s v="CVAS"/>
    <x v="3"/>
    <x v="3"/>
    <s v=""/>
    <s v="Games"/>
    <s v=""/>
    <x v="19"/>
    <s v="ACTIVE"/>
    <s v="YES"/>
    <n v="35706"/>
    <s v="Descarga 1,99 eur"/>
    <s v="NIVEL 56 (1.99 Euros)"/>
    <n v="56"/>
    <s v="PPD"/>
    <n v="1"/>
    <n v="1.99"/>
    <n v="0.5"/>
    <n v="0.5"/>
    <m/>
    <m/>
    <s v=""/>
    <s v="CONNECT2MEDIA"/>
  </r>
  <r>
    <n v="32674"/>
    <m/>
    <x v="121"/>
    <n v="47606"/>
    <n v="47606"/>
    <x v="71"/>
    <x v="54"/>
    <s v="CVAS"/>
    <x v="3"/>
    <x v="3"/>
    <s v=""/>
    <s v="Games"/>
    <s v=""/>
    <x v="19"/>
    <s v="ACTIVE"/>
    <s v="YES"/>
    <n v="35707"/>
    <s v="Descarga 2,99 eur"/>
    <s v="NIVEL 58 (2.99 Euros)"/>
    <n v="58"/>
    <s v="PPD"/>
    <n v="1"/>
    <n v="2.99"/>
    <n v="0.5"/>
    <n v="0.5"/>
    <m/>
    <m/>
    <s v=""/>
    <s v="CONNECT2MEDIA"/>
  </r>
  <r>
    <n v="32676"/>
    <m/>
    <x v="121"/>
    <n v="47607"/>
    <n v="47607"/>
    <x v="72"/>
    <x v="55"/>
    <s v="CVAS"/>
    <x v="3"/>
    <x v="3"/>
    <s v=""/>
    <s v="Games"/>
    <s v=""/>
    <x v="19"/>
    <s v="ACTIVE"/>
    <s v="YES"/>
    <n v="35708"/>
    <s v="Descarga 3,99 eur"/>
    <s v="NIVEL 60 (3.99 Euros)"/>
    <n v="60"/>
    <s v="PPD"/>
    <n v="1"/>
    <n v="3.99"/>
    <n v="0.5"/>
    <n v="0.5"/>
    <m/>
    <m/>
    <s v=""/>
    <s v="CONNECT2MEDIA"/>
  </r>
  <r>
    <n v="32680"/>
    <m/>
    <x v="122"/>
    <n v="47702"/>
    <n v="47702"/>
    <x v="73"/>
    <x v="56"/>
    <s v="CVAS"/>
    <x v="3"/>
    <x v="3"/>
    <s v=""/>
    <s v="Games"/>
    <s v=""/>
    <x v="19"/>
    <s v="ACTIVE"/>
    <s v="YES"/>
    <n v="35710"/>
    <s v="Amigo Games"/>
    <s v="NIVEL 54 (0.99 Euros)"/>
    <n v="54"/>
    <s v="Weekly subscription"/>
    <n v="908"/>
    <n v="0.99"/>
    <n v="0.5"/>
    <n v="0.5"/>
    <m/>
    <m/>
    <s v=""/>
    <s v="CONNECT2MEDIA"/>
  </r>
  <r>
    <n v="32848"/>
    <m/>
    <x v="123"/>
    <n v="29302"/>
    <n v="29302"/>
    <x v="74"/>
    <x v="57"/>
    <s v="CVAS"/>
    <x v="3"/>
    <x v="3"/>
    <s v=""/>
    <s v="Games"/>
    <s v=""/>
    <x v="8"/>
    <s v="ACTIVE"/>
    <s v="YES"/>
    <n v="35824"/>
    <s v="Susc Juegos Sexy"/>
    <s v="NIVEL 54 (0.99 Euros)"/>
    <n v="54"/>
    <s v="Weekly subscription"/>
    <n v="908"/>
    <n v="0.99"/>
    <n v="0.5"/>
    <n v="0.5"/>
    <m/>
    <m/>
    <s v=""/>
    <s v="JUEGOS SEXY"/>
  </r>
  <r>
    <n v="33109"/>
    <m/>
    <x v="123"/>
    <n v="29303"/>
    <n v="29303"/>
    <x v="75"/>
    <x v="58"/>
    <s v="CVAS"/>
    <x v="3"/>
    <x v="3"/>
    <s v=""/>
    <s v="Games"/>
    <s v=""/>
    <x v="8"/>
    <s v="ACTIVE"/>
    <s v="YES"/>
    <n v="36045"/>
    <s v="Juegos Sexy"/>
    <s v="NIVEL 54 (0.99 Euros)"/>
    <n v="54"/>
    <s v="PPD"/>
    <n v="1"/>
    <n v="0.99"/>
    <n v="0.5"/>
    <n v="0.5"/>
    <m/>
    <m/>
    <s v=""/>
    <s v="JUEGOS SEXY"/>
  </r>
  <r>
    <n v="33115"/>
    <m/>
    <x v="123"/>
    <n v="29304"/>
    <n v="29304"/>
    <x v="76"/>
    <x v="59"/>
    <s v="CVAS"/>
    <x v="3"/>
    <x v="3"/>
    <s v=""/>
    <s v="Games"/>
    <s v=""/>
    <x v="8"/>
    <s v="ACTIVE"/>
    <s v="YES"/>
    <n v="36048"/>
    <s v="Juegos Sexy 3,99"/>
    <s v="NIVEL 60 (3.99 Euros)"/>
    <n v="60"/>
    <s v="PPD"/>
    <n v="1"/>
    <n v="3.99"/>
    <n v="0.5"/>
    <n v="0.5"/>
    <m/>
    <m/>
    <s v=""/>
    <s v="JUEGOS SEXY"/>
  </r>
  <r>
    <n v="33289"/>
    <m/>
    <x v="124"/>
    <n v="47306"/>
    <n v="47306"/>
    <x v="77"/>
    <x v="60"/>
    <s v="CVAS"/>
    <x v="3"/>
    <x v="3"/>
    <s v=""/>
    <s v="Games"/>
    <s v=""/>
    <x v="8"/>
    <s v="ACTIVE"/>
    <s v="YES"/>
    <n v="36205"/>
    <s v="Juegos HD Android"/>
    <s v="NIVEL 62 (4.99 Euros)"/>
    <n v="62"/>
    <s v="PPD"/>
    <n v="1"/>
    <n v="4.99"/>
    <m/>
    <m/>
    <m/>
    <m/>
    <s v=""/>
    <s v="PLAY2ME"/>
  </r>
  <r>
    <n v="33310"/>
    <m/>
    <x v="125"/>
    <n v="75"/>
    <n v="75"/>
    <x v="78"/>
    <x v="0"/>
    <s v="CVAS"/>
    <x v="0"/>
    <x v="0"/>
    <s v="Light Soft"/>
    <s v="Light"/>
    <s v="Light Soft"/>
    <x v="11"/>
    <s v="ACTIVE"/>
    <s v="YES"/>
    <n v="36225"/>
    <s v="Club Sexy"/>
    <s v="NIVEL 58 (2.99 Euros)"/>
    <n v="58"/>
    <s v="Weekly subscription"/>
    <n v="908"/>
    <n v="2.99"/>
    <n v="0.3"/>
    <n v="0.7"/>
    <m/>
    <m/>
    <s v=""/>
    <s v="CLUB SEXY"/>
  </r>
  <r>
    <n v="33752"/>
    <m/>
    <x v="2"/>
    <m/>
    <m/>
    <x v="66"/>
    <x v="50"/>
    <s v="CVAS"/>
    <x v="6"/>
    <x v="2"/>
    <m/>
    <s v="Others"/>
    <m/>
    <x v="11"/>
    <s v="INACTIVE"/>
    <s v="YES"/>
    <m/>
    <s v="Susc Cam Oculta "/>
    <m/>
    <m/>
    <s v="Weekly subscription"/>
    <m/>
    <m/>
    <m/>
    <m/>
    <m/>
    <m/>
    <m/>
    <s v="SUSC CAM OCULTA "/>
  </r>
  <r>
    <n v="34311"/>
    <m/>
    <x v="54"/>
    <n v="25406"/>
    <n v="25406"/>
    <x v="79"/>
    <x v="61"/>
    <s v="CVAS"/>
    <x v="4"/>
    <x v="4"/>
    <s v=""/>
    <s v="Music"/>
    <s v=""/>
    <x v="13"/>
    <s v="ACTIVE"/>
    <s v="YES"/>
    <n v="37085"/>
    <s v="GNTRalt199"/>
    <s v="NIVEL 56 (1.99 Euros)"/>
    <n v="56"/>
    <s v="PPD"/>
    <n v="1"/>
    <n v="1.99"/>
    <n v="0.245"/>
    <n v="0.22500000000000001"/>
    <n v="0.4"/>
    <n v="0.13"/>
    <s v="ALTAFONTE"/>
    <s v="MUSICA.TRALT199"/>
  </r>
  <r>
    <n v="34313"/>
    <m/>
    <x v="54"/>
    <n v="25407"/>
    <n v="25407"/>
    <x v="80"/>
    <x v="62"/>
    <s v="CVAS"/>
    <x v="4"/>
    <x v="4"/>
    <s v=""/>
    <s v="Music"/>
    <s v=""/>
    <x v="13"/>
    <s v="ACTIVE"/>
    <s v="YES"/>
    <n v="37086"/>
    <s v="GNTTorc199"/>
    <s v="NIVEL 56 (1.99 Euros)"/>
    <n v="56"/>
    <s v="PPD"/>
    <n v="1"/>
    <n v="1.99"/>
    <n v="0.245"/>
    <n v="0.22500000000000001"/>
    <n v="0.4"/>
    <n v="0.13"/>
    <s v="THE ORCHARD"/>
    <s v="MUSICA.TRORC199"/>
  </r>
  <r>
    <n v="34328"/>
    <m/>
    <x v="126"/>
    <n v="46714"/>
    <n v="46714"/>
    <x v="81"/>
    <x v="63"/>
    <s v="CVAS"/>
    <x v="4"/>
    <x v="4"/>
    <s v=""/>
    <s v="Music"/>
    <s v=""/>
    <x v="13"/>
    <s v="ACTIVE"/>
    <s v="YES"/>
    <n v="37104"/>
    <s v="GNFTwar149"/>
    <s v="NIVEL 55 (1.49 Euros)"/>
    <n v="55"/>
    <s v="PPD"/>
    <n v="1"/>
    <n v="1.49"/>
    <n v="0.19329999999999997"/>
    <n v="0.17329999999999998"/>
    <n v="0.50340000000000007"/>
    <n v="0.13"/>
    <s v="WARNER"/>
    <s v="MUSICA.MP3.WAR149"/>
  </r>
  <r>
    <n v="34330"/>
    <m/>
    <x v="127"/>
    <n v="46306"/>
    <n v="46306"/>
    <x v="82"/>
    <x v="64"/>
    <s v="CVAS"/>
    <x v="4"/>
    <x v="4"/>
    <s v=""/>
    <s v="Music"/>
    <s v=""/>
    <x v="13"/>
    <s v="ACTIVE"/>
    <s v="YES"/>
    <n v="37105"/>
    <s v="Musica.MP3.war99"/>
    <s v="NIVEL 54 (0.99 Euros)"/>
    <n v="54"/>
    <s v="PPD"/>
    <n v="1"/>
    <n v="0.99"/>
    <n v="0.1925"/>
    <n v="0.17249999999999999"/>
    <n v="0.50509999999999999"/>
    <n v="0.13"/>
    <s v="WARNER"/>
    <s v="MUSICA.MP3.WAR99"/>
  </r>
  <r>
    <n v="34332"/>
    <m/>
    <x v="126"/>
    <n v="46712"/>
    <n v="46712"/>
    <x v="83"/>
    <x v="65"/>
    <s v="CVAS"/>
    <x v="4"/>
    <x v="4"/>
    <s v=""/>
    <s v="Music"/>
    <s v=""/>
    <x v="13"/>
    <s v="ACTIVE"/>
    <s v="YES"/>
    <n v="37106"/>
    <s v="GNFTson149"/>
    <s v="NIVEL 55 (1.49 Euros)"/>
    <n v="55"/>
    <s v="PPD"/>
    <n v="1"/>
    <n v="1.49"/>
    <n v="0.17660000000000001"/>
    <n v="0.15659999999999999"/>
    <n v="0.53689999999999993"/>
    <n v="0.13"/>
    <s v="SONY"/>
    <s v="MUSICA.MP3.SON149"/>
  </r>
  <r>
    <n v="34334"/>
    <m/>
    <x v="127"/>
    <n v="46303"/>
    <n v="46303"/>
    <x v="84"/>
    <x v="66"/>
    <s v="CVAS"/>
    <x v="4"/>
    <x v="4"/>
    <s v=""/>
    <s v="Music"/>
    <s v=""/>
    <x v="13"/>
    <s v="ACTIVE"/>
    <s v="YES"/>
    <n v="37107"/>
    <s v="GNFTson99"/>
    <s v="NIVEL 54 (0.99 Euros)"/>
    <n v="54"/>
    <s v="PPD"/>
    <n v="1"/>
    <n v="0.99"/>
    <n v="0.16719999999999999"/>
    <n v="0.1472"/>
    <n v="0.55559999999999998"/>
    <n v="0.13"/>
    <s v="SONY"/>
    <s v="MUSICA.MP3.SON99"/>
  </r>
  <r>
    <n v="34336"/>
    <m/>
    <x v="126"/>
    <n v="46713"/>
    <n v="46713"/>
    <x v="85"/>
    <x v="67"/>
    <s v="CVAS"/>
    <x v="4"/>
    <x v="4"/>
    <s v=""/>
    <s v="Music"/>
    <s v=""/>
    <x v="13"/>
    <s v="ACTIVE"/>
    <s v="YES"/>
    <n v="37108"/>
    <s v="GNFTuni149"/>
    <s v="NIVEL 55 (1.49 Euros)"/>
    <n v="55"/>
    <s v="PPD"/>
    <n v="1"/>
    <n v="1.49"/>
    <n v="0.17660000000000001"/>
    <n v="0.15659999999999999"/>
    <n v="0.53689999999999993"/>
    <n v="0.13"/>
    <s v="UNIVERSAL"/>
    <s v="MUSICA.MP3.UNI149"/>
  </r>
  <r>
    <n v="34338"/>
    <m/>
    <x v="127"/>
    <n v="46304"/>
    <n v="46304"/>
    <x v="86"/>
    <x v="68"/>
    <s v="CVAS"/>
    <x v="4"/>
    <x v="4"/>
    <s v=""/>
    <s v="Music"/>
    <s v=""/>
    <x v="13"/>
    <s v="ACTIVE"/>
    <s v="YES"/>
    <n v="37109"/>
    <s v="GNFTuni99"/>
    <s v="NIVEL 54 (0.99 Euros)"/>
    <n v="54"/>
    <s v="PPD"/>
    <n v="1"/>
    <n v="0.99"/>
    <n v="0.16719999999999999"/>
    <n v="0.1472"/>
    <n v="0.55559999999999998"/>
    <n v="0.13"/>
    <s v="UNIVERSAL"/>
    <s v="MUSICA.MP3.UNI99"/>
  </r>
  <r>
    <n v="34344"/>
    <m/>
    <x v="126"/>
    <n v="46711"/>
    <n v="46711"/>
    <x v="87"/>
    <x v="69"/>
    <s v="CVAS"/>
    <x v="4"/>
    <x v="4"/>
    <s v=""/>
    <s v="Music"/>
    <s v=""/>
    <x v="13"/>
    <s v="ACTIVE"/>
    <s v="YES"/>
    <n v="37112"/>
    <s v="GNFTorc149"/>
    <s v="NIVEL 55 (1.49 Euros)"/>
    <n v="55"/>
    <s v="PPD"/>
    <n v="1"/>
    <n v="1.49"/>
    <n v="0.19500000000000001"/>
    <n v="0.17499999999999999"/>
    <n v="0.5"/>
    <n v="0.13"/>
    <s v="THE ORCHARD"/>
    <s v="MUSICA.MP3.ORC149"/>
  </r>
  <r>
    <n v="34346"/>
    <m/>
    <x v="127"/>
    <n v="46305"/>
    <n v="46305"/>
    <x v="88"/>
    <x v="70"/>
    <s v="CVAS"/>
    <x v="4"/>
    <x v="4"/>
    <s v=""/>
    <s v="Music"/>
    <s v=""/>
    <x v="13"/>
    <s v="ACTIVE"/>
    <s v="YES"/>
    <n v="37113"/>
    <s v="GNFTorc099"/>
    <s v="NIVEL 54 (0.99 Euros)"/>
    <n v="54"/>
    <s v="PPD"/>
    <n v="1"/>
    <n v="0.99"/>
    <n v="0.14499999999999999"/>
    <n v="0.22500000000000001"/>
    <n v="0.5"/>
    <n v="0.13"/>
    <s v="THE ORCHARD"/>
    <s v="MUSICA.MP3.ORC99"/>
  </r>
  <r>
    <n v="34348"/>
    <m/>
    <x v="126"/>
    <n v="46709"/>
    <n v="46709"/>
    <x v="89"/>
    <x v="71"/>
    <s v="CVAS"/>
    <x v="4"/>
    <x v="4"/>
    <s v=""/>
    <s v="Music"/>
    <s v=""/>
    <x v="13"/>
    <s v="ACTIVE"/>
    <s v="YES"/>
    <n v="37114"/>
    <s v="GNFTalt149"/>
    <s v="NIVEL 55 (1.49 Euros)"/>
    <n v="55"/>
    <s v="PPD"/>
    <n v="1"/>
    <n v="1.49"/>
    <n v="0.19500000000000001"/>
    <n v="0.17499999999999999"/>
    <n v="0.5"/>
    <n v="0.13"/>
    <s v="ALTAFONTE"/>
    <s v="MUSICA.MP3.ALT149"/>
  </r>
  <r>
    <n v="34350"/>
    <m/>
    <x v="127"/>
    <n v="46301"/>
    <n v="46301"/>
    <x v="90"/>
    <x v="72"/>
    <s v="CVAS"/>
    <x v="4"/>
    <x v="4"/>
    <s v=""/>
    <s v="Music"/>
    <s v=""/>
    <x v="13"/>
    <s v="ACTIVE"/>
    <s v="YES"/>
    <n v="37115"/>
    <s v="GNFTalt99"/>
    <s v="NIVEL 54 (0.99 Euros)"/>
    <n v="54"/>
    <s v="PPD"/>
    <n v="1"/>
    <n v="0.99"/>
    <n v="0.19500000000000001"/>
    <n v="0.17499999999999999"/>
    <n v="0.5"/>
    <n v="0.13"/>
    <s v="ALTAFONTE"/>
    <s v="MUSICA.MP3.ALT99"/>
  </r>
  <r>
    <n v="34352"/>
    <m/>
    <x v="126"/>
    <n v="46710"/>
    <n v="46710"/>
    <x v="91"/>
    <x v="73"/>
    <s v="CVAS"/>
    <x v="4"/>
    <x v="4"/>
    <s v=""/>
    <s v="Music"/>
    <s v=""/>
    <x v="13"/>
    <s v="ACTIVE"/>
    <s v="YES"/>
    <n v="37116"/>
    <s v="GNFTgen149"/>
    <s v="NIVEL 55 (1.49 Euros)"/>
    <n v="55"/>
    <s v="PPD"/>
    <n v="1"/>
    <n v="1.49"/>
    <n v="0.245"/>
    <n v="0.22500000000000001"/>
    <n v="0.4"/>
    <n v="0.13"/>
    <s v="GENEXIES"/>
    <s v="MUSICA.MP3.GEN149"/>
  </r>
  <r>
    <n v="34354"/>
    <m/>
    <x v="127"/>
    <n v="46302"/>
    <n v="46302"/>
    <x v="92"/>
    <x v="74"/>
    <s v="CVAS"/>
    <x v="4"/>
    <x v="4"/>
    <s v=""/>
    <s v="Music"/>
    <s v=""/>
    <x v="13"/>
    <s v="ACTIVE"/>
    <s v="YES"/>
    <n v="37117"/>
    <s v="GNFTgen99"/>
    <s v="NIVEL 54 (0.99 Euros)"/>
    <n v="54"/>
    <s v="PPD"/>
    <n v="1"/>
    <n v="0.99"/>
    <n v="0.245"/>
    <n v="0.22500000000000001"/>
    <n v="0.4"/>
    <n v="0.13"/>
    <s v="GENEXIES"/>
    <s v="MUSICA.MP3.GEN99"/>
  </r>
  <r>
    <n v="34356"/>
    <m/>
    <x v="128"/>
    <n v="46504"/>
    <n v="46504"/>
    <x v="93"/>
    <x v="75"/>
    <s v="CVAS"/>
    <x v="4"/>
    <x v="4"/>
    <s v=""/>
    <s v="Music"/>
    <s v=""/>
    <x v="13"/>
    <s v="ACTIVE"/>
    <s v="YES"/>
    <n v="37118"/>
    <s v="GNFVwar199"/>
    <s v="NIVEL 56 (1.99 Euros)"/>
    <n v="56"/>
    <s v="PPD"/>
    <n v="1"/>
    <n v="1.99"/>
    <n v="0.24399999999999999"/>
    <n v="0.22399999999999998"/>
    <n v="0.40200000000000002"/>
    <n v="0.13"/>
    <s v="WARNER"/>
    <s v="MUSICA.FVWAR199"/>
  </r>
  <r>
    <n v="34358"/>
    <m/>
    <x v="128"/>
    <n v="46502"/>
    <n v="46502"/>
    <x v="94"/>
    <x v="76"/>
    <s v="CVAS"/>
    <x v="4"/>
    <x v="4"/>
    <s v=""/>
    <s v="Music"/>
    <s v=""/>
    <x v="13"/>
    <s v="ACTIVE"/>
    <s v="YES"/>
    <n v="37119"/>
    <s v="GNFVson199"/>
    <s v="NIVEL 56 (1.99 Euros)"/>
    <n v="56"/>
    <s v="PPD"/>
    <n v="1"/>
    <n v="1.99"/>
    <n v="0.24399999999999999"/>
    <n v="0.22399999999999998"/>
    <n v="0.40200000000000002"/>
    <n v="0.13"/>
    <s v="SONY"/>
    <s v="MUSICA.FVSON199"/>
  </r>
  <r>
    <n v="34361"/>
    <m/>
    <x v="128"/>
    <n v="46503"/>
    <n v="46503"/>
    <x v="95"/>
    <x v="77"/>
    <s v="CVAS"/>
    <x v="4"/>
    <x v="4"/>
    <s v=""/>
    <s v="Music"/>
    <s v=""/>
    <x v="13"/>
    <s v="ACTIVE"/>
    <s v="YES"/>
    <n v="37120"/>
    <s v="GNFVuni199"/>
    <s v="NIVEL 56 (1.99 Euros)"/>
    <n v="56"/>
    <s v="PPD"/>
    <n v="1"/>
    <n v="1.99"/>
    <n v="0.20379999999999998"/>
    <n v="0.18379999999999999"/>
    <n v="0.4824"/>
    <n v="0.13"/>
    <s v="UNIVERSAL"/>
    <s v="MUSICA.FVUNI199"/>
  </r>
  <r>
    <n v="34365"/>
    <m/>
    <x v="128"/>
    <n v="46505"/>
    <n v="46505"/>
    <x v="96"/>
    <x v="78"/>
    <s v="CVAS"/>
    <x v="4"/>
    <x v="4"/>
    <s v=""/>
    <s v="Music"/>
    <s v=""/>
    <x v="13"/>
    <s v="ACTIVE"/>
    <s v="YES"/>
    <n v="37122"/>
    <s v="GNFVorc199"/>
    <s v="NIVEL 56 (1.99 Euros)"/>
    <n v="56"/>
    <s v="PPD"/>
    <n v="1"/>
    <n v="1.99"/>
    <n v="0.29499999999999998"/>
    <n v="0.17499999999999999"/>
    <n v="0.4"/>
    <n v="0.13"/>
    <s v="THE ORCHARD"/>
    <s v="MUSICA.FVORC199"/>
  </r>
  <r>
    <n v="34367"/>
    <m/>
    <x v="128"/>
    <n v="46506"/>
    <n v="46506"/>
    <x v="97"/>
    <x v="79"/>
    <s v="CVAS"/>
    <x v="4"/>
    <x v="4"/>
    <s v=""/>
    <s v="Music"/>
    <s v=""/>
    <x v="13"/>
    <s v="ACTIVE"/>
    <s v="YES"/>
    <n v="37123"/>
    <s v="GNFValt199"/>
    <s v="NIVEL 56 (1.99 Euros)"/>
    <n v="56"/>
    <s v="PPD"/>
    <n v="1"/>
    <n v="1.99"/>
    <n v="0.29499999999999998"/>
    <n v="0.17499999999999999"/>
    <n v="0.4"/>
    <n v="0.13"/>
    <s v="ALTAFONTE"/>
    <s v="MUSICA.FVALT199"/>
  </r>
  <r>
    <n v="34369"/>
    <m/>
    <x v="128"/>
    <n v="46501"/>
    <n v="46501"/>
    <x v="98"/>
    <x v="80"/>
    <s v="CVAS"/>
    <x v="4"/>
    <x v="4"/>
    <s v=""/>
    <s v="Music"/>
    <s v=""/>
    <x v="13"/>
    <s v="ACTIVE"/>
    <s v="YES"/>
    <n v="37124"/>
    <s v="GNFVgen199"/>
    <s v="NIVEL 56 (1.99 Euros)"/>
    <n v="56"/>
    <s v="PPD"/>
    <n v="1"/>
    <n v="1.99"/>
    <n v="0.19500000000000001"/>
    <n v="0.17499999999999999"/>
    <n v="0.5"/>
    <n v="0.13"/>
    <s v="GENEXIES"/>
    <s v="MUSICA.FVGEN199"/>
  </r>
  <r>
    <n v="34371"/>
    <m/>
    <x v="126"/>
    <n v="46707"/>
    <n v="46707"/>
    <x v="99"/>
    <x v="27"/>
    <s v="CVAS"/>
    <x v="4"/>
    <x v="4"/>
    <s v=""/>
    <s v="Music"/>
    <s v=""/>
    <x v="13"/>
    <s v="ACTIVE"/>
    <s v="YES"/>
    <n v="37125"/>
    <s v="GNTRwar199"/>
    <s v="NIVEL 56 (1.99 Euros)"/>
    <n v="56"/>
    <s v="PPD"/>
    <n v="1"/>
    <n v="1.99"/>
    <n v="0.25659999999999999"/>
    <n v="0.2366"/>
    <n v="0.37689999999999996"/>
    <n v="0.13"/>
    <s v="WARNER"/>
    <s v="MUSICA.TRWAR199"/>
  </r>
  <r>
    <n v="34373"/>
    <m/>
    <x v="126"/>
    <n v="46705"/>
    <n v="46705"/>
    <x v="100"/>
    <x v="26"/>
    <s v="CVAS"/>
    <x v="4"/>
    <x v="4"/>
    <s v=""/>
    <s v="Music"/>
    <s v=""/>
    <x v="13"/>
    <s v="ACTIVE"/>
    <s v="YES"/>
    <n v="37126"/>
    <s v="GNTRson199"/>
    <s v="NIVEL 56 (1.99 Euros)"/>
    <n v="56"/>
    <s v="PPD"/>
    <n v="1"/>
    <n v="1.99"/>
    <n v="0.24399999999999999"/>
    <n v="0.22399999999999998"/>
    <n v="0.40200000000000002"/>
    <n v="0.13"/>
    <s v="SONY"/>
    <s v="MUSICA.TRSON199"/>
  </r>
  <r>
    <n v="34375"/>
    <m/>
    <x v="126"/>
    <n v="46706"/>
    <n v="46706"/>
    <x v="101"/>
    <x v="25"/>
    <s v="CVAS"/>
    <x v="4"/>
    <x v="4"/>
    <s v=""/>
    <s v="Music"/>
    <s v=""/>
    <x v="13"/>
    <s v="ACTIVE"/>
    <s v="YES"/>
    <n v="37127"/>
    <s v="GNTRuni199"/>
    <s v="NIVEL 56 (1.99 Euros)"/>
    <n v="56"/>
    <s v="PPD"/>
    <n v="1"/>
    <n v="1.99"/>
    <n v="0.26910000000000001"/>
    <n v="0.24909999999999999"/>
    <n v="0.3518"/>
    <n v="0.13"/>
    <s v="UNIVERSAL"/>
    <s v="MUSICA.TRUNI199"/>
  </r>
  <r>
    <n v="34379"/>
    <m/>
    <x v="126"/>
    <n v="46704"/>
    <n v="46704"/>
    <x v="102"/>
    <x v="62"/>
    <s v="CVAS"/>
    <x v="4"/>
    <x v="4"/>
    <s v=""/>
    <s v="Music"/>
    <s v=""/>
    <x v="13"/>
    <s v="ACTIVE"/>
    <s v="YES"/>
    <n v="37129"/>
    <s v="GNTRorc199"/>
    <s v="NIVEL 56 (1.99 Euros)"/>
    <n v="56"/>
    <s v="PPD"/>
    <n v="1"/>
    <n v="1.99"/>
    <n v="0.245"/>
    <n v="0.22500000000000001"/>
    <n v="0.4"/>
    <n v="0.13"/>
    <s v="THE ORCHARD"/>
    <s v="MUSICA.TRORC199"/>
  </r>
  <r>
    <n v="34381"/>
    <m/>
    <x v="126"/>
    <n v="46702"/>
    <n v="46702"/>
    <x v="79"/>
    <x v="61"/>
    <s v="CVAS"/>
    <x v="4"/>
    <x v="4"/>
    <s v=""/>
    <s v="Music"/>
    <s v=""/>
    <x v="13"/>
    <s v="ACTIVE"/>
    <s v="YES"/>
    <n v="37130"/>
    <s v="GNTRalt199"/>
    <s v="NIVEL 56 (1.99 Euros)"/>
    <n v="56"/>
    <s v="PPD"/>
    <n v="1"/>
    <n v="1.99"/>
    <n v="0.245"/>
    <n v="0.22500000000000001"/>
    <n v="0.4"/>
    <n v="0.13"/>
    <s v="ALTAFONTE"/>
    <s v="MUSICA.TRALT199"/>
  </r>
  <r>
    <n v="34383"/>
    <m/>
    <x v="126"/>
    <n v="46703"/>
    <n v="46703"/>
    <x v="103"/>
    <x v="28"/>
    <s v="CVAS"/>
    <x v="4"/>
    <x v="4"/>
    <s v=""/>
    <s v="Music"/>
    <s v=""/>
    <x v="13"/>
    <s v="ACTIVE"/>
    <s v="YES"/>
    <n v="37131"/>
    <s v="GNTRgen199"/>
    <s v="NIVEL 56 (1.99 Euros)"/>
    <n v="56"/>
    <s v="PPD"/>
    <n v="1"/>
    <n v="1.99"/>
    <n v="0.245"/>
    <n v="0.22500000000000001"/>
    <n v="0.4"/>
    <n v="0.13"/>
    <s v="GENEXIES"/>
    <s v="MUSICA.TRGEN199"/>
  </r>
  <r>
    <n v="34394"/>
    <m/>
    <x v="129"/>
    <n v="44001"/>
    <n v="44001"/>
    <x v="104"/>
    <x v="81"/>
    <s v="CVAS"/>
    <x v="7"/>
    <x v="5"/>
    <s v=""/>
    <s v="Others"/>
    <s v="Sports"/>
    <x v="20"/>
    <s v="ACTIVE"/>
    <s v="YES"/>
    <n v="37139"/>
    <s v="Deportes emocion"/>
    <s v="NIVEL 54 (0.99 Euros)"/>
    <n v="54"/>
    <s v="Weekly subscription"/>
    <n v="908"/>
    <n v="0.99"/>
    <n v="0.5"/>
    <n v="0.5"/>
    <m/>
    <m/>
    <s v=""/>
    <s v="DEPORTES EMOCION"/>
  </r>
  <r>
    <n v="34409"/>
    <m/>
    <x v="130"/>
    <n v="46402"/>
    <n v="46402"/>
    <x v="105"/>
    <x v="82"/>
    <s v="CVAS"/>
    <x v="4"/>
    <x v="4"/>
    <s v=""/>
    <s v="Music"/>
    <s v=""/>
    <x v="13"/>
    <s v="ACTIVE"/>
    <s v="YES"/>
    <n v="37144"/>
    <s v="Tarifa Plana Musica"/>
    <s v="NIVEL 105 (1,48 Euros)"/>
    <n v="105"/>
    <s v="Weekly subscription"/>
    <n v="908"/>
    <n v="1.48"/>
    <n v="0.22500000000000001"/>
    <n v="0.14499999999999999"/>
    <n v="0.5"/>
    <n v="0.13"/>
    <s v="TODOS"/>
    <s v="TARIFA PLANA MP3"/>
  </r>
  <r>
    <n v="34410"/>
    <n v="34409"/>
    <x v="130"/>
    <n v="46401"/>
    <n v="46401"/>
    <x v="106"/>
    <x v="82"/>
    <s v="CVAS"/>
    <x v="4"/>
    <x v="4"/>
    <s v=""/>
    <s v="Music"/>
    <s v=""/>
    <x v="13"/>
    <s v="ACTIVE"/>
    <s v="YES"/>
    <n v="37144"/>
    <s v="Tarifa Plana Musica"/>
    <s v="NIVEL 0 (0 E)"/>
    <n v="0"/>
    <s v="Weekly subscription"/>
    <n v="641"/>
    <n v="0"/>
    <m/>
    <m/>
    <m/>
    <m/>
    <s v=""/>
    <s v="TARIFA PLANA MP3"/>
  </r>
  <r>
    <n v="34668"/>
    <m/>
    <x v="131"/>
    <n v="42901"/>
    <n v="42901"/>
    <x v="107"/>
    <x v="83"/>
    <s v="CVAS"/>
    <x v="4"/>
    <x v="4"/>
    <s v=""/>
    <s v="Music"/>
    <s v=""/>
    <x v="2"/>
    <s v="INACTIVE"/>
    <s v="YES"/>
    <n v="37344"/>
    <s v="Novedades"/>
    <s v="NIVEL 55 (1.49 Euros)"/>
    <n v="55"/>
    <s v="Weekly subscription"/>
    <n v="908"/>
    <n v="1.49"/>
    <n v="0.6"/>
    <n v="0.4"/>
    <m/>
    <m/>
    <s v=""/>
    <s v="NOVEDADES 3,99"/>
  </r>
  <r>
    <n v="34828"/>
    <m/>
    <x v="132"/>
    <n v="59001"/>
    <n v="59001"/>
    <x v="108"/>
    <x v="0"/>
    <s v="CVAS"/>
    <x v="0"/>
    <x v="0"/>
    <s v="Light TV"/>
    <s v="Light"/>
    <s v="Light TV"/>
    <x v="0"/>
    <s v="ACTIVE"/>
    <s v="YES"/>
    <n v="37484"/>
    <s v="Pack Taquillas X"/>
    <s v="NIVEL 58 (2.99 Euros)"/>
    <n v="58"/>
    <s v="Weekly subscription"/>
    <n v="908"/>
    <n v="2.99"/>
    <n v="0.35"/>
    <n v="0.65"/>
    <m/>
    <m/>
    <s v=""/>
    <s v="TAQUILLAS"/>
  </r>
  <r>
    <n v="35008"/>
    <m/>
    <x v="133"/>
    <n v="46901"/>
    <n v="46901"/>
    <x v="109"/>
    <x v="84"/>
    <s v="CVAS"/>
    <x v="4"/>
    <x v="4"/>
    <s v=""/>
    <s v="Music"/>
    <s v=""/>
    <x v="13"/>
    <s v="ACTIVE"/>
    <s v="YES"/>
    <n v="37604"/>
    <s v="Musica Dance"/>
    <s v="NIVEL 54 (0.99 Euros)"/>
    <n v="54"/>
    <s v="Weekly subscription"/>
    <n v="908"/>
    <n v="0.99"/>
    <n v="0.8"/>
    <n v="0.2"/>
    <m/>
    <m/>
    <s v=""/>
    <s v="MUSICA DANCE"/>
  </r>
  <r>
    <n v="35014"/>
    <m/>
    <x v="134"/>
    <n v="47101"/>
    <n v="47101"/>
    <x v="110"/>
    <x v="85"/>
    <s v="CVAS"/>
    <x v="4"/>
    <x v="4"/>
    <s v=""/>
    <s v="Music"/>
    <s v=""/>
    <x v="13"/>
    <s v="ACTIVE"/>
    <s v="YES"/>
    <n v="37607"/>
    <s v="Musica Flamenca"/>
    <s v="NIVEL 54 (0.99 Euros)"/>
    <n v="54"/>
    <s v="Weekly subscription"/>
    <n v="908"/>
    <n v="0.99"/>
    <n v="0.8"/>
    <n v="0.2"/>
    <m/>
    <m/>
    <s v=""/>
    <s v="MUSICA FLAMENCO"/>
  </r>
  <r>
    <n v="35020"/>
    <m/>
    <x v="135"/>
    <n v="47001"/>
    <n v="47001"/>
    <x v="111"/>
    <x v="86"/>
    <s v="CVAS"/>
    <x v="4"/>
    <x v="4"/>
    <s v=""/>
    <s v="Music"/>
    <s v=""/>
    <x v="13"/>
    <s v="ACTIVE"/>
    <s v="YES"/>
    <n v="37610"/>
    <s v="Musica Española"/>
    <s v="NIVEL 54 (0.99 Euros)"/>
    <n v="54"/>
    <s v="Weekly subscription"/>
    <n v="908"/>
    <n v="0.99"/>
    <n v="0.8"/>
    <n v="0.2"/>
    <m/>
    <m/>
    <s v=""/>
    <s v="MUSICA ESPANOLA"/>
  </r>
  <r>
    <n v="35031"/>
    <m/>
    <x v="136"/>
    <n v="59101"/>
    <n v="59101"/>
    <x v="47"/>
    <x v="0"/>
    <s v="CVAS"/>
    <x v="0"/>
    <x v="0"/>
    <s v="Light TV"/>
    <s v="Light"/>
    <s v="Light TV"/>
    <x v="0"/>
    <s v="INACTIVE"/>
    <s v="YES"/>
    <n v="37627"/>
    <s v="Taquilla X2"/>
    <s v="NIVEL 58 (2.99 Euros)"/>
    <n v="58"/>
    <s v="Weekly subscription"/>
    <n v="908"/>
    <n v="2.99"/>
    <n v="0.3"/>
    <n v="0.7"/>
    <m/>
    <m/>
    <s v=""/>
    <s v="TAQUILLAS"/>
  </r>
  <r>
    <n v="35035"/>
    <m/>
    <x v="137"/>
    <n v="59301"/>
    <n v="59301"/>
    <x v="47"/>
    <x v="0"/>
    <s v="CVAS"/>
    <x v="0"/>
    <x v="0"/>
    <s v="Light TV"/>
    <s v="Light"/>
    <s v="Light TV"/>
    <x v="0"/>
    <s v="INACTIVE"/>
    <s v="YES"/>
    <n v="37629"/>
    <s v="Taquilla X4"/>
    <s v="NIVEL 58 (2.99 Euros)"/>
    <n v="58"/>
    <s v="Weekly subscription"/>
    <n v="908"/>
    <n v="2.99"/>
    <n v="0.3"/>
    <n v="0.7"/>
    <m/>
    <m/>
    <s v=""/>
    <s v="TAQUILLAS"/>
  </r>
  <r>
    <n v="35037"/>
    <m/>
    <x v="138"/>
    <n v="59401"/>
    <n v="59401"/>
    <x v="47"/>
    <x v="0"/>
    <s v="CVAS"/>
    <x v="0"/>
    <x v="0"/>
    <s v="Light TV"/>
    <s v="Light"/>
    <s v="Light TV"/>
    <x v="0"/>
    <s v="INACTIVE"/>
    <s v="YES"/>
    <n v="37630"/>
    <s v="Taquilla X5"/>
    <s v="NIVEL 58 (2.99 Euros)"/>
    <n v="58"/>
    <s v="Weekly subscription"/>
    <n v="908"/>
    <n v="2.99"/>
    <n v="0.3"/>
    <n v="0.7"/>
    <m/>
    <m/>
    <s v=""/>
    <s v="TAQUILLAS"/>
  </r>
  <r>
    <n v="35039"/>
    <m/>
    <x v="139"/>
    <n v="59501"/>
    <n v="59501"/>
    <x v="47"/>
    <x v="0"/>
    <s v="CVAS"/>
    <x v="0"/>
    <x v="0"/>
    <s v="Light TV"/>
    <s v="Light"/>
    <s v="Light TV"/>
    <x v="0"/>
    <s v="INACTIVE"/>
    <s v="YES"/>
    <n v="37631"/>
    <s v="Taquilla X6"/>
    <s v="NIVEL 58 (2.99 Euros)"/>
    <n v="58"/>
    <s v="Weekly subscription"/>
    <n v="908"/>
    <n v="2.99"/>
    <n v="0.3"/>
    <n v="0.7"/>
    <m/>
    <m/>
    <s v=""/>
    <s v="TAQUILLAS"/>
  </r>
  <r>
    <n v="35041"/>
    <m/>
    <x v="140"/>
    <n v="59601"/>
    <n v="59601"/>
    <x v="47"/>
    <x v="0"/>
    <s v="CVAS"/>
    <x v="0"/>
    <x v="0"/>
    <s v="Light TV"/>
    <s v="Light"/>
    <s v="Light TV"/>
    <x v="0"/>
    <s v="INACTIVE"/>
    <s v="YES"/>
    <n v="37632"/>
    <s v="Taquilla X7"/>
    <s v="NIVEL 58 (2.99 Euros)"/>
    <n v="58"/>
    <s v="Weekly subscription"/>
    <n v="908"/>
    <n v="2.99"/>
    <n v="0.3"/>
    <n v="0.7"/>
    <m/>
    <m/>
    <s v=""/>
    <s v="TAQUILLAS"/>
  </r>
  <r>
    <n v="35043"/>
    <m/>
    <x v="141"/>
    <n v="59201"/>
    <n v="59201"/>
    <x v="47"/>
    <x v="0"/>
    <s v="CVAS"/>
    <x v="0"/>
    <x v="0"/>
    <s v="Light TV"/>
    <s v="Light"/>
    <s v="Light TV"/>
    <x v="0"/>
    <s v="INACTIVE"/>
    <s v="YES"/>
    <n v="37633"/>
    <s v="Taquilla X3"/>
    <s v="NIVEL 58 (2.99 Euros)"/>
    <n v="58"/>
    <s v="Weekly subscription"/>
    <n v="908"/>
    <n v="2.99"/>
    <n v="0.3"/>
    <n v="0.7"/>
    <m/>
    <m/>
    <s v=""/>
    <s v="TAQUILLAS"/>
  </r>
  <r>
    <n v="35293"/>
    <m/>
    <x v="101"/>
    <n v="29401"/>
    <n v="29401"/>
    <x v="112"/>
    <x v="40"/>
    <s v="CVAS"/>
    <x v="3"/>
    <x v="3"/>
    <s v=""/>
    <s v="Games"/>
    <s v=""/>
    <x v="8"/>
    <s v="ACTIVE"/>
    <s v="YES"/>
    <n v="34085"/>
    <s v="Susc Real Network"/>
    <s v="NIVEL 0 (0 E)"/>
    <n v="0"/>
    <s v="Monthly subscription"/>
    <n v="424"/>
    <n v="0"/>
    <m/>
    <m/>
    <m/>
    <m/>
    <s v=""/>
    <s v="SUSC REAL NETWORK"/>
  </r>
  <r>
    <n v="35298"/>
    <n v="32680"/>
    <x v="122"/>
    <n v="47701"/>
    <n v="47701"/>
    <x v="113"/>
    <x v="56"/>
    <s v="CVAS"/>
    <x v="3"/>
    <x v="3"/>
    <s v=""/>
    <s v="Games"/>
    <s v=""/>
    <x v="19"/>
    <s v="ACTIVE"/>
    <s v="YES"/>
    <n v="35710"/>
    <s v="Amigo Games"/>
    <s v="NIVEL 0 (0 Euros)"/>
    <n v="0"/>
    <s v="Weekly subscription"/>
    <n v="641"/>
    <n v="0"/>
    <m/>
    <m/>
    <m/>
    <m/>
    <s v=""/>
    <s v="CONNECT2MEDIA"/>
  </r>
  <r>
    <n v="35299"/>
    <m/>
    <x v="123"/>
    <n v="29301"/>
    <n v="29301"/>
    <x v="114"/>
    <x v="57"/>
    <s v="CVAS"/>
    <x v="3"/>
    <x v="3"/>
    <s v=""/>
    <s v="Games"/>
    <s v=""/>
    <x v="8"/>
    <s v="ACTIVE"/>
    <s v="YES"/>
    <n v="35824"/>
    <s v="Susc Juegos Sexy"/>
    <s v="NIVEL 0 (0 Euros)"/>
    <n v="0"/>
    <s v="Weekly subscription"/>
    <n v="641"/>
    <n v="0"/>
    <m/>
    <m/>
    <m/>
    <m/>
    <s v=""/>
    <s v="JUEGOS SEXY"/>
  </r>
  <r>
    <n v="35308"/>
    <m/>
    <x v="142"/>
    <n v="25801"/>
    <n v="25801"/>
    <x v="115"/>
    <x v="87"/>
    <s v="CVAS"/>
    <x v="3"/>
    <x v="3"/>
    <s v=""/>
    <s v="Games"/>
    <s v=""/>
    <x v="4"/>
    <s v="ACTIVE"/>
    <s v="YES"/>
    <n v="37824"/>
    <s v="Extra Juego Gloft"/>
    <s v="NIVEL 54 (0.99 Euros)"/>
    <n v="54"/>
    <s v="PPD"/>
    <n v="1"/>
    <n v="0.99"/>
    <n v="0.5"/>
    <n v="0.5"/>
    <m/>
    <m/>
    <s v=""/>
    <s v="FUN@TIC GAMES"/>
  </r>
  <r>
    <n v="35313"/>
    <m/>
    <x v="142"/>
    <n v="25802"/>
    <n v="25802"/>
    <x v="116"/>
    <x v="87"/>
    <s v="CVAS"/>
    <x v="3"/>
    <x v="3"/>
    <s v=""/>
    <s v="Games"/>
    <s v=""/>
    <x v="4"/>
    <s v="ACTIVE"/>
    <s v="YES"/>
    <n v="37825"/>
    <s v="Extra Juego Gloft"/>
    <s v="NIVEL 56 (1.99 Euros)"/>
    <n v="56"/>
    <s v="PPD"/>
    <n v="1"/>
    <n v="1.99"/>
    <n v="0.5"/>
    <n v="0.5"/>
    <m/>
    <m/>
    <s v=""/>
    <s v="FUN@TIC GAMES"/>
  </r>
  <r>
    <n v="35315"/>
    <m/>
    <x v="142"/>
    <n v="25803"/>
    <n v="25803"/>
    <x v="116"/>
    <x v="87"/>
    <s v="CVAS"/>
    <x v="3"/>
    <x v="3"/>
    <s v=""/>
    <s v="Games"/>
    <s v=""/>
    <x v="4"/>
    <s v="ACTIVE"/>
    <s v="YES"/>
    <n v="37826"/>
    <s v="Extra Juego Gloft"/>
    <s v="NIVEL 58 (2.99 Euros)"/>
    <n v="58"/>
    <s v="PPD"/>
    <n v="1"/>
    <n v="2.99"/>
    <n v="0.5"/>
    <n v="0.5"/>
    <m/>
    <m/>
    <s v=""/>
    <s v="FUN@TIC GAMES"/>
  </r>
  <r>
    <n v="35317"/>
    <m/>
    <x v="142"/>
    <n v="25804"/>
    <n v="25804"/>
    <x v="116"/>
    <x v="87"/>
    <s v="CVAS"/>
    <x v="3"/>
    <x v="3"/>
    <s v=""/>
    <s v="Games"/>
    <s v=""/>
    <x v="4"/>
    <s v="ACTIVE"/>
    <s v="YES"/>
    <n v="37827"/>
    <s v="Extra Juego Gloft"/>
    <s v="NIVEL 62 (4.99 Euros)"/>
    <n v="62"/>
    <s v="PPD"/>
    <n v="1"/>
    <n v="4.99"/>
    <n v="0.5"/>
    <n v="0.5"/>
    <m/>
    <m/>
    <s v=""/>
    <s v="FUN@TIC GAMES"/>
  </r>
  <r>
    <n v="35357"/>
    <m/>
    <x v="143"/>
    <n v="25302"/>
    <n v="25302"/>
    <x v="117"/>
    <x v="88"/>
    <s v="CVAS"/>
    <x v="4"/>
    <x v="4"/>
    <s v=""/>
    <s v="Music"/>
    <s v=""/>
    <x v="13"/>
    <s v="ACTIVE"/>
    <s v="YES"/>
    <n v="37869"/>
    <s v="Musica Latina"/>
    <s v="NIVEL 54 (0.99 Euros)"/>
    <n v="54"/>
    <s v="Weekly subscription"/>
    <n v="908"/>
    <n v="0.99"/>
    <n v="0.8"/>
    <n v="0.2"/>
    <m/>
    <m/>
    <s v=""/>
    <s v="MUSICA LATINA"/>
  </r>
  <r>
    <n v="35551"/>
    <m/>
    <x v="144"/>
    <n v="35101"/>
    <n v="35101"/>
    <x v="47"/>
    <x v="0"/>
    <s v="CVAS"/>
    <x v="0"/>
    <x v="0"/>
    <s v="Light Hard"/>
    <s v="Light"/>
    <s v="Light Hard"/>
    <x v="15"/>
    <s v="ACTIVE"/>
    <s v="YES"/>
    <n v="38024"/>
    <s v="Porno Callejeros"/>
    <s v="NIVEL 58 (2.99 Euros)"/>
    <n v="58"/>
    <s v="Weekly subscription"/>
    <n v="908"/>
    <n v="2.99"/>
    <n v="0.3"/>
    <n v="0.7"/>
    <m/>
    <m/>
    <s v=""/>
    <s v="PORNO CALLEJEROS"/>
  </r>
  <r>
    <n v="35869"/>
    <n v="35008"/>
    <x v="133"/>
    <n v="46902"/>
    <n v="46902"/>
    <x v="118"/>
    <x v="84"/>
    <s v="CVAS"/>
    <x v="4"/>
    <x v="4"/>
    <s v=""/>
    <s v="Music"/>
    <s v=""/>
    <x v="13"/>
    <s v="ACTIVE"/>
    <s v="YES"/>
    <n v="37604"/>
    <s v="Musica Dance"/>
    <s v="NIVEL 0 (0 E)"/>
    <n v="0"/>
    <s v="Weekly subscription"/>
    <n v="641"/>
    <n v="0"/>
    <m/>
    <m/>
    <m/>
    <m/>
    <s v=""/>
    <s v="MUSICA DANCE"/>
  </r>
  <r>
    <n v="35870"/>
    <n v="35014"/>
    <x v="134"/>
    <n v="47102"/>
    <n v="47102"/>
    <x v="119"/>
    <x v="85"/>
    <s v="CVAS"/>
    <x v="4"/>
    <x v="4"/>
    <s v=""/>
    <s v="Music"/>
    <s v=""/>
    <x v="13"/>
    <s v="ACTIVE"/>
    <s v="YES"/>
    <n v="37607"/>
    <s v="Musica Flamenca"/>
    <s v="NIVEL 0 (0 E)"/>
    <n v="0"/>
    <s v="Weekly subscription"/>
    <n v="641"/>
    <n v="0"/>
    <m/>
    <m/>
    <m/>
    <m/>
    <s v=""/>
    <s v="MUSICA FLAMENCO"/>
  </r>
  <r>
    <n v="35871"/>
    <n v="35020"/>
    <x v="135"/>
    <n v="47002"/>
    <n v="47002"/>
    <x v="120"/>
    <x v="86"/>
    <s v="CVAS"/>
    <x v="4"/>
    <x v="4"/>
    <s v=""/>
    <s v="Music"/>
    <s v=""/>
    <x v="13"/>
    <s v="ACTIVE"/>
    <s v="YES"/>
    <n v="37610"/>
    <s v="Musica Española"/>
    <s v="NIVEL 0 (0 E)"/>
    <n v="0"/>
    <s v="Weekly subscription"/>
    <n v="641"/>
    <n v="0"/>
    <m/>
    <m/>
    <m/>
    <m/>
    <s v=""/>
    <s v="MUSICA ESPANOLA"/>
  </r>
  <r>
    <n v="35872"/>
    <n v="35357"/>
    <x v="143"/>
    <n v="25301"/>
    <n v="25301"/>
    <x v="121"/>
    <x v="88"/>
    <s v="CVAS"/>
    <x v="4"/>
    <x v="4"/>
    <s v=""/>
    <s v="Music"/>
    <s v=""/>
    <x v="13"/>
    <s v="ACTIVE"/>
    <s v="YES"/>
    <n v="37869"/>
    <s v="Musica Latina"/>
    <s v="NIVEL 0 (0 E)"/>
    <n v="0"/>
    <s v="Weekly subscription"/>
    <n v="641"/>
    <n v="0"/>
    <m/>
    <m/>
    <m/>
    <m/>
    <s v=""/>
    <s v="MUSICA LATINA"/>
  </r>
  <r>
    <n v="35887"/>
    <m/>
    <x v="145"/>
    <n v="58801"/>
    <n v="58801"/>
    <x v="47"/>
    <x v="0"/>
    <s v="CVAS"/>
    <x v="0"/>
    <x v="0"/>
    <s v="Light TV"/>
    <s v="Light"/>
    <s v="Light TV"/>
    <x v="15"/>
    <s v="ACTIVE"/>
    <s v="YES"/>
    <n v="38184"/>
    <s v="Superescenas XXX"/>
    <s v="NIVEL 12 (5 E)"/>
    <n v="12"/>
    <s v="Weekly subscription"/>
    <n v="908"/>
    <n v="5"/>
    <n v="0.3"/>
    <n v="0.7"/>
    <m/>
    <m/>
    <s v=""/>
    <s v="SUPERESCENAS XXX"/>
  </r>
  <r>
    <n v="36211"/>
    <m/>
    <x v="102"/>
    <n v="34201"/>
    <n v="34201"/>
    <x v="122"/>
    <x v="41"/>
    <s v="CVAS"/>
    <x v="3"/>
    <x v="3"/>
    <s v=""/>
    <s v="Games"/>
    <s v=""/>
    <x v="8"/>
    <s v="ACTIVE"/>
    <s v="YES"/>
    <n v="38548"/>
    <s v="Susc Sem Play2Me"/>
    <s v="NIVEL 58 (2.99 Euros)"/>
    <n v="58"/>
    <s v="Weekly subscription"/>
    <n v="908"/>
    <n v="2.99"/>
    <n v="0.5"/>
    <n v="0.5"/>
    <m/>
    <m/>
    <s v=""/>
    <s v="PLAY2ME"/>
  </r>
  <r>
    <n v="36251"/>
    <m/>
    <x v="146"/>
    <n v="43701"/>
    <n v="43701"/>
    <x v="123"/>
    <x v="89"/>
    <s v="CVAS"/>
    <x v="4"/>
    <x v="4"/>
    <s v=""/>
    <s v="Music"/>
    <s v=""/>
    <x v="16"/>
    <s v="ACTIVE"/>
    <s v="YES"/>
    <n v="38586"/>
    <s v="Musica Infantil"/>
    <s v="NIVEL 55 (1.49 Euros)"/>
    <n v="55"/>
    <s v="Weekly subscription"/>
    <n v="908"/>
    <n v="1.49"/>
    <n v="0.7"/>
    <n v="0.3"/>
    <m/>
    <m/>
    <s v=""/>
    <s v="MUSICINFATILSUSC"/>
  </r>
  <r>
    <n v="36268"/>
    <m/>
    <x v="147"/>
    <n v="38401"/>
    <n v="38401"/>
    <x v="47"/>
    <x v="0"/>
    <s v="CVAS"/>
    <x v="0"/>
    <x v="0"/>
    <s v="Light Hard"/>
    <s v="Light"/>
    <s v="Light Hard"/>
    <x v="15"/>
    <s v="ACTIVE"/>
    <s v="YES"/>
    <n v="38604"/>
    <s v="Mansion de Nacho Vidal"/>
    <s v="NIVEL 58 (2.99 Euros)"/>
    <n v="58"/>
    <s v="Weekly subscription"/>
    <n v="908"/>
    <n v="2.99"/>
    <n v="0.4"/>
    <n v="0.6"/>
    <m/>
    <m/>
    <s v=""/>
    <s v="MANSION DE NACHO VIDAL"/>
  </r>
  <r>
    <n v="36308"/>
    <m/>
    <x v="148"/>
    <n v="44901"/>
    <n v="44901"/>
    <x v="124"/>
    <x v="0"/>
    <s v="CVAS"/>
    <x v="0"/>
    <x v="0"/>
    <s v="Light Hard"/>
    <s v="Light"/>
    <s v="Light Hard"/>
    <x v="9"/>
    <s v="INACTIVE"/>
    <s v="YES"/>
    <n v="38624"/>
    <s v="Playboy"/>
    <s v="NIVEL 58 (2.99 Euros)"/>
    <n v="58"/>
    <s v="Weekly subscription"/>
    <n v="908"/>
    <n v="2.99"/>
    <n v="0.3"/>
    <n v="0.7"/>
    <m/>
    <m/>
    <s v=""/>
    <s v="PLAYBOY"/>
  </r>
  <r>
    <n v="36310"/>
    <m/>
    <x v="148"/>
    <n v="44902"/>
    <n v="44902"/>
    <x v="26"/>
    <x v="0"/>
    <s v="CVAS"/>
    <x v="0"/>
    <x v="0"/>
    <s v="Light Hard"/>
    <s v="Light"/>
    <s v="Light Hard"/>
    <x v="9"/>
    <s v="ACTIVE"/>
    <s v="YES"/>
    <n v="38625"/>
    <s v="Playboy"/>
    <s v="NIVEL 11 (3 E)"/>
    <n v="11"/>
    <s v="PPD"/>
    <n v="1"/>
    <n v="3"/>
    <n v="0.3"/>
    <n v="0.7"/>
    <m/>
    <m/>
    <s v=""/>
    <s v="PLAYBOY"/>
  </r>
  <r>
    <n v="36394"/>
    <m/>
    <x v="149"/>
    <n v="44701"/>
    <n v="44701"/>
    <x v="47"/>
    <x v="0"/>
    <s v="CVAS"/>
    <x v="0"/>
    <x v="0"/>
    <s v="Light Hard"/>
    <s v="Light"/>
    <s v="Light Hard"/>
    <x v="9"/>
    <s v="ACTIVE"/>
    <s v="YES"/>
    <n v="38686"/>
    <s v="Penthouse"/>
    <s v="NIVEL 58 (2.99 Euros)"/>
    <n v="58"/>
    <s v="Weekly subscription"/>
    <n v="908"/>
    <n v="2.99"/>
    <n v="0.3"/>
    <n v="0.7"/>
    <m/>
    <m/>
    <s v=""/>
    <s v="PENTHOUSE"/>
  </r>
  <r>
    <n v="36396"/>
    <m/>
    <x v="149"/>
    <n v="44702"/>
    <n v="44702"/>
    <x v="26"/>
    <x v="0"/>
    <s v="CVAS"/>
    <x v="0"/>
    <x v="0"/>
    <s v="Light Hard"/>
    <s v="Light"/>
    <s v="Light Hard"/>
    <x v="9"/>
    <s v="ACTIVE"/>
    <s v="YES"/>
    <n v="38687"/>
    <s v="Penthouse"/>
    <s v="NIVEL 11 (3 E)"/>
    <n v="11"/>
    <s v="PPD"/>
    <n v="1"/>
    <n v="3"/>
    <n v="0.3"/>
    <n v="0.7"/>
    <m/>
    <m/>
    <s v=""/>
    <s v="PENTHOUSE"/>
  </r>
  <r>
    <n v="36432"/>
    <m/>
    <x v="126"/>
    <n v="46715"/>
    <n v="46715"/>
    <x v="125"/>
    <x v="90"/>
    <s v="CVAS"/>
    <x v="4"/>
    <x v="4"/>
    <s v=""/>
    <s v="Music"/>
    <s v=""/>
    <x v="13"/>
    <s v="ACTIVE"/>
    <s v="YES"/>
    <n v="38707"/>
    <s v="GNFTwar199"/>
    <s v="NIVEL 56 (1.99 Euros)"/>
    <n v="56"/>
    <s v="PPD"/>
    <n v="1"/>
    <n v="1.99"/>
    <n v="0.21390000000000001"/>
    <n v="0.19390000000000002"/>
    <n v="0.46229999999999999"/>
    <n v="0.13"/>
    <s v="WARNER"/>
    <s v="GNFTWAR199"/>
  </r>
  <r>
    <n v="36649"/>
    <m/>
    <x v="150"/>
    <n v="44401"/>
    <n v="44401"/>
    <x v="126"/>
    <x v="91"/>
    <s v="CVAS"/>
    <x v="8"/>
    <x v="6"/>
    <s v=""/>
    <s v="Others"/>
    <s v="News"/>
    <x v="20"/>
    <s v="ACTIVE"/>
    <s v="YES"/>
    <n v="38824"/>
    <s v="Noticias Emocion"/>
    <s v="NIVEL 54 (0.99 Euros)"/>
    <n v="54"/>
    <s v="Weekly subscription"/>
    <n v="908"/>
    <n v="0.99"/>
    <n v="0.5"/>
    <n v="0.5"/>
    <m/>
    <m/>
    <s v=""/>
    <s v="NOTICIAS EMOCION"/>
  </r>
  <r>
    <n v="36827"/>
    <m/>
    <x v="151"/>
    <n v="29201"/>
    <n v="29201"/>
    <x v="127"/>
    <x v="92"/>
    <s v="CVAS"/>
    <x v="3"/>
    <x v="3"/>
    <s v=""/>
    <s v="Games"/>
    <s v=""/>
    <x v="8"/>
    <s v="ACTIVE"/>
    <s v="YES"/>
    <n v="38904"/>
    <s v="Juegos en tu movil"/>
    <s v="NIVEL 58 (2.99 Euros)"/>
    <n v="58"/>
    <s v="Weekly subscription"/>
    <n v="908"/>
    <n v="2.99"/>
    <n v="0.5"/>
    <n v="0.5"/>
    <m/>
    <m/>
    <s v=""/>
    <s v="JUEGO EN TU MOVIL"/>
  </r>
  <r>
    <n v="36894"/>
    <m/>
    <x v="124"/>
    <n v="47301"/>
    <n v="47301"/>
    <x v="128"/>
    <x v="93"/>
    <s v="CVAS"/>
    <x v="3"/>
    <x v="3"/>
    <s v=""/>
    <s v="Games"/>
    <s v=""/>
    <x v="8"/>
    <s v="ACTIVE"/>
    <s v="YES"/>
    <n v="38927"/>
    <s v="JuegoCompletoXHTML0.99"/>
    <s v="NIVEL 54 (0.99 Euros)"/>
    <n v="54"/>
    <s v="PPD"/>
    <n v="1"/>
    <n v="0.99"/>
    <n v="0.5"/>
    <n v="0.5"/>
    <m/>
    <m/>
    <s v=""/>
    <s v="EMBEBIDO MOBIG"/>
  </r>
  <r>
    <n v="36896"/>
    <m/>
    <x v="124"/>
    <n v="47302"/>
    <n v="47302"/>
    <x v="129"/>
    <x v="94"/>
    <s v="CVAS"/>
    <x v="3"/>
    <x v="3"/>
    <s v=""/>
    <s v="Games"/>
    <s v=""/>
    <x v="8"/>
    <s v="ACTIVE"/>
    <s v="YES"/>
    <n v="38928"/>
    <s v="Juego Play2me"/>
    <s v="NIVEL 56 (1.99 Euros)"/>
    <n v="56"/>
    <s v="PPD"/>
    <n v="1"/>
    <n v="1.99"/>
    <m/>
    <m/>
    <m/>
    <m/>
    <s v=""/>
    <s v="EMBEBIDO MOBIG"/>
  </r>
  <r>
    <n v="36898"/>
    <m/>
    <x v="124"/>
    <n v="47303"/>
    <n v="47303"/>
    <x v="130"/>
    <x v="95"/>
    <s v="CVAS"/>
    <x v="3"/>
    <x v="3"/>
    <s v=""/>
    <s v="Games"/>
    <s v=""/>
    <x v="8"/>
    <s v="ACTIVE"/>
    <s v="YES"/>
    <n v="38929"/>
    <s v="JuegoCompletoXHTML2.99"/>
    <s v="NIVEL 58 (2.99 Euros)"/>
    <n v="58"/>
    <s v="PPD"/>
    <n v="1"/>
    <n v="2.99"/>
    <n v="0.5"/>
    <n v="0.5"/>
    <m/>
    <m/>
    <s v=""/>
    <s v="EMBEBIDO MOBIG"/>
  </r>
  <r>
    <n v="36900"/>
    <m/>
    <x v="124"/>
    <n v="47304"/>
    <n v="47304"/>
    <x v="131"/>
    <x v="96"/>
    <s v="CVAS"/>
    <x v="3"/>
    <x v="3"/>
    <s v=""/>
    <s v="Games"/>
    <s v=""/>
    <x v="8"/>
    <s v="ACTIVE"/>
    <s v="YES"/>
    <n v="38930"/>
    <s v="Juego Play2me"/>
    <s v="NIVEL 60 (3.99 Euros)"/>
    <n v="60"/>
    <s v="PPD"/>
    <n v="1"/>
    <n v="3.99"/>
    <n v="0.5"/>
    <n v="0.5"/>
    <m/>
    <m/>
    <s v=""/>
    <s v="EMBEBIDO MOBIG"/>
  </r>
  <r>
    <n v="37195"/>
    <n v="31876"/>
    <x v="85"/>
    <n v="48201"/>
    <n v="48201"/>
    <x v="132"/>
    <x v="0"/>
    <s v="CVAS"/>
    <x v="0"/>
    <x v="0"/>
    <s v="Light Soft"/>
    <s v="Light"/>
    <s v="Light Soft"/>
    <x v="10"/>
    <s v="ACTIVE"/>
    <s v="YES"/>
    <n v="35014"/>
    <s v="Ex Novias"/>
    <s v="NIVEL 0 (0 Euros)"/>
    <n v="0"/>
    <s v="Weekly subscription"/>
    <n v="641"/>
    <n v="0"/>
    <m/>
    <m/>
    <m/>
    <m/>
    <s v=""/>
    <s v="EX NOVIAS"/>
  </r>
  <r>
    <n v="37212"/>
    <n v="31568"/>
    <x v="110"/>
    <n v="50201"/>
    <n v="50201"/>
    <x v="133"/>
    <x v="0"/>
    <s v="CVAS"/>
    <x v="0"/>
    <x v="0"/>
    <s v="Light Hard"/>
    <s v="Light"/>
    <s v="Light Hard"/>
    <x v="10"/>
    <s v="ACTIVE"/>
    <s v="YES"/>
    <n v="34787"/>
    <s v="Digital Sin"/>
    <s v="NIVEL 0 (0 Euros)"/>
    <n v="0"/>
    <s v="Weekly subscription"/>
    <n v="641"/>
    <n v="0"/>
    <m/>
    <m/>
    <m/>
    <m/>
    <s v=""/>
    <s v="DIGITAL SIN"/>
  </r>
  <r>
    <n v="37288"/>
    <m/>
    <x v="142"/>
    <n v="25805"/>
    <n v="25805"/>
    <x v="134"/>
    <x v="87"/>
    <s v="CVAS"/>
    <x v="3"/>
    <x v="3"/>
    <s v=""/>
    <s v="Games"/>
    <s v=""/>
    <x v="4"/>
    <s v="ACTIVE"/>
    <s v="YES"/>
    <n v="39024"/>
    <s v="Extra Juego Gloft"/>
    <s v="NIVEL 72 (9.99 Euros)"/>
    <n v="72"/>
    <s v="PPD"/>
    <n v="1"/>
    <n v="9.99"/>
    <n v="0.5"/>
    <n v="0.5"/>
    <m/>
    <m/>
    <s v=""/>
    <s v="FUN@TIC GAMES"/>
  </r>
  <r>
    <n v="37290"/>
    <m/>
    <x v="142"/>
    <n v="25806"/>
    <n v="25806"/>
    <x v="134"/>
    <x v="87"/>
    <s v="CVAS"/>
    <x v="3"/>
    <x v="3"/>
    <s v=""/>
    <s v="Games"/>
    <s v=""/>
    <x v="4"/>
    <s v="ACTIVE"/>
    <s v="YES"/>
    <n v="39025"/>
    <s v="Extra Juego Gloft"/>
    <s v="NIVEL 82 (14.99 Euros)"/>
    <n v="82"/>
    <s v="PPD"/>
    <n v="1"/>
    <n v="14.99"/>
    <n v="0.5"/>
    <n v="0.5"/>
    <m/>
    <m/>
    <s v=""/>
    <s v="FUN@TIC GAMES"/>
  </r>
  <r>
    <n v="37448"/>
    <m/>
    <x v="75"/>
    <n v="67"/>
    <n v="21367"/>
    <x v="135"/>
    <x v="97"/>
    <s v="CVAS"/>
    <x v="3"/>
    <x v="3"/>
    <s v=""/>
    <s v="Games"/>
    <s v=""/>
    <x v="4"/>
    <s v="ACTIVE"/>
    <s v="YES"/>
    <n v="39124"/>
    <s v="Juegos Gameloft "/>
    <s v="NIVEL 55 (1.49 Euros)"/>
    <n v="55"/>
    <s v="Weekly subscription"/>
    <n v="908"/>
    <n v="1.49"/>
    <n v="0.5"/>
    <n v="0.5"/>
    <m/>
    <m/>
    <s v=""/>
    <s v="GAMELOFT GAMES"/>
  </r>
  <r>
    <n v="37449"/>
    <n v="37448"/>
    <x v="75"/>
    <n v="68"/>
    <n v="21368"/>
    <x v="136"/>
    <x v="97"/>
    <s v="CVAS"/>
    <x v="3"/>
    <x v="3"/>
    <s v=""/>
    <s v="Games"/>
    <s v=""/>
    <x v="4"/>
    <s v="ACTIVE"/>
    <s v="YES"/>
    <n v="39124"/>
    <s v="Juegos Gameloft "/>
    <s v="NIVEL 0 (0 Euros)"/>
    <n v="0"/>
    <s v="Weekly subscription"/>
    <n v="641"/>
    <m/>
    <m/>
    <m/>
    <m/>
    <m/>
    <s v=""/>
    <s v="GAMELOFT GAMES"/>
  </r>
  <r>
    <n v="37508"/>
    <m/>
    <x v="152"/>
    <n v="59701"/>
    <n v="59701"/>
    <x v="47"/>
    <x v="0"/>
    <s v="CVAS"/>
    <x v="0"/>
    <x v="0"/>
    <s v="Light TV"/>
    <s v="Light"/>
    <s v="Light TV"/>
    <x v="15"/>
    <s v="INACTIVE"/>
    <s v="YES"/>
    <n v="39164"/>
    <s v="Taquilla X8"/>
    <s v="NIVEL 58 (2.99 Euros)"/>
    <n v="58"/>
    <s v="Weekly subscription"/>
    <n v="908"/>
    <n v="2.99"/>
    <n v="0.3"/>
    <n v="0.7"/>
    <m/>
    <m/>
    <s v=""/>
    <s v="TAQUILLAS"/>
  </r>
  <r>
    <n v="37512"/>
    <m/>
    <x v="153"/>
    <n v="59801"/>
    <n v="59801"/>
    <x v="47"/>
    <x v="0"/>
    <s v="CVAS"/>
    <x v="0"/>
    <x v="0"/>
    <s v="Light TV"/>
    <s v="Light"/>
    <s v="Light TV"/>
    <x v="15"/>
    <s v="INACTIVE"/>
    <s v="YES"/>
    <n v="39165"/>
    <s v="Taquilla X9"/>
    <s v="NIVEL 12 (5 E)"/>
    <n v="12"/>
    <s v="Weekly subscription"/>
    <n v="908"/>
    <n v="5"/>
    <n v="0.3"/>
    <n v="0.7"/>
    <m/>
    <m/>
    <s v=""/>
    <s v="TAQUILLAS"/>
  </r>
  <r>
    <n v="37516"/>
    <m/>
    <x v="154"/>
    <n v="58901"/>
    <n v="58901"/>
    <x v="47"/>
    <x v="0"/>
    <s v="CVAS"/>
    <x v="0"/>
    <x v="0"/>
    <s v="Light TV"/>
    <s v="Light"/>
    <s v="Light TV"/>
    <x v="15"/>
    <s v="INACTIVE"/>
    <s v="YES"/>
    <n v="39166"/>
    <s v="Taquilla X10"/>
    <s v="NIVEL 58 (2.99 Euros)"/>
    <n v="58"/>
    <s v="Weekly subscription"/>
    <n v="908"/>
    <n v="2.99"/>
    <n v="0.3"/>
    <n v="0.7"/>
    <m/>
    <m/>
    <s v=""/>
    <s v="TAQUILLAS"/>
  </r>
  <r>
    <n v="37841"/>
    <m/>
    <x v="155"/>
    <n v="94"/>
    <n v="94"/>
    <x v="137"/>
    <x v="98"/>
    <s v="CVAS"/>
    <x v="3"/>
    <x v="3"/>
    <s v=""/>
    <s v="Games"/>
    <s v=""/>
    <x v="11"/>
    <s v="ACTIVE"/>
    <s v="YES"/>
    <n v="39369"/>
    <s v="Tap to fun"/>
    <s v="NIVEL 58 (2.99 Euros)"/>
    <n v="58"/>
    <s v="Weekly subscription"/>
    <n v="908"/>
    <n v="2.99"/>
    <n v="0.55000000000000004"/>
    <n v="0.45"/>
    <m/>
    <m/>
    <s v=""/>
    <s v="TAP TO FUN"/>
  </r>
  <r>
    <n v="37843"/>
    <m/>
    <x v="156"/>
    <n v="91"/>
    <n v="91"/>
    <x v="137"/>
    <x v="99"/>
    <s v="CVAS"/>
    <x v="9"/>
    <x v="2"/>
    <s v=""/>
    <s v="Others"/>
    <s v="Free Time"/>
    <x v="11"/>
    <s v="ACTIVE"/>
    <s v="YES"/>
    <n v="39370"/>
    <s v="Tap the stars"/>
    <s v="NIVEL 56 (1.99 Euros)"/>
    <n v="56"/>
    <s v="Weekly subscription"/>
    <n v="908"/>
    <n v="1.99"/>
    <n v="0.5"/>
    <n v="0.5"/>
    <m/>
    <m/>
    <s v=""/>
    <s v="TAP TO STARS"/>
  </r>
  <r>
    <n v="37863"/>
    <m/>
    <x v="157"/>
    <n v="57301"/>
    <n v="57301"/>
    <x v="137"/>
    <x v="0"/>
    <s v="CVAS"/>
    <x v="0"/>
    <x v="0"/>
    <s v="Light Hard"/>
    <s v="Light"/>
    <s v="Light Hard"/>
    <x v="21"/>
    <s v="ACTIVE"/>
    <s v="YES"/>
    <n v="39390"/>
    <s v="Xtreme Movies"/>
    <s v="NIVEL 58 (2.99 Euros)"/>
    <n v="58"/>
    <s v="Weekly subscription"/>
    <n v="908"/>
    <n v="2.99"/>
    <n v="0.3"/>
    <n v="0.7"/>
    <m/>
    <m/>
    <s v=""/>
    <s v="XTREME MOVIES"/>
  </r>
  <r>
    <n v="37922"/>
    <m/>
    <x v="158"/>
    <n v="3601"/>
    <n v="3601"/>
    <x v="138"/>
    <x v="100"/>
    <s v="CVAS"/>
    <x v="3"/>
    <x v="3"/>
    <s v=""/>
    <s v="Games"/>
    <s v=""/>
    <x v="8"/>
    <s v="ACTIVE"/>
    <s v="YES"/>
    <n v="39450"/>
    <s v="Go Play"/>
    <s v="NIVEL 15 (0.75)"/>
    <n v="15"/>
    <s v="PPD"/>
    <n v="1"/>
    <n v="0.75"/>
    <n v="0.5"/>
    <n v="0.5"/>
    <m/>
    <m/>
    <s v=""/>
    <s v="JUEGO GOPLAY"/>
  </r>
  <r>
    <n v="37924"/>
    <m/>
    <x v="158"/>
    <n v="3602"/>
    <n v="3602"/>
    <x v="139"/>
    <x v="101"/>
    <s v="CVAS"/>
    <x v="3"/>
    <x v="3"/>
    <s v=""/>
    <s v="Games"/>
    <s v=""/>
    <x v="8"/>
    <s v="ACTIVE"/>
    <s v="YES"/>
    <n v="39451"/>
    <s v="Go Play"/>
    <s v="NIVEL 54 (0.99 Euros)"/>
    <n v="54"/>
    <s v="PPD"/>
    <n v="1"/>
    <n v="0.99"/>
    <n v="0.5"/>
    <n v="0.5"/>
    <m/>
    <m/>
    <s v=""/>
    <s v="JUEGO GOPLAY"/>
  </r>
  <r>
    <n v="37941"/>
    <m/>
    <x v="158"/>
    <n v="3603"/>
    <n v="3603"/>
    <x v="140"/>
    <x v="102"/>
    <s v="CVAS"/>
    <x v="3"/>
    <x v="3"/>
    <s v=""/>
    <s v="Games"/>
    <s v=""/>
    <x v="8"/>
    <s v="ACTIVE"/>
    <s v="YES"/>
    <n v="39469"/>
    <s v="Go Play"/>
    <s v="NIVEL 56 (1.99 Euros)"/>
    <n v="56"/>
    <s v="PPD"/>
    <n v="1"/>
    <n v="1.99"/>
    <n v="0.5"/>
    <n v="0.5"/>
    <m/>
    <m/>
    <s v=""/>
    <s v="JUEGO GOPLAY"/>
  </r>
  <r>
    <n v="37943"/>
    <m/>
    <x v="158"/>
    <n v="3604"/>
    <n v="3604"/>
    <x v="141"/>
    <x v="103"/>
    <s v="CVAS"/>
    <x v="3"/>
    <x v="3"/>
    <s v=""/>
    <s v="Games"/>
    <s v=""/>
    <x v="8"/>
    <s v="ACTIVE"/>
    <s v="YES"/>
    <n v="39470"/>
    <s v="Go Play"/>
    <s v="NIVEL 57 (2.49 Euros)"/>
    <n v="57"/>
    <s v="PPD"/>
    <n v="1"/>
    <n v="2.4900000000000002"/>
    <m/>
    <m/>
    <m/>
    <m/>
    <s v=""/>
    <s v="JUEGO GOPLAY"/>
  </r>
  <r>
    <n v="37945"/>
    <m/>
    <x v="158"/>
    <n v="3605"/>
    <n v="3605"/>
    <x v="142"/>
    <x v="104"/>
    <s v="CVAS"/>
    <x v="3"/>
    <x v="3"/>
    <s v=""/>
    <s v="Games"/>
    <s v=""/>
    <x v="8"/>
    <s v="ACTIVE"/>
    <s v="YES"/>
    <n v="39471"/>
    <s v="Go Play"/>
    <s v="NIVEL 58 (2.99 Euros)"/>
    <n v="58"/>
    <s v="PPD"/>
    <n v="1"/>
    <n v="2.99"/>
    <n v="0.5"/>
    <n v="0.5"/>
    <m/>
    <m/>
    <s v=""/>
    <s v="JUEGO GOPLAY"/>
  </r>
  <r>
    <n v="37947"/>
    <m/>
    <x v="159"/>
    <n v="36202"/>
    <n v="36202"/>
    <x v="143"/>
    <x v="105"/>
    <s v="CVAS"/>
    <x v="3"/>
    <x v="3"/>
    <s v=""/>
    <s v="Games"/>
    <s v=""/>
    <x v="8"/>
    <s v="ACTIVE"/>
    <s v="YES"/>
    <n v="37472"/>
    <s v="Juegos Go Play"/>
    <s v="NIVEL 55 (1.49 Euros)"/>
    <n v="55"/>
    <s v="Weekly subscription"/>
    <n v="908"/>
    <n v="1.49"/>
    <n v="0.5"/>
    <n v="0.5"/>
    <m/>
    <m/>
    <s v=""/>
    <s v="JUEGO GOPLAY"/>
  </r>
  <r>
    <n v="37951"/>
    <m/>
    <x v="158"/>
    <n v="3607"/>
    <n v="3607"/>
    <x v="144"/>
    <x v="106"/>
    <s v="CVAS"/>
    <x v="3"/>
    <x v="3"/>
    <s v=""/>
    <s v="Games"/>
    <s v=""/>
    <x v="8"/>
    <s v="ACTIVE"/>
    <s v="YES"/>
    <n v="39473"/>
    <s v="Go Play"/>
    <s v="NIVEL 60 (3.99 Euros)"/>
    <n v="60"/>
    <s v="PPD"/>
    <n v="1"/>
    <n v="3.99"/>
    <n v="0.5"/>
    <n v="0.5"/>
    <m/>
    <m/>
    <s v=""/>
    <s v="JUEGO GOPLAY"/>
  </r>
  <r>
    <n v="38661"/>
    <m/>
    <x v="160"/>
    <n v="25901"/>
    <n v="25901"/>
    <x v="145"/>
    <x v="107"/>
    <s v="CVAS"/>
    <x v="3"/>
    <x v="3"/>
    <s v=""/>
    <s v="Games"/>
    <s v=""/>
    <x v="4"/>
    <s v="ACTIVE"/>
    <s v="YES"/>
    <n v="39749"/>
    <s v="Extra juegos"/>
    <s v="NIVEL 15 (0.75)"/>
    <n v="15"/>
    <s v="PPD"/>
    <n v="1"/>
    <n v="0.75"/>
    <n v="0.5"/>
    <n v="0.5"/>
    <m/>
    <m/>
    <s v=""/>
    <s v="EMBEBIDO IN APP GAMELOFT"/>
  </r>
  <r>
    <n v="38663"/>
    <m/>
    <x v="160"/>
    <n v="25902"/>
    <n v="25902"/>
    <x v="146"/>
    <x v="107"/>
    <s v="CVAS"/>
    <x v="3"/>
    <x v="3"/>
    <s v=""/>
    <s v="Games"/>
    <s v=""/>
    <x v="4"/>
    <s v="ACTIVE"/>
    <s v="YES"/>
    <n v="39750"/>
    <s v="Extra juegos"/>
    <s v="NIVEL 54 (0.99 Euros)"/>
    <n v="54"/>
    <s v="PPD"/>
    <n v="1"/>
    <n v="0.99"/>
    <m/>
    <m/>
    <m/>
    <m/>
    <s v=""/>
    <s v="EMBEBIDO IN APP GAMELOFT"/>
  </r>
  <r>
    <n v="38665"/>
    <m/>
    <x v="160"/>
    <n v="25903"/>
    <n v="25903"/>
    <x v="147"/>
    <x v="107"/>
    <s v="CVAS"/>
    <x v="3"/>
    <x v="3"/>
    <s v=""/>
    <s v="Games"/>
    <s v=""/>
    <x v="4"/>
    <s v="ACTIVE"/>
    <s v="YES"/>
    <n v="39751"/>
    <s v="Extra juegos"/>
    <s v="NIVEL 56 (1.99 Euros)"/>
    <n v="56"/>
    <s v="PPD"/>
    <n v="1"/>
    <n v="1.99"/>
    <n v="0.5"/>
    <n v="0.5"/>
    <m/>
    <m/>
    <s v=""/>
    <s v="EMBEBIDO IN APP GAMELOFT"/>
  </r>
  <r>
    <n v="38667"/>
    <m/>
    <x v="160"/>
    <n v="25904"/>
    <n v="25904"/>
    <x v="148"/>
    <x v="107"/>
    <s v="CVAS"/>
    <x v="3"/>
    <x v="3"/>
    <s v=""/>
    <s v="Games"/>
    <s v=""/>
    <x v="4"/>
    <s v="ACTIVE"/>
    <s v="YES"/>
    <n v="39752"/>
    <s v="Extra juegos"/>
    <s v="NIVEL 60 (3.99 Euros)"/>
    <n v="60"/>
    <s v="PPD"/>
    <n v="1"/>
    <n v="3.99"/>
    <n v="0.5"/>
    <n v="0.5"/>
    <m/>
    <m/>
    <s v=""/>
    <s v="EMBEBIDO IN APP GAMELOFT"/>
  </r>
  <r>
    <n v="38681"/>
    <m/>
    <x v="160"/>
    <n v="25905"/>
    <n v="25905"/>
    <x v="149"/>
    <x v="107"/>
    <s v="CVAS"/>
    <x v="3"/>
    <x v="3"/>
    <s v=""/>
    <s v="Games"/>
    <s v=""/>
    <x v="4"/>
    <s v="ACTIVE"/>
    <s v="YES"/>
    <n v="39769"/>
    <s v="Extra juegos"/>
    <s v="NIVEL 66 (6.99 Euros)"/>
    <n v="66"/>
    <s v="PPD"/>
    <n v="1"/>
    <n v="6.99"/>
    <n v="0.5"/>
    <n v="0.5"/>
    <m/>
    <m/>
    <s v=""/>
    <s v="EMBEBIDO IN APP GAMELOFT"/>
  </r>
  <r>
    <n v="38683"/>
    <m/>
    <x v="160"/>
    <n v="25906"/>
    <n v="25906"/>
    <x v="150"/>
    <x v="107"/>
    <s v="CVAS"/>
    <x v="3"/>
    <x v="3"/>
    <s v=""/>
    <s v="Games"/>
    <s v=""/>
    <x v="4"/>
    <s v="ACTIVE"/>
    <s v="YES"/>
    <n v="39770"/>
    <s v="Extra juegos"/>
    <s v="NIVEL 68 (7.99 Euros)"/>
    <n v="68"/>
    <s v="PPD"/>
    <n v="1"/>
    <n v="7.99"/>
    <m/>
    <m/>
    <m/>
    <m/>
    <s v=""/>
    <s v="EMBEBIDO IN APP GAMELOFT"/>
  </r>
  <r>
    <n v="38685"/>
    <m/>
    <x v="160"/>
    <n v="25907"/>
    <n v="25907"/>
    <x v="151"/>
    <x v="107"/>
    <s v="CVAS"/>
    <x v="3"/>
    <x v="3"/>
    <s v=""/>
    <s v="Games"/>
    <s v=""/>
    <x v="4"/>
    <s v="ACTIVE"/>
    <s v="YES"/>
    <n v="39771"/>
    <s v="Extra juegos"/>
    <s v="NIVEL 72 (9.99 Euros)"/>
    <n v="72"/>
    <s v="PPD"/>
    <n v="1"/>
    <n v="9.99"/>
    <m/>
    <m/>
    <m/>
    <m/>
    <s v=""/>
    <s v="EMBEBIDO IN APP GAMELOFT"/>
  </r>
  <r>
    <n v="38687"/>
    <m/>
    <x v="160"/>
    <n v="25908"/>
    <n v="25908"/>
    <x v="152"/>
    <x v="107"/>
    <s v="CVAS"/>
    <x v="3"/>
    <x v="3"/>
    <s v=""/>
    <s v="Games"/>
    <s v=""/>
    <x v="4"/>
    <s v="ACTIVE"/>
    <s v="YES"/>
    <n v="39772"/>
    <s v="Extra juegos"/>
    <s v="NIVEL 82 (14.99 Euros)"/>
    <n v="82"/>
    <s v="PPD"/>
    <n v="1"/>
    <n v="14.99"/>
    <n v="0.5"/>
    <n v="0.5"/>
    <m/>
    <m/>
    <s v=""/>
    <s v="EMBEBIDO IN APP GAMELOFT"/>
  </r>
  <r>
    <n v="38903"/>
    <m/>
    <x v="161"/>
    <n v="93"/>
    <n v="93"/>
    <x v="153"/>
    <x v="108"/>
    <s v="CVAS"/>
    <x v="3"/>
    <x v="3"/>
    <s v=""/>
    <s v="Games"/>
    <s v=""/>
    <x v="11"/>
    <s v="ACTIVE"/>
    <s v="YES"/>
    <n v="39870"/>
    <s v="Tap To Fun Promo"/>
    <s v="NIVEL 56 (1.99 Euros)"/>
    <n v="56"/>
    <s v="Weekly subscription"/>
    <n v="908"/>
    <n v="1.99"/>
    <n v="0.55000000000000004"/>
    <n v="0.45"/>
    <m/>
    <m/>
    <s v=""/>
    <s v="TAP TO FUN"/>
  </r>
  <r>
    <n v="38904"/>
    <m/>
    <x v="162"/>
    <n v="92"/>
    <n v="92"/>
    <x v="154"/>
    <x v="109"/>
    <s v="CVAS"/>
    <x v="3"/>
    <x v="3"/>
    <s v=""/>
    <s v="Games"/>
    <s v=""/>
    <x v="11"/>
    <s v="ACTIVE"/>
    <s v="YES"/>
    <n v="39869"/>
    <s v="Tap To Fun Basic"/>
    <s v="NIVEL 56 (1.99 Euros)"/>
    <n v="56"/>
    <s v="Weekly subscription"/>
    <n v="908"/>
    <n v="1.99"/>
    <n v="0.55000000000000004"/>
    <n v="0.45"/>
    <m/>
    <m/>
    <s v=""/>
    <s v="TAP TO FUN"/>
  </r>
  <r>
    <n v="38941"/>
    <m/>
    <x v="163"/>
    <n v="57701"/>
    <n v="57701"/>
    <x v="155"/>
    <x v="110"/>
    <s v="CVAS"/>
    <x v="0"/>
    <x v="0"/>
    <s v=""/>
    <s v="Light"/>
    <s v="Light Soft"/>
    <x v="20"/>
    <s v="ACTIVE"/>
    <s v="YES"/>
    <n v="39889"/>
    <s v="Rincon Prohibido"/>
    <s v="NIVEL 135 (1.23 Euros)"/>
    <n v="135"/>
    <s v="Weekly subscription"/>
    <n v="908"/>
    <n v="1.23"/>
    <n v="0.4"/>
    <n v="0.6"/>
    <m/>
    <m/>
    <s v=""/>
    <s v="RINCON PROHIBIDO"/>
  </r>
  <r>
    <n v="38967"/>
    <m/>
    <x v="164"/>
    <n v="56501"/>
    <n v="56501"/>
    <x v="156"/>
    <x v="111"/>
    <s v="CVAS"/>
    <x v="10"/>
    <x v="2"/>
    <s v=""/>
    <s v="Others"/>
    <s v="Free Time"/>
    <x v="22"/>
    <s v="ACTIVE"/>
    <s v="YES"/>
    <n v="39910"/>
    <s v="EnglishPills"/>
    <s v="NIVEL 128 (1.64 Euros)"/>
    <n v="128"/>
    <s v="Weekly subscription"/>
    <n v="908"/>
    <n v="1.64"/>
    <n v="0.5"/>
    <n v="0.5"/>
    <m/>
    <m/>
    <s v=""/>
    <s v="ENGLISH PILLS"/>
  </r>
  <r>
    <n v="38971"/>
    <m/>
    <x v="165"/>
    <n v="56701"/>
    <n v="56701"/>
    <x v="157"/>
    <x v="112"/>
    <s v="CVAS"/>
    <x v="10"/>
    <x v="7"/>
    <s v=""/>
    <s v="Others"/>
    <s v="Beauty and Health"/>
    <x v="22"/>
    <s v="ACTIVE"/>
    <s v="YES"/>
    <n v="39911"/>
    <s v="Eurosalud"/>
    <s v="NIVEL 135 (1.23 Euros)"/>
    <n v="135"/>
    <s v="Weekly subscription"/>
    <n v="908"/>
    <n v="1.23"/>
    <n v="0.45"/>
    <n v="0.55000000000000004"/>
    <m/>
    <m/>
    <s v=""/>
    <s v="PORTAL EUROSALUD"/>
  </r>
  <r>
    <n v="38972"/>
    <n v="38971"/>
    <x v="165"/>
    <n v="56702"/>
    <n v="56702"/>
    <x v="158"/>
    <x v="112"/>
    <s v="CVAS"/>
    <x v="10"/>
    <x v="7"/>
    <s v=""/>
    <s v="Others"/>
    <s v="Beauty and Health"/>
    <x v="22"/>
    <s v="ACTIVE"/>
    <s v="YES"/>
    <n v="39911"/>
    <s v="Eurosalud"/>
    <s v="NIVEL 0 (0 Euros)"/>
    <n v="0"/>
    <s v="Weekly subscription"/>
    <n v="641"/>
    <n v="0"/>
    <m/>
    <m/>
    <m/>
    <m/>
    <s v=""/>
    <s v="PORTAL EUROSALUD"/>
  </r>
  <r>
    <n v="39015"/>
    <m/>
    <x v="166"/>
    <n v="57101"/>
    <n v="57101"/>
    <x v="159"/>
    <x v="113"/>
    <s v="CVAS"/>
    <x v="10"/>
    <x v="2"/>
    <s v=""/>
    <s v="Others"/>
    <s v="Free Time"/>
    <x v="22"/>
    <s v="ACTIVE"/>
    <s v="YES"/>
    <n v="39931"/>
    <s v="Taromancia"/>
    <s v="NIVEL 128 (1.64 Euros)"/>
    <n v="128"/>
    <s v="Weekly subscription"/>
    <n v="908"/>
    <n v="1.64"/>
    <n v="0.5"/>
    <n v="0.5"/>
    <m/>
    <m/>
    <s v=""/>
    <s v="PORTAL TAROMANCIA"/>
  </r>
  <r>
    <n v="39016"/>
    <n v="39015"/>
    <x v="166"/>
    <n v="57102"/>
    <n v="57102"/>
    <x v="160"/>
    <x v="113"/>
    <s v="CVAS"/>
    <x v="10"/>
    <x v="2"/>
    <s v=""/>
    <s v="Others"/>
    <s v="Free Time"/>
    <x v="22"/>
    <s v="ACTIVE"/>
    <s v="YES"/>
    <n v="39931"/>
    <s v="Taromancia"/>
    <s v="NIVEL 0 (0 Euros)"/>
    <n v="0"/>
    <s v="Weekly subscription"/>
    <n v="641"/>
    <n v="0"/>
    <m/>
    <m/>
    <m/>
    <m/>
    <s v=""/>
    <s v="PORTAL TAROMANCIA"/>
  </r>
  <r>
    <n v="39041"/>
    <m/>
    <x v="167"/>
    <n v="28601"/>
    <n v="28601"/>
    <x v="161"/>
    <x v="0"/>
    <s v="CVAS"/>
    <x v="0"/>
    <x v="0"/>
    <s v="Light Hard"/>
    <s v="Light"/>
    <s v="Light Hard"/>
    <x v="8"/>
    <s v="INACTIVE"/>
    <s v="YES"/>
    <n v="39969"/>
    <s v="Orgasmatron"/>
    <s v="NIVEL 58 (2.99 Euros)"/>
    <n v="58"/>
    <s v="Weekly subscription"/>
    <n v="908"/>
    <n v="2.99"/>
    <n v="0.3"/>
    <n v="0.7"/>
    <m/>
    <m/>
    <s v=""/>
    <s v="ORGASMATRON"/>
  </r>
  <r>
    <n v="39071"/>
    <m/>
    <x v="2"/>
    <m/>
    <m/>
    <x v="162"/>
    <x v="114"/>
    <s v="CVAS"/>
    <x v="5"/>
    <x v="8"/>
    <m/>
    <s v="Others"/>
    <m/>
    <x v="23"/>
    <s v="INACTIVE"/>
    <s v="YES"/>
    <m/>
    <s v="Teledibujitos"/>
    <m/>
    <m/>
    <s v="Weekly subscription"/>
    <m/>
    <m/>
    <m/>
    <m/>
    <m/>
    <m/>
    <m/>
    <s v="TELEDIBUJITOS"/>
  </r>
  <r>
    <n v="39161"/>
    <m/>
    <x v="168"/>
    <n v="31101"/>
    <n v="31101"/>
    <x v="163"/>
    <x v="0"/>
    <s v="CVAS"/>
    <x v="0"/>
    <x v="0"/>
    <s v="Light Hard"/>
    <s v="Light"/>
    <s v="Light Hard"/>
    <x v="0"/>
    <s v="INACTIVE"/>
    <s v="YES"/>
    <n v="40009"/>
    <s v="Mi Sex Video"/>
    <s v="NIVEL 58 (2.99 Euros)"/>
    <n v="58"/>
    <s v="Weekly subscription"/>
    <n v="908"/>
    <n v="2.99"/>
    <n v="0.3"/>
    <n v="0.7"/>
    <m/>
    <m/>
    <s v=""/>
    <s v="MI SEX VIDEO"/>
  </r>
  <r>
    <n v="39181"/>
    <m/>
    <x v="168"/>
    <n v="31102"/>
    <n v="31102"/>
    <x v="164"/>
    <x v="0"/>
    <s v="CVAS"/>
    <x v="0"/>
    <x v="0"/>
    <s v="Light Hard"/>
    <s v="Light"/>
    <s v="Light Hard"/>
    <x v="0"/>
    <s v="ACTIVE"/>
    <s v="YES"/>
    <n v="40029"/>
    <s v="Mi Sex Video"/>
    <s v="NIVEL 58 (2.99 Euros)"/>
    <n v="58"/>
    <s v="PPD"/>
    <n v="1"/>
    <n v="2.99"/>
    <n v="0.3"/>
    <n v="0.7"/>
    <m/>
    <m/>
    <s v=""/>
    <s v="MI SEX VIDEO"/>
  </r>
  <r>
    <n v="39301"/>
    <m/>
    <x v="169"/>
    <n v="43902"/>
    <n v="43902"/>
    <x v="165"/>
    <x v="115"/>
    <s v="CVAS"/>
    <x v="10"/>
    <x v="7"/>
    <s v=""/>
    <s v="Others"/>
    <s v="Beauty and Health"/>
    <x v="20"/>
    <s v="ACTIVE"/>
    <s v="YES"/>
    <n v="40129"/>
    <s v="Yo Mujer y +"/>
    <s v="NIVEL 130 (0.82 Euros)"/>
    <n v="130"/>
    <s v="Weekly subscription"/>
    <n v="908"/>
    <n v="0.82"/>
    <n v="0.5"/>
    <n v="0.5"/>
    <m/>
    <m/>
    <s v=""/>
    <s v="YOMUJERYMAS.COM"/>
  </r>
  <r>
    <n v="39302"/>
    <n v="39301"/>
    <x v="169"/>
    <n v="43901"/>
    <n v="43901"/>
    <x v="166"/>
    <x v="115"/>
    <s v="CVAS"/>
    <x v="10"/>
    <x v="7"/>
    <s v=""/>
    <s v="Others"/>
    <s v="Beauty and Health"/>
    <x v="20"/>
    <s v="ACTIVE"/>
    <s v="YES"/>
    <n v="40129"/>
    <s v="Yo Mujer y +"/>
    <s v="NIVEL 0 (0 Euros)"/>
    <n v="0"/>
    <s v="Weekly subscription"/>
    <n v="641"/>
    <n v="0"/>
    <m/>
    <m/>
    <m/>
    <m/>
    <s v=""/>
    <s v="YOMUJERYMAS.COM"/>
  </r>
  <r>
    <n v="39321"/>
    <m/>
    <x v="170"/>
    <n v="43802"/>
    <n v="43802"/>
    <x v="167"/>
    <x v="116"/>
    <s v="CVAS"/>
    <x v="10"/>
    <x v="7"/>
    <s v=""/>
    <s v="Others"/>
    <s v="Beauty and Health"/>
    <x v="20"/>
    <s v="ACTIVE"/>
    <s v="YES"/>
    <n v="40149"/>
    <s v="Cuidate Mejor"/>
    <s v="NIVEL 130 (0,82 Euros)"/>
    <n v="130"/>
    <s v="Weekly subscription"/>
    <n v="908"/>
    <n v="0.82"/>
    <n v="0.5"/>
    <n v="0.5"/>
    <m/>
    <m/>
    <s v=""/>
    <s v="CUIDATEMEJOR.COM"/>
  </r>
  <r>
    <n v="39322"/>
    <n v="39321"/>
    <x v="170"/>
    <n v="43801"/>
    <n v="43801"/>
    <x v="168"/>
    <x v="116"/>
    <s v="CVAS"/>
    <x v="10"/>
    <x v="7"/>
    <s v=""/>
    <s v="Others"/>
    <s v="Beauty and Health"/>
    <x v="20"/>
    <s v="ACTIVE"/>
    <s v="YES"/>
    <n v="40149"/>
    <s v="Cuidate Mejor"/>
    <s v="NIVEL 0 (0 Euros)"/>
    <n v="0"/>
    <s v="Weekly subscription"/>
    <n v="641"/>
    <n v="0"/>
    <m/>
    <m/>
    <m/>
    <m/>
    <s v=""/>
    <s v="CUIDATEMEJOR.COM"/>
  </r>
  <r>
    <n v="39361"/>
    <m/>
    <x v="171"/>
    <n v="30001"/>
    <n v="30001"/>
    <x v="169"/>
    <x v="0"/>
    <s v="CVAS"/>
    <x v="0"/>
    <x v="0"/>
    <s v="Light Hard"/>
    <s v="Light"/>
    <s v="Light Hard"/>
    <x v="0"/>
    <s v="INACTIVE"/>
    <s v="YES"/>
    <n v="40189"/>
    <s v="Cam Girls"/>
    <s v="NIVEL 12 (5 Euros)"/>
    <n v="12"/>
    <s v="Weekly subscription"/>
    <n v="908"/>
    <n v="5"/>
    <n v="0.3"/>
    <n v="0.7"/>
    <m/>
    <m/>
    <s v=""/>
    <s v="CAM GIRLS"/>
  </r>
  <r>
    <n v="39480"/>
    <m/>
    <x v="172"/>
    <n v="44501"/>
    <n v="44501"/>
    <x v="170"/>
    <x v="0"/>
    <s v="CVAS"/>
    <x v="0"/>
    <x v="0"/>
    <s v="Light Hard"/>
    <s v="Light"/>
    <s v="Light Hard"/>
    <x v="24"/>
    <s v="ACTIVE"/>
    <s v="YES"/>
    <n v="40209"/>
    <s v="Relatos XXX"/>
    <s v="NIVEL 137 (2.47 Euros)"/>
    <n v="137"/>
    <s v="Weekly subscription"/>
    <n v="908"/>
    <n v="2.4700000000000002"/>
    <n v="0.3"/>
    <n v="0.7"/>
    <m/>
    <m/>
    <s v=""/>
    <s v="RELATOS XXX"/>
  </r>
  <r>
    <n v="39561"/>
    <m/>
    <x v="173"/>
    <n v="28801"/>
    <n v="28801"/>
    <x v="171"/>
    <x v="0"/>
    <s v="CVAS"/>
    <x v="0"/>
    <x v="0"/>
    <s v="Light Hard"/>
    <s v="Light"/>
    <s v="Light Hard"/>
    <x v="8"/>
    <s v="ACTIVE"/>
    <s v="YES"/>
    <n v="40269"/>
    <s v="Vicious Cam"/>
    <s v="NIVEL 59 (3.49 Euros)"/>
    <n v="59"/>
    <s v="Weekly subscription"/>
    <n v="908"/>
    <n v="3.49"/>
    <n v="0.3"/>
    <n v="0.7"/>
    <m/>
    <m/>
    <s v=""/>
    <s v="VICIOUS CAM"/>
  </r>
  <r>
    <n v="39581"/>
    <m/>
    <x v="174"/>
    <n v="46801"/>
    <n v="46801"/>
    <x v="172"/>
    <x v="117"/>
    <s v="CVAS"/>
    <x v="4"/>
    <x v="4"/>
    <s v=""/>
    <s v="Music"/>
    <s v=""/>
    <x v="13"/>
    <s v="ACTIVE"/>
    <s v="YES"/>
    <n v="40289"/>
    <s v="Musica Clasica y Jazz"/>
    <s v="NIVEL 54 (0.99 Euros)"/>
    <n v="54"/>
    <s v="Weekly subscription"/>
    <n v="908"/>
    <n v="0.99"/>
    <n v="0.8"/>
    <n v="0.2"/>
    <m/>
    <m/>
    <s v=""/>
    <s v="MUSICA CLASICA"/>
  </r>
  <r>
    <n v="39582"/>
    <n v="39581"/>
    <x v="174"/>
    <n v="46802"/>
    <n v="46802"/>
    <x v="173"/>
    <x v="117"/>
    <s v="CVAS"/>
    <x v="4"/>
    <x v="4"/>
    <s v=""/>
    <s v="Music"/>
    <s v=""/>
    <x v="13"/>
    <s v="ACTIVE"/>
    <s v="YES"/>
    <n v="40289"/>
    <s v="Musica Clasica y Jazz"/>
    <s v="NIVEL 0 (0 Euros)"/>
    <n v="0"/>
    <s v="Weekly subscription"/>
    <n v="641"/>
    <n v="0"/>
    <m/>
    <m/>
    <m/>
    <m/>
    <s v=""/>
    <s v="MUSICA CLASICA"/>
  </r>
  <r>
    <n v="39621"/>
    <m/>
    <x v="175"/>
    <n v="38501"/>
    <n v="38501"/>
    <x v="174"/>
    <x v="0"/>
    <s v="CVAS"/>
    <x v="0"/>
    <x v="0"/>
    <s v="Light Hard"/>
    <s v="Light"/>
    <s v="Light Hard"/>
    <x v="15"/>
    <s v="ACTIVE"/>
    <s v="YES"/>
    <n v="40309"/>
    <s v="Porno Gafas"/>
    <s v="NIVEL 58 (2.99 Euros)"/>
    <n v="58"/>
    <s v="Weekly subscription"/>
    <n v="908"/>
    <n v="2.99"/>
    <n v="0.4"/>
    <n v="0.6"/>
    <m/>
    <m/>
    <s v=""/>
    <s v="PORNO GAFAS"/>
  </r>
  <r>
    <n v="39681"/>
    <m/>
    <x v="159"/>
    <n v="36203"/>
    <n v="36203"/>
    <x v="175"/>
    <x v="118"/>
    <s v="CVAS"/>
    <x v="3"/>
    <x v="3"/>
    <s v=""/>
    <s v="Games"/>
    <s v=""/>
    <x v="8"/>
    <s v="ACTIVE"/>
    <s v="YES"/>
    <n v="40329"/>
    <s v="Juegos GoPlay"/>
    <s v="NIVEL 128 (1.64 Euros)"/>
    <n v="128"/>
    <s v="Weekly subscription"/>
    <n v="908"/>
    <n v="1.64"/>
    <n v="0.5"/>
    <n v="0.5"/>
    <m/>
    <m/>
    <s v=""/>
    <s v="JUEGO GOPLAY"/>
  </r>
  <r>
    <n v="39682"/>
    <n v="39681"/>
    <x v="159"/>
    <n v="36201"/>
    <n v="36201"/>
    <x v="176"/>
    <x v="118"/>
    <s v="CVAS"/>
    <x v="3"/>
    <x v="3"/>
    <s v=""/>
    <s v="Games"/>
    <s v=""/>
    <x v="8"/>
    <s v="ACTIVE"/>
    <s v="YES"/>
    <n v="40329"/>
    <s v="Juegos GoPlay"/>
    <s v="NIVEL 0 (0 Euros)"/>
    <n v="0"/>
    <s v="Weekly subscription"/>
    <n v="641"/>
    <n v="0"/>
    <m/>
    <m/>
    <m/>
    <m/>
    <s v=""/>
    <s v="JUEGO GOPLAY"/>
  </r>
  <r>
    <n v="39721"/>
    <m/>
    <x v="176"/>
    <n v="34901"/>
    <n v="34901"/>
    <x v="177"/>
    <x v="119"/>
    <s v="CVAS"/>
    <x v="3"/>
    <x v="3"/>
    <s v=""/>
    <s v="Games"/>
    <s v=""/>
    <x v="11"/>
    <s v="ACTIVE"/>
    <s v="YES"/>
    <n v="40349"/>
    <s v="Game Shaker"/>
    <s v="NIVEL 128 (1.64 Euros)"/>
    <n v="128"/>
    <s v="Weekly subscription"/>
    <n v="908"/>
    <n v="1.64"/>
    <n v="0.45"/>
    <n v="0.55000000000000004"/>
    <m/>
    <m/>
    <s v=""/>
    <s v="JUEGOS GAMESHAKER"/>
  </r>
  <r>
    <n v="39923"/>
    <m/>
    <x v="177"/>
    <n v="24101"/>
    <n v="24101"/>
    <x v="178"/>
    <x v="120"/>
    <s v="CVAS"/>
    <x v="5"/>
    <x v="2"/>
    <s v=""/>
    <s v="Others"/>
    <s v="Free Time"/>
    <x v="11"/>
    <s v="ACTIVE"/>
    <s v="YES"/>
    <n v="40469"/>
    <s v="Znack Video"/>
    <s v="NIVEL 135 (1.23 Euros)"/>
    <n v="135"/>
    <s v="Weekly subscription"/>
    <n v="908"/>
    <n v="1.23"/>
    <n v="0.45"/>
    <n v="0.55000000000000004"/>
    <m/>
    <m/>
    <s v=""/>
    <s v="ZNACK VIDEO"/>
  </r>
  <r>
    <n v="40021"/>
    <m/>
    <x v="124"/>
    <n v="47305"/>
    <n v="47305"/>
    <x v="179"/>
    <x v="121"/>
    <s v="CVAS"/>
    <x v="3"/>
    <x v="3"/>
    <s v=""/>
    <s v="Games"/>
    <s v=""/>
    <x v="8"/>
    <s v="ACTIVE"/>
    <s v="YES"/>
    <n v="40509"/>
    <s v="Extra Juego Play2Me"/>
    <s v="NIVEL 62 (4.99 Euros)"/>
    <n v="62"/>
    <s v="PPD"/>
    <n v="1"/>
    <n v="4.99"/>
    <n v="0.5"/>
    <n v="0.5"/>
    <m/>
    <m/>
    <s v=""/>
    <s v="EMBEBIDO IN APP MOBIG"/>
  </r>
  <r>
    <n v="40061"/>
    <m/>
    <x v="178"/>
    <n v="43402"/>
    <n v="43402"/>
    <x v="180"/>
    <x v="122"/>
    <s v="CVAS"/>
    <x v="10"/>
    <x v="7"/>
    <s v=""/>
    <s v="Others"/>
    <s v="Beauty and Health"/>
    <x v="13"/>
    <s v="ACTIVE"/>
    <s v="YES"/>
    <n v="40529"/>
    <s v="Fashion Bip"/>
    <s v="NIVEL 135 (1.23 Euros)"/>
    <n v="135"/>
    <s v="Weekly subscription"/>
    <n v="908"/>
    <n v="1.23"/>
    <n v="0.6"/>
    <n v="0.4"/>
    <m/>
    <m/>
    <s v=""/>
    <s v="REVISTA DE MODA"/>
  </r>
  <r>
    <n v="40062"/>
    <n v="40061"/>
    <x v="178"/>
    <n v="43401"/>
    <n v="43401"/>
    <x v="181"/>
    <x v="122"/>
    <s v="CVAS"/>
    <x v="10"/>
    <x v="7"/>
    <s v=""/>
    <s v="Others"/>
    <s v="Beauty and Health"/>
    <x v="13"/>
    <s v="ACTIVE"/>
    <s v="YES"/>
    <n v="40529"/>
    <s v="Fashion Bip"/>
    <s v="NIVEL 0 (0 Euros)"/>
    <n v="0"/>
    <s v="Weekly subscription"/>
    <n v="641"/>
    <n v="0"/>
    <m/>
    <m/>
    <m/>
    <m/>
    <s v=""/>
    <s v="REVISTA DE MODA"/>
  </r>
  <r>
    <n v="40101"/>
    <m/>
    <x v="179"/>
    <n v="25601"/>
    <n v="25601"/>
    <x v="182"/>
    <x v="123"/>
    <s v="CVAS"/>
    <x v="3"/>
    <x v="3"/>
    <s v=""/>
    <s v="Games"/>
    <s v=""/>
    <x v="4"/>
    <s v="ACTIVE"/>
    <s v="YES"/>
    <n v="40549"/>
    <s v="Funatic Games"/>
    <s v="NIVEL 137 (2.47 Euros)"/>
    <n v="137"/>
    <s v="Weekly subscription"/>
    <n v="908"/>
    <n v="2.4700000000000002"/>
    <n v="0.5"/>
    <n v="0.5"/>
    <m/>
    <m/>
    <s v=""/>
    <s v="FUN@TIC GAMES"/>
  </r>
  <r>
    <n v="40161"/>
    <m/>
    <x v="180"/>
    <n v="22602"/>
    <n v="22602"/>
    <x v="183"/>
    <x v="124"/>
    <s v="CVAS"/>
    <x v="10"/>
    <x v="8"/>
    <s v=""/>
    <s v="Others"/>
    <s v="Kids"/>
    <x v="11"/>
    <s v="ACTIVE"/>
    <s v="YES"/>
    <n v="40589"/>
    <s v="Little Smart Planet"/>
    <s v="NIVEL 130 (0.82 Euros)"/>
    <n v="130"/>
    <s v="Weekly subscription"/>
    <n v="908"/>
    <n v="0.82"/>
    <n v="0.5"/>
    <n v="0.5"/>
    <m/>
    <m/>
    <s v=""/>
    <s v="L. SMART PLANET"/>
  </r>
  <r>
    <n v="40162"/>
    <n v="40161"/>
    <x v="180"/>
    <n v="22601"/>
    <n v="22601"/>
    <x v="184"/>
    <x v="124"/>
    <s v="CVAS"/>
    <x v="10"/>
    <x v="8"/>
    <s v=""/>
    <s v="Others"/>
    <s v="Kids"/>
    <x v="11"/>
    <s v="ACTIVE"/>
    <s v="YES"/>
    <n v="40589"/>
    <s v="Little Smart Planet"/>
    <s v="NIVEL 0 (0 Euros)"/>
    <n v="0"/>
    <s v="Weekly subscription"/>
    <n v="641"/>
    <n v="0"/>
    <m/>
    <m/>
    <m/>
    <m/>
    <s v=""/>
    <s v="L. SMART PLANET"/>
  </r>
  <r>
    <n v="40221"/>
    <m/>
    <x v="181"/>
    <n v="29901"/>
    <n v="29901"/>
    <x v="185"/>
    <x v="125"/>
    <s v="CVAS"/>
    <x v="5"/>
    <x v="2"/>
    <s v=""/>
    <s v="Others"/>
    <s v="Free Time"/>
    <x v="0"/>
    <s v="ACTIVE"/>
    <s v="YES"/>
    <n v="40609"/>
    <s v="Video Horoscopo"/>
    <s v="NIVEL 136 (2.06 Euros)"/>
    <n v="136"/>
    <s v="Weekly subscription"/>
    <n v="908"/>
    <n v="2.06"/>
    <n v="0.45"/>
    <n v="0.55000000000000004"/>
    <m/>
    <m/>
    <s v=""/>
    <s v="VIDEO HOROSCOPO"/>
  </r>
  <r>
    <n v="40261"/>
    <m/>
    <x v="182"/>
    <n v="56901"/>
    <n v="56901"/>
    <x v="186"/>
    <x v="126"/>
    <s v="CVAS"/>
    <x v="3"/>
    <x v="3"/>
    <s v=""/>
    <s v="Games"/>
    <s v=""/>
    <x v="22"/>
    <s v="ACTIVE"/>
    <s v="YES"/>
    <n v="40629"/>
    <s v="Games Club"/>
    <s v="NIVEL 137 (2.47 Euros)"/>
    <n v="137"/>
    <s v="Weekly subscription"/>
    <n v="908"/>
    <n v="2.4700000000000002"/>
    <n v="0.5"/>
    <n v="0.5"/>
    <m/>
    <m/>
    <s v=""/>
    <s v="GAMES CLUB"/>
  </r>
  <r>
    <n v="40341"/>
    <m/>
    <x v="183"/>
    <n v="35302"/>
    <n v="35302"/>
    <x v="187"/>
    <x v="127"/>
    <s v="CVAS"/>
    <x v="5"/>
    <x v="2"/>
    <s v=""/>
    <s v="Others"/>
    <s v="Free Time"/>
    <x v="6"/>
    <s v="ACTIVE"/>
    <s v="YES"/>
    <n v="40651"/>
    <s v="Golazos"/>
    <s v="NIVEL 135 (1.23 Euros)"/>
    <n v="135"/>
    <s v="Weekly subscription"/>
    <n v="908"/>
    <n v="1.23"/>
    <n v="0.45"/>
    <n v="0.55000000000000004"/>
    <m/>
    <m/>
    <s v=""/>
    <s v="VIDEO GOLAZOS"/>
  </r>
  <r>
    <n v="40342"/>
    <n v="40341"/>
    <x v="183"/>
    <n v="35301"/>
    <n v="35301"/>
    <x v="188"/>
    <x v="127"/>
    <s v="CVAS"/>
    <x v="5"/>
    <x v="2"/>
    <s v=""/>
    <s v="Others"/>
    <s v="Free Time"/>
    <x v="6"/>
    <s v="ACTIVE"/>
    <s v="YES"/>
    <n v="40651"/>
    <s v="Golazos"/>
    <s v="NIVEL 0 (0 Euros)"/>
    <n v="0"/>
    <s v="Weekly subscription"/>
    <n v="641"/>
    <n v="0"/>
    <m/>
    <m/>
    <m/>
    <m/>
    <s v=""/>
    <s v="VIDEO GOLAZOS"/>
  </r>
  <r>
    <n v="40402"/>
    <m/>
    <x v="184"/>
    <n v="44301"/>
    <n v="44301"/>
    <x v="189"/>
    <x v="0"/>
    <s v="CVAS"/>
    <x v="0"/>
    <x v="0"/>
    <s v="Light Hard"/>
    <s v="Light"/>
    <s v="Light Hard"/>
    <x v="24"/>
    <s v="ACTIVE"/>
    <s v="YES"/>
    <n v="40670"/>
    <s v="21Naturals"/>
    <s v="NIVEL 58 (2.99 Euros)"/>
    <n v="58"/>
    <s v="Weekly subscription"/>
    <n v="908"/>
    <n v="2.99"/>
    <n v="0.3"/>
    <n v="0.7"/>
    <m/>
    <m/>
    <s v=""/>
    <s v="21 NATURALS"/>
  </r>
  <r>
    <n v="40545"/>
    <m/>
    <x v="185"/>
    <n v="44101"/>
    <n v="44101"/>
    <x v="190"/>
    <x v="0"/>
    <s v="CVAS"/>
    <x v="0"/>
    <x v="0"/>
    <s v="Light Hard"/>
    <s v="Light"/>
    <s v="Light Hard"/>
    <x v="24"/>
    <s v="ACTIVE"/>
    <s v="YES"/>
    <n v="40691"/>
    <s v="Viciosas XXX"/>
    <s v="NIVEL 137 (2.47 Euros)"/>
    <n v="137"/>
    <s v="Weekly subscription"/>
    <n v="908"/>
    <n v="2.4700000000000002"/>
    <n v="0.3"/>
    <n v="0.7"/>
    <m/>
    <m/>
    <s v=""/>
    <s v="VICIOSAS XXX"/>
  </r>
  <r>
    <n v="40562"/>
    <m/>
    <x v="186"/>
    <n v="47201"/>
    <n v="47201"/>
    <x v="191"/>
    <x v="128"/>
    <s v="CVAS"/>
    <x v="4"/>
    <x v="4"/>
    <s v=""/>
    <s v="Music"/>
    <s v=""/>
    <x v="13"/>
    <s v="ACTIVE"/>
    <s v="YES"/>
    <n v="40693"/>
    <s v="Musica x Generos"/>
    <s v="NIVEL 105 (1,48 Euros)"/>
    <n v="105"/>
    <s v="Weekly subscription"/>
    <n v="908"/>
    <n v="1.48"/>
    <n v="0.8"/>
    <n v="0.2"/>
    <m/>
    <m/>
    <s v=""/>
    <s v="MUSICA X GENEROS"/>
  </r>
  <r>
    <n v="40563"/>
    <n v="40562"/>
    <x v="186"/>
    <n v="47202"/>
    <n v="47202"/>
    <x v="192"/>
    <x v="128"/>
    <s v="CVAS"/>
    <x v="4"/>
    <x v="4"/>
    <s v=""/>
    <s v="Music"/>
    <s v=""/>
    <x v="13"/>
    <s v="ACTIVE"/>
    <s v="YES"/>
    <n v="40693"/>
    <s v="Musica x Generos"/>
    <s v="NIVEL 0 (0 Euros)"/>
    <n v="0"/>
    <s v="Weekly subscription"/>
    <n v="641"/>
    <n v="0"/>
    <m/>
    <m/>
    <m/>
    <m/>
    <s v=""/>
    <s v="MUSICA X GENEROS"/>
  </r>
  <r>
    <n v="40651"/>
    <m/>
    <x v="187"/>
    <n v="31201"/>
    <n v="31201"/>
    <x v="193"/>
    <x v="129"/>
    <s v="CVAS"/>
    <x v="5"/>
    <x v="7"/>
    <s v=""/>
    <s v="Others"/>
    <s v="Beauty and Health"/>
    <x v="0"/>
    <s v="ACTIVE"/>
    <s v="YES"/>
    <n v="40752"/>
    <s v="Natural Beauty"/>
    <s v="NIVEL 136 (2.06 Euros)"/>
    <n v="136"/>
    <s v="Weekly subscription"/>
    <n v="908"/>
    <n v="2.06"/>
    <n v="0.45"/>
    <n v="0.55000000000000004"/>
    <m/>
    <m/>
    <s v=""/>
    <s v="NATURAL BEAUTY"/>
  </r>
  <r>
    <n v="40675"/>
    <m/>
    <x v="188"/>
    <n v="63"/>
    <n v="21163"/>
    <x v="194"/>
    <x v="130"/>
    <s v="CVAS"/>
    <x v="5"/>
    <x v="2"/>
    <s v=""/>
    <s v="Others"/>
    <s v="Free Time"/>
    <x v="0"/>
    <s v="ACTIVE"/>
    <s v="YES"/>
    <n v="40773"/>
    <s v="Videos Lo + Mejor"/>
    <s v="NIVEL 136 (2.06 Euros)"/>
    <n v="136"/>
    <s v="Weekly subscription"/>
    <n v="908"/>
    <n v="2.06"/>
    <n v="0.45"/>
    <n v="0.55000000000000004"/>
    <m/>
    <m/>
    <s v=""/>
    <s v="VIDEOS LO + MEJOR"/>
  </r>
  <r>
    <n v="40683"/>
    <m/>
    <x v="189"/>
    <n v="44201"/>
    <n v="44201"/>
    <x v="195"/>
    <x v="131"/>
    <s v="CVAS"/>
    <x v="7"/>
    <x v="5"/>
    <s v=""/>
    <s v="Others"/>
    <s v="Sports"/>
    <x v="20"/>
    <s v="ACTIVE"/>
    <s v="YES"/>
    <n v="40775"/>
    <s v="Futbolitis"/>
    <s v="NIVEL 54 (0.99 Euros)"/>
    <n v="54"/>
    <s v="Weekly subscription"/>
    <n v="908"/>
    <n v="0.99"/>
    <n v="0.5"/>
    <n v="0.5"/>
    <m/>
    <m/>
    <s v=""/>
    <s v="FUTBOLITIS"/>
  </r>
  <r>
    <n v="40771"/>
    <m/>
    <x v="190"/>
    <n v="35202"/>
    <n v="35202"/>
    <x v="196"/>
    <x v="132"/>
    <s v="CVAS"/>
    <x v="10"/>
    <x v="2"/>
    <s v=""/>
    <s v="Others"/>
    <s v="Free Time"/>
    <x v="6"/>
    <s v="ACTIVE"/>
    <s v="YES"/>
    <n v="40812"/>
    <s v="Hazlo tu Mism@"/>
    <s v="NIVEL 130 (0.82 Euros)"/>
    <n v="130"/>
    <s v="Weekly subscription"/>
    <n v="908"/>
    <n v="0.82"/>
    <n v="0.5"/>
    <n v="0.5"/>
    <m/>
    <m/>
    <s v=""/>
    <s v="HAZLO TÚ MISM@"/>
  </r>
  <r>
    <n v="40772"/>
    <n v="40771"/>
    <x v="190"/>
    <n v="35201"/>
    <n v="35201"/>
    <x v="197"/>
    <x v="132"/>
    <s v="CVAS"/>
    <x v="10"/>
    <x v="2"/>
    <s v=""/>
    <s v="Others"/>
    <s v="Free Time"/>
    <x v="6"/>
    <s v="ACTIVE"/>
    <s v="YES"/>
    <n v="40812"/>
    <s v="Hazlo tu Mism@"/>
    <s v="NIVEL 0 (0 Euros)"/>
    <n v="0"/>
    <s v="Weekly subscription"/>
    <n v="641"/>
    <n v="0"/>
    <m/>
    <m/>
    <m/>
    <m/>
    <s v=""/>
    <s v="HAZLO TÚ MISM@"/>
  </r>
  <r>
    <n v="40778"/>
    <m/>
    <x v="191"/>
    <n v="38001"/>
    <n v="38001"/>
    <x v="198"/>
    <x v="133"/>
    <s v="CVAS"/>
    <x v="0"/>
    <x v="0"/>
    <s v="Light Hard"/>
    <s v="Light"/>
    <s v="Light Hard"/>
    <x v="15"/>
    <s v="ACTIVE"/>
    <s v="YES"/>
    <n v="40814"/>
    <s v="Bellezas Salvajes"/>
    <s v="NIVEL 136 (2.06 Euros)"/>
    <n v="136"/>
    <s v="Weekly subscription"/>
    <n v="908"/>
    <n v="2.06"/>
    <n v="0.3"/>
    <n v="0.7"/>
    <m/>
    <m/>
    <s v=""/>
    <s v="BELLEZAS SALVAJES"/>
  </r>
  <r>
    <n v="40953"/>
    <m/>
    <x v="192"/>
    <n v="76"/>
    <n v="76"/>
    <x v="199"/>
    <x v="134"/>
    <s v="CVAS"/>
    <x v="10"/>
    <x v="7"/>
    <s v=""/>
    <s v="Others"/>
    <s v="Beauty and Health"/>
    <x v="11"/>
    <s v="ACTIVE"/>
    <s v="YES"/>
    <n v="40952"/>
    <s v="Daily Diva"/>
    <s v="NIVEL 128 (1.64 Euros)"/>
    <n v="128"/>
    <s v="Weekly subscription"/>
    <n v="908"/>
    <n v="1.64"/>
    <n v="0.5"/>
    <n v="0.5"/>
    <m/>
    <m/>
    <s v=""/>
    <s v="DAILY DIVA MUJER"/>
  </r>
  <r>
    <n v="40962"/>
    <m/>
    <x v="193"/>
    <n v="77"/>
    <n v="77"/>
    <x v="200"/>
    <x v="135"/>
    <s v="CVAS"/>
    <x v="10"/>
    <x v="8"/>
    <s v=""/>
    <s v="Others"/>
    <s v="Kids"/>
    <x v="11"/>
    <s v="ACTIVE"/>
    <s v="YES"/>
    <n v="40955"/>
    <s v="Edukidz"/>
    <s v="NIVEL 128 (1.64 Euros)"/>
    <n v="128"/>
    <s v="Weekly subscription"/>
    <n v="908"/>
    <n v="1.64"/>
    <n v="0.5"/>
    <n v="0.5"/>
    <m/>
    <m/>
    <s v=""/>
    <s v="EDUKIDZ"/>
  </r>
  <r>
    <n v="41029"/>
    <m/>
    <x v="194"/>
    <n v="28501"/>
    <n v="28501"/>
    <x v="201"/>
    <x v="0"/>
    <s v="CVAS"/>
    <x v="0"/>
    <x v="0"/>
    <s v="Light Hard"/>
    <s v="Light"/>
    <s v="Light Hard"/>
    <x v="8"/>
    <s v="ACTIVE"/>
    <s v="YES"/>
    <n v="40976"/>
    <s v="Orgasmatron"/>
    <s v="NIVEL 138 (3.30 Euros)"/>
    <n v="138"/>
    <s v="Weekly subscription"/>
    <n v="908"/>
    <n v="3.3"/>
    <n v="0.4"/>
    <n v="0.6"/>
    <m/>
    <m/>
    <s v=""/>
    <s v="ORGASMATRON"/>
  </r>
  <r>
    <n v="41034"/>
    <m/>
    <x v="184"/>
    <n v="44302"/>
    <n v="44302"/>
    <x v="189"/>
    <x v="0"/>
    <s v="CVAS"/>
    <x v="0"/>
    <x v="0"/>
    <s v="Light Hard"/>
    <s v="Light"/>
    <s v="Light Hard"/>
    <x v="24"/>
    <s v="ACTIVE"/>
    <s v="YES"/>
    <n v="40978"/>
    <s v="21Naturals"/>
    <s v="NIVEL 138 (3.30 Euros)"/>
    <n v="138"/>
    <s v="Weekly subscription"/>
    <n v="908"/>
    <n v="3.3"/>
    <n v="0.4"/>
    <n v="0.6"/>
    <m/>
    <m/>
    <s v=""/>
    <s v="21 NATURALS"/>
  </r>
  <r>
    <n v="41049"/>
    <m/>
    <x v="179"/>
    <n v="25602"/>
    <n v="25602"/>
    <x v="202"/>
    <x v="123"/>
    <s v="CVAS"/>
    <x v="3"/>
    <x v="3"/>
    <s v=""/>
    <s v="Games"/>
    <s v=""/>
    <x v="4"/>
    <s v="ACTIVE"/>
    <s v="YES"/>
    <n v="40996"/>
    <s v="Funatic Games"/>
    <s v="NIVEL 136 (2.06 Euros)"/>
    <n v="136"/>
    <s v="PPD"/>
    <n v="1"/>
    <n v="2.06"/>
    <n v="0.5"/>
    <n v="0.5"/>
    <m/>
    <m/>
    <s v=""/>
    <s v="FUN@TIC GAMES"/>
  </r>
  <r>
    <n v="41051"/>
    <m/>
    <x v="195"/>
    <n v="26701"/>
    <n v="26701"/>
    <x v="203"/>
    <x v="136"/>
    <s v="CVAS"/>
    <x v="5"/>
    <x v="2"/>
    <s v=""/>
    <s v="Others"/>
    <s v="Free Time"/>
    <x v="8"/>
    <s v="ACTIVE"/>
    <s v="YES"/>
    <n v="40997"/>
    <s v="Zaaass Videos"/>
    <s v="NIVEL 128 (1.64 Euros)"/>
    <n v="128"/>
    <s v="Weekly subscription"/>
    <n v="908"/>
    <n v="1.64"/>
    <n v="0.45"/>
    <n v="0.55000000000000004"/>
    <m/>
    <m/>
    <s v=""/>
    <s v="ZAAASS VIDEOS"/>
  </r>
  <r>
    <n v="41129"/>
    <m/>
    <x v="2"/>
    <s v="X"/>
    <s v="X"/>
    <x v="204"/>
    <x v="0"/>
    <s v="CVAS"/>
    <x v="0"/>
    <x v="0"/>
    <s v="Light Hard"/>
    <s v="Light"/>
    <s v="Light Hard"/>
    <x v="24"/>
    <s v="ACTIVE"/>
    <s v="YES"/>
    <n v="41016"/>
    <s v="IntimaX"/>
    <s v="NIVEL 58 (2.99 Euros)"/>
    <n v="58"/>
    <s v="Weekly subscription"/>
    <n v="908"/>
    <n v="2.99"/>
    <n v="0.3"/>
    <n v="0.7"/>
    <m/>
    <m/>
    <s v=""/>
    <s v="INTIMAX"/>
  </r>
  <r>
    <n v="41149"/>
    <m/>
    <x v="196"/>
    <n v="26501"/>
    <n v="26501"/>
    <x v="205"/>
    <x v="137"/>
    <s v="CVAS"/>
    <x v="5"/>
    <x v="8"/>
    <s v=""/>
    <s v="Others"/>
    <s v="Kids"/>
    <x v="8"/>
    <s v="ACTIVE"/>
    <s v="YES"/>
    <n v="41036"/>
    <s v="Kids Tube"/>
    <s v="NIVEL 136 (2.06 Euros)"/>
    <n v="136"/>
    <s v="Weekly subscription"/>
    <n v="908"/>
    <n v="2.06"/>
    <n v="0.5"/>
    <n v="0.5"/>
    <m/>
    <m/>
    <s v=""/>
    <s v="KIDS TUBE"/>
  </r>
  <r>
    <n v="41177"/>
    <m/>
    <x v="197"/>
    <n v="57"/>
    <n v="57"/>
    <x v="206"/>
    <x v="138"/>
    <s v="CVAS"/>
    <x v="10"/>
    <x v="2"/>
    <s v=""/>
    <s v="Others"/>
    <s v="Free Time"/>
    <x v="11"/>
    <s v="ACTIVE"/>
    <s v="YES"/>
    <n v="41058"/>
    <s v="Chef Book Recetas"/>
    <s v="NIVEL 137 (2.47 Euros)"/>
    <n v="137"/>
    <s v="Weekly subscription"/>
    <n v="908"/>
    <n v="2.4700000000000002"/>
    <n v="0.5"/>
    <n v="0.5"/>
    <m/>
    <m/>
    <s v=""/>
    <s v="CHEF BOOK RECETAS"/>
  </r>
  <r>
    <n v="41178"/>
    <n v="41177"/>
    <x v="197"/>
    <n v="56"/>
    <n v="56"/>
    <x v="207"/>
    <x v="138"/>
    <s v="CVAS"/>
    <x v="10"/>
    <x v="2"/>
    <s v=""/>
    <s v="Others"/>
    <s v="Free Time"/>
    <x v="11"/>
    <s v="ACTIVE"/>
    <s v="YES"/>
    <n v="41058"/>
    <s v="Chef Book Recetas"/>
    <s v="NIVEL 0 (0 Euros)"/>
    <n v="0"/>
    <s v="Weekly subscription"/>
    <n v="641"/>
    <n v="0"/>
    <m/>
    <m/>
    <m/>
    <m/>
    <s v=""/>
    <s v="CHEF BOOK RECETAS"/>
  </r>
  <r>
    <n v="41181"/>
    <m/>
    <x v="198"/>
    <n v="22502"/>
    <n v="22502"/>
    <x v="208"/>
    <x v="139"/>
    <s v="CVAS"/>
    <x v="10"/>
    <x v="2"/>
    <s v=""/>
    <s v="Others"/>
    <s v="Free Time"/>
    <x v="11"/>
    <s v="ACTIVE"/>
    <s v="YES"/>
    <n v="41059"/>
    <s v=" iTrip Viajes y +"/>
    <s v="NIVEL 137 (2.47 Euros)"/>
    <n v="137"/>
    <s v="Weekly subscription"/>
    <n v="908"/>
    <n v="2.4700000000000002"/>
    <n v="0.5"/>
    <n v="0.5"/>
    <m/>
    <m/>
    <s v=""/>
    <s v="I TRIP VIAJES Y +"/>
  </r>
  <r>
    <n v="41182"/>
    <n v="41181"/>
    <x v="198"/>
    <n v="83"/>
    <n v="83"/>
    <x v="209"/>
    <x v="139"/>
    <s v="CVAS"/>
    <x v="10"/>
    <x v="2"/>
    <s v=""/>
    <s v="Others"/>
    <s v="Free Time"/>
    <x v="11"/>
    <s v="ACTIVE"/>
    <s v="YES"/>
    <n v="41059"/>
    <s v=" iTrip Viajes y +"/>
    <s v="NIVEL 0 (0 Euros)"/>
    <n v="0"/>
    <s v="Weekly subscription"/>
    <n v="641"/>
    <n v="0"/>
    <m/>
    <m/>
    <m/>
    <m/>
    <s v=""/>
    <s v="I TRIP VIAJES Y +"/>
  </r>
  <r>
    <n v="41233"/>
    <m/>
    <x v="2"/>
    <m/>
    <m/>
    <x v="210"/>
    <x v="140"/>
    <s v="CVAS"/>
    <x v="3"/>
    <x v="3"/>
    <s v=""/>
    <s v="Games"/>
    <s v=""/>
    <x v="20"/>
    <s v="ACTIVE"/>
    <s v="YES"/>
    <n v="41076"/>
    <s v="Juegos Play On"/>
    <s v="NIVEL 136 (2.06 Euros)"/>
    <n v="136"/>
    <s v="PPD"/>
    <n v="1"/>
    <n v="2.06"/>
    <n v="0.6"/>
    <n v="0.4"/>
    <m/>
    <m/>
    <s v=""/>
    <s v="JUEGOS PLAY ON"/>
  </r>
  <r>
    <n v="41235"/>
    <m/>
    <x v="2"/>
    <s v="X"/>
    <s v="X"/>
    <x v="211"/>
    <x v="140"/>
    <s v="CVAS"/>
    <x v="3"/>
    <x v="3"/>
    <s v=""/>
    <s v="Games"/>
    <s v=""/>
    <x v="20"/>
    <s v="ACTIVE"/>
    <s v="YES"/>
    <n v="41077"/>
    <s v="Juegos Play On"/>
    <s v="NIVEL 128 (1.64 Euros)"/>
    <n v="128"/>
    <s v="Weekly subscription"/>
    <n v="641"/>
    <n v="1.64"/>
    <n v="0.6"/>
    <n v="0.4"/>
    <m/>
    <m/>
    <s v=""/>
    <s v="JUEGOS PLAY ON"/>
  </r>
  <r>
    <n v="41236"/>
    <n v="41235"/>
    <x v="2"/>
    <m/>
    <m/>
    <x v="212"/>
    <x v="140"/>
    <s v="CVAS"/>
    <x v="3"/>
    <x v="3"/>
    <s v=""/>
    <s v="Games"/>
    <s v=""/>
    <x v="20"/>
    <s v="ACTIVE"/>
    <s v="YES"/>
    <n v="41077"/>
    <s v="Juegos Play On"/>
    <s v="NIVEL 0 (0 Euros)"/>
    <n v="0"/>
    <s v="Weekly subscription"/>
    <n v="908"/>
    <n v="0"/>
    <m/>
    <m/>
    <m/>
    <m/>
    <s v=""/>
    <s v="JUEGOS PLAY ON"/>
  </r>
  <r>
    <n v="41247"/>
    <m/>
    <x v="199"/>
    <n v="38101"/>
    <n v="38101"/>
    <x v="213"/>
    <x v="141"/>
    <s v="CVAS"/>
    <x v="5"/>
    <x v="2"/>
    <s v=""/>
    <s v="Others"/>
    <s v="Free Time"/>
    <x v="15"/>
    <s v="ACTIVE"/>
    <s v="YES"/>
    <n v="41078"/>
    <s v="Coto de Caza"/>
    <s v="NIVEL 136 (2.06 Euros)"/>
    <n v="136"/>
    <s v="Weekly subscription"/>
    <n v="908"/>
    <n v="2.06"/>
    <n v="0.45"/>
    <n v="0.55000000000000004"/>
    <m/>
    <m/>
    <s v=""/>
    <s v="VIDEO COTO D CAZA"/>
  </r>
  <r>
    <n v="41329"/>
    <m/>
    <x v="195"/>
    <n v="26702"/>
    <n v="26702"/>
    <x v="203"/>
    <x v="136"/>
    <s v="CVAS"/>
    <x v="5"/>
    <x v="2"/>
    <s v=""/>
    <s v="Others"/>
    <s v="Free Time"/>
    <x v="8"/>
    <s v="ACTIVE"/>
    <s v="YES"/>
    <n v="41096"/>
    <s v="Zaaass Videos"/>
    <s v="NIVEL 136 (2.06 Euros)"/>
    <n v="136"/>
    <s v="Weekly subscription"/>
    <n v="908"/>
    <n v="2.06"/>
    <n v="0.45"/>
    <n v="0.55000000000000004"/>
    <m/>
    <m/>
    <s v=""/>
    <s v="ZAAASS VIDEOS"/>
  </r>
  <r>
    <n v="41449"/>
    <m/>
    <x v="185"/>
    <n v="44102"/>
    <n v="44102"/>
    <x v="214"/>
    <x v="0"/>
    <s v="CVAS"/>
    <x v="0"/>
    <x v="0"/>
    <s v="Light Hard"/>
    <s v="Light"/>
    <s v="Light Hard"/>
    <x v="24"/>
    <s v="ACTIVE"/>
    <s v="YES"/>
    <n v="41116"/>
    <s v="Viciosas XXX"/>
    <s v="NIVEL 58 (2.99 Euros)"/>
    <n v="58"/>
    <s v="Weekly subscription"/>
    <n v="908"/>
    <n v="2.99"/>
    <n v="0.3"/>
    <n v="0.7"/>
    <m/>
    <m/>
    <s v=""/>
    <s v="VICIOSAS XXX"/>
  </r>
  <r>
    <n v="41529"/>
    <m/>
    <x v="200"/>
    <n v="38201"/>
    <n v="38201"/>
    <x v="215"/>
    <x v="142"/>
    <s v="CVAS"/>
    <x v="5"/>
    <x v="2"/>
    <s v=""/>
    <s v="Others"/>
    <s v="Free Time"/>
    <x v="15"/>
    <s v="ACTIVE"/>
    <s v="YES"/>
    <n v="41136"/>
    <s v="Gladiadores MMA"/>
    <s v="NIVEL 136 (2.06 Euros)"/>
    <n v="136"/>
    <s v="Weekly subscription"/>
    <n v="908"/>
    <n v="2.06"/>
    <n v="0.45"/>
    <n v="0.55000000000000004"/>
    <m/>
    <m/>
    <s v=""/>
    <s v="GLADIADORES MMA"/>
  </r>
  <r>
    <n v="41533"/>
    <m/>
    <x v="201"/>
    <n v="58201"/>
    <n v="58201"/>
    <x v="216"/>
    <x v="0"/>
    <s v="CVAS"/>
    <x v="0"/>
    <x v="0"/>
    <s v="Light Hard"/>
    <s v="Light"/>
    <s v="Light Hard"/>
    <x v="17"/>
    <s v="INACTIVE"/>
    <s v="YES"/>
    <n v="41176"/>
    <s v="Gay Mobile XXX"/>
    <s v="NIVEL 58 (2.99 Euros)"/>
    <n v="58"/>
    <s v="Weekly subscription"/>
    <n v="908"/>
    <n v="2.99"/>
    <n v="0.3"/>
    <n v="0.7"/>
    <m/>
    <m/>
    <s v=""/>
    <s v="GAY MOBILE"/>
  </r>
  <r>
    <n v="41589"/>
    <m/>
    <x v="202"/>
    <n v="56601"/>
    <n v="56601"/>
    <x v="217"/>
    <x v="111"/>
    <s v="CVAS"/>
    <x v="10"/>
    <x v="2"/>
    <s v=""/>
    <s v="Others"/>
    <s v="Free Time"/>
    <x v="22"/>
    <s v="ACTIVE"/>
    <s v="YES"/>
    <n v="41177"/>
    <s v="EnglishPills"/>
    <s v="NIVEL 128 (1.64 Euros)"/>
    <n v="128"/>
    <s v="Weekly subscription"/>
    <n v="908"/>
    <n v="1.64"/>
    <n v="0.4"/>
    <n v="0.6"/>
    <m/>
    <m/>
    <s v=""/>
    <s v="ENGLISH PILLS"/>
  </r>
  <r>
    <n v="41593"/>
    <m/>
    <x v="203"/>
    <n v="56801"/>
    <n v="56801"/>
    <x v="218"/>
    <x v="112"/>
    <s v="CVAS"/>
    <x v="10"/>
    <x v="7"/>
    <s v=""/>
    <s v="Others"/>
    <s v="Beauty and Health"/>
    <x v="22"/>
    <s v="ACTIVE"/>
    <s v="YES"/>
    <n v="41178"/>
    <s v="Eurosalud"/>
    <s v="NIVEL 135 (1.23 Euros)"/>
    <n v="135"/>
    <s v="Weekly subscription"/>
    <n v="908"/>
    <n v="1.23"/>
    <n v="0.4"/>
    <n v="0.6"/>
    <m/>
    <m/>
    <s v=""/>
    <s v="PORTAL EUROSALUD"/>
  </r>
  <r>
    <n v="41594"/>
    <n v="41593"/>
    <x v="203"/>
    <n v="56802"/>
    <n v="56802"/>
    <x v="219"/>
    <x v="112"/>
    <s v="CVAS"/>
    <x v="10"/>
    <x v="7"/>
    <s v=""/>
    <s v="Others"/>
    <s v="Beauty and Health"/>
    <x v="22"/>
    <s v="ACTIVE"/>
    <s v="YES"/>
    <n v="41178"/>
    <s v="Eurosalud"/>
    <s v="NIVEL 0 (0 Euros)"/>
    <n v="0"/>
    <s v="Weekly subscription"/>
    <n v="641"/>
    <n v="0"/>
    <m/>
    <m/>
    <m/>
    <m/>
    <s v=""/>
    <s v="PORTAL EUROSALUD"/>
  </r>
  <r>
    <n v="41597"/>
    <m/>
    <x v="204"/>
    <n v="57201"/>
    <n v="57201"/>
    <x v="220"/>
    <x v="143"/>
    <s v="CVAS"/>
    <x v="10"/>
    <x v="2"/>
    <s v=""/>
    <s v="Others"/>
    <s v="Free Time"/>
    <x v="22"/>
    <s v="ACTIVE"/>
    <s v="YES"/>
    <n v="41179"/>
    <s v="Taromancia"/>
    <s v="NIVEL 128 (1.64 Euros)"/>
    <n v="128"/>
    <s v="Weekly subscription"/>
    <n v="908"/>
    <n v="1.64"/>
    <n v="0.45"/>
    <n v="0.55000000000000004"/>
    <m/>
    <m/>
    <s v=""/>
    <s v="TAROMANCIA"/>
  </r>
  <r>
    <n v="41598"/>
    <n v="41597"/>
    <x v="204"/>
    <n v="57202"/>
    <n v="57202"/>
    <x v="221"/>
    <x v="143"/>
    <s v="CVAS"/>
    <x v="10"/>
    <x v="2"/>
    <s v=""/>
    <s v="Others"/>
    <s v="Free Time"/>
    <x v="22"/>
    <s v="ACTIVE"/>
    <s v="YES"/>
    <n v="41179"/>
    <s v="Taromancia"/>
    <s v="NIVEL 0 (0 Euros)"/>
    <n v="0"/>
    <s v="Weekly subscription"/>
    <n v="641"/>
    <n v="0"/>
    <m/>
    <m/>
    <m/>
    <m/>
    <s v=""/>
    <s v="TAROMANCIA"/>
  </r>
  <r>
    <n v="41601"/>
    <m/>
    <x v="205"/>
    <n v="57001"/>
    <n v="57001"/>
    <x v="222"/>
    <x v="126"/>
    <s v="CVAS"/>
    <x v="3"/>
    <x v="3"/>
    <s v=""/>
    <s v="Games"/>
    <s v=""/>
    <x v="22"/>
    <s v="ACTIVE"/>
    <s v="YES"/>
    <n v="41180"/>
    <s v="Games Club"/>
    <s v="NIVEL 137 (2.47 Euros)"/>
    <n v="137"/>
    <s v="Weekly subscription"/>
    <n v="908"/>
    <n v="2.4700000000000002"/>
    <n v="0.35"/>
    <n v="0.65"/>
    <m/>
    <m/>
    <s v=""/>
    <s v="GAMES CLUB"/>
  </r>
  <r>
    <n v="41603"/>
    <m/>
    <x v="206"/>
    <n v="57401"/>
    <n v="57401"/>
    <x v="223"/>
    <x v="0"/>
    <s v="CVAS"/>
    <x v="0"/>
    <x v="0"/>
    <s v="Light Hard"/>
    <s v="Light"/>
    <s v="Light Hard"/>
    <x v="21"/>
    <s v="INACTIVE"/>
    <s v="YES"/>
    <n v="41181"/>
    <s v="Xtreme Movies"/>
    <s v="NIVEL 58 (2.99 Euros)"/>
    <n v="58"/>
    <s v="Weekly subscription"/>
    <n v="908"/>
    <n v="2.99"/>
    <n v="0.3"/>
    <n v="0.7"/>
    <m/>
    <m/>
    <s v=""/>
    <s v="XTREME MOVIES"/>
  </r>
  <r>
    <n v="41633"/>
    <m/>
    <x v="207"/>
    <n v="34301"/>
    <n v="34301"/>
    <x v="224"/>
    <x v="41"/>
    <s v="CVAS"/>
    <x v="3"/>
    <x v="3"/>
    <s v=""/>
    <s v="Games"/>
    <s v=""/>
    <x v="8"/>
    <s v="ACTIVE"/>
    <s v="YES"/>
    <n v="41184"/>
    <s v="Susc Sem Play2Me"/>
    <s v="NIVEL 58 (2.99 Euros)"/>
    <n v="58"/>
    <s v="Weekly subscription"/>
    <n v="908"/>
    <n v="2.99"/>
    <n v="0.35"/>
    <n v="0.65"/>
    <m/>
    <m/>
    <s v=""/>
    <s v="PLAY2ME"/>
  </r>
  <r>
    <n v="41636"/>
    <m/>
    <x v="208"/>
    <n v="29101"/>
    <n v="29101"/>
    <x v="225"/>
    <x v="92"/>
    <s v="CVAS"/>
    <x v="3"/>
    <x v="3"/>
    <s v=""/>
    <s v="Games"/>
    <s v=""/>
    <x v="8"/>
    <s v="ACTIVE"/>
    <s v="YES"/>
    <n v="41186"/>
    <s v="Juegos en tu movil"/>
    <s v="NIVEL 58 (2.99 Euros)"/>
    <n v="58"/>
    <s v="Weekly subscription"/>
    <n v="908"/>
    <n v="2.99"/>
    <n v="0.35"/>
    <n v="0.65"/>
    <m/>
    <m/>
    <s v=""/>
    <s v="JUEGO EN TU MOVIL"/>
  </r>
  <r>
    <n v="41638"/>
    <m/>
    <x v="209"/>
    <n v="28401"/>
    <n v="28401"/>
    <x v="226"/>
    <x v="0"/>
    <s v="CVAS"/>
    <x v="0"/>
    <x v="0"/>
    <s v="Light Hard"/>
    <s v="Light"/>
    <s v="Light Hard"/>
    <x v="8"/>
    <s v="ACTIVE"/>
    <s v="YES"/>
    <n v="41187"/>
    <s v="Orgasmatron"/>
    <s v="NIVEL 138 (3.30 Euros)"/>
    <n v="138"/>
    <s v="Weekly subscription"/>
    <n v="908"/>
    <n v="3.3"/>
    <n v="0.25"/>
    <n v="0.75"/>
    <m/>
    <m/>
    <s v=""/>
    <s v="ORGASMATRON"/>
  </r>
  <r>
    <n v="41640"/>
    <m/>
    <x v="2"/>
    <m/>
    <m/>
    <x v="227"/>
    <x v="0"/>
    <s v="CVAS"/>
    <x v="0"/>
    <x v="0"/>
    <s v="Light Hard"/>
    <s v="Light"/>
    <s v="Light Hard"/>
    <x v="0"/>
    <s v="INACTIVE"/>
    <s v="YES"/>
    <n v="41188"/>
    <s v="Mi Sex Video"/>
    <s v="NIVEL 58 (2.99 Euros)"/>
    <n v="58"/>
    <s v="Weekly subscription"/>
    <n v="908"/>
    <n v="2.99"/>
    <n v="0.3"/>
    <n v="0.7"/>
    <m/>
    <m/>
    <s v=""/>
    <s v="MI SEX VIDEO"/>
  </r>
  <r>
    <n v="41644"/>
    <m/>
    <x v="2"/>
    <m/>
    <m/>
    <x v="228"/>
    <x v="129"/>
    <s v="CVAS"/>
    <x v="5"/>
    <x v="7"/>
    <s v=""/>
    <s v="Others"/>
    <s v="Beauty and Health"/>
    <x v="0"/>
    <s v="ACTIVE"/>
    <s v="YES"/>
    <n v="41189"/>
    <s v="Natural Beauty"/>
    <s v="NIVEL 136 (2.06 Euros)"/>
    <n v="136"/>
    <s v="Weekly subscription"/>
    <n v="908"/>
    <n v="2.06"/>
    <n v="0.4"/>
    <n v="0.6"/>
    <m/>
    <m/>
    <s v=""/>
    <s v="NATURAL BEAUTY"/>
  </r>
  <r>
    <n v="41648"/>
    <m/>
    <x v="210"/>
    <n v="28701"/>
    <n v="28701"/>
    <x v="229"/>
    <x v="0"/>
    <s v="CVAS"/>
    <x v="0"/>
    <x v="0"/>
    <s v="Light Hard"/>
    <s v="Light"/>
    <s v="Light Hard"/>
    <x v="8"/>
    <s v="ACTIVE"/>
    <s v="YES"/>
    <n v="41190"/>
    <s v="Vicious Cam"/>
    <s v="NIVEL 59 (3.49 Euros)"/>
    <n v="59"/>
    <s v="Weekly subscription"/>
    <n v="908"/>
    <n v="3.49"/>
    <n v="0.25"/>
    <n v="0.75"/>
    <m/>
    <m/>
    <s v=""/>
    <s v="VICIOUS CAM"/>
  </r>
  <r>
    <n v="41650"/>
    <m/>
    <x v="211"/>
    <n v="26801"/>
    <n v="26801"/>
    <x v="230"/>
    <x v="136"/>
    <s v="CVAS"/>
    <x v="5"/>
    <x v="2"/>
    <s v=""/>
    <s v="Others"/>
    <s v="Free Time"/>
    <x v="8"/>
    <s v="ACTIVE"/>
    <s v="YES"/>
    <n v="41191"/>
    <s v="Zaaass Videos"/>
    <s v="NIVEL 136 (2.06 Euros)"/>
    <n v="136"/>
    <s v="Weekly subscription"/>
    <n v="908"/>
    <n v="2.06"/>
    <n v="0.35"/>
    <n v="0.65"/>
    <m/>
    <m/>
    <s v=""/>
    <s v="ZAAASS VIDEOS"/>
  </r>
  <r>
    <n v="41652"/>
    <m/>
    <x v="212"/>
    <n v="26601"/>
    <n v="26601"/>
    <x v="231"/>
    <x v="137"/>
    <s v="CVAS"/>
    <x v="5"/>
    <x v="8"/>
    <s v=""/>
    <s v="Others"/>
    <s v="Kids"/>
    <x v="8"/>
    <s v="ACTIVE"/>
    <s v="YES"/>
    <n v="41192"/>
    <s v="Kids Tube"/>
    <s v="NIVEL 136 (2.06 Euros)"/>
    <n v="136"/>
    <s v="Weekly subscription"/>
    <n v="908"/>
    <n v="2.06"/>
    <n v="0.4"/>
    <n v="0.6"/>
    <m/>
    <m/>
    <s v=""/>
    <s v="KIDS TUBE"/>
  </r>
  <r>
    <n v="41654"/>
    <m/>
    <x v="213"/>
    <n v="43302"/>
    <n v="43302"/>
    <x v="232"/>
    <x v="122"/>
    <s v="CVAS"/>
    <x v="10"/>
    <x v="7"/>
    <s v=""/>
    <s v="Others"/>
    <s v="Beauty and Health"/>
    <x v="13"/>
    <s v="ACTIVE"/>
    <s v="YES"/>
    <n v="41193"/>
    <s v="Fashion Bip"/>
    <s v="NIVEL 135 (1.23 Euros)"/>
    <n v="135"/>
    <s v="Weekly subscription"/>
    <n v="908"/>
    <n v="1.23"/>
    <n v="0.5"/>
    <n v="0.5"/>
    <m/>
    <m/>
    <s v=""/>
    <s v="REVISTA DE MODA"/>
  </r>
  <r>
    <n v="41655"/>
    <n v="41654"/>
    <x v="213"/>
    <n v="43301"/>
    <n v="43301"/>
    <x v="233"/>
    <x v="122"/>
    <s v="CVAS"/>
    <x v="10"/>
    <x v="7"/>
    <s v=""/>
    <s v="Others"/>
    <s v="Beauty and Health"/>
    <x v="13"/>
    <s v="ACTIVE"/>
    <s v="YES"/>
    <n v="41193"/>
    <s v="Fashion Bip"/>
    <s v="NIVEL 0 (0 Euros)"/>
    <n v="0"/>
    <s v="Weekly subscription"/>
    <n v="641"/>
    <n v="0"/>
    <m/>
    <m/>
    <m/>
    <m/>
    <s v=""/>
    <s v="REVISTA DE MODA"/>
  </r>
  <r>
    <n v="41659"/>
    <m/>
    <x v="214"/>
    <n v="37901"/>
    <n v="37901"/>
    <x v="234"/>
    <x v="0"/>
    <s v="CVAS"/>
    <x v="0"/>
    <x v="0"/>
    <s v="Light Hard"/>
    <s v="Light"/>
    <s v="Light Hard"/>
    <x v="17"/>
    <s v="ACTIVE"/>
    <s v="YES"/>
    <n v="41197"/>
    <s v="Gay Mobile XXX"/>
    <s v="NIVEL 58 (2.99 Euros)"/>
    <n v="58"/>
    <s v="Weekly subscription"/>
    <n v="908"/>
    <n v="2.99"/>
    <n v="0.3"/>
    <n v="0.7"/>
    <m/>
    <m/>
    <s v=""/>
    <s v="GAY MOBILE"/>
  </r>
  <r>
    <n v="41663"/>
    <m/>
    <x v="215"/>
    <n v="50302"/>
    <n v="50302"/>
    <x v="235"/>
    <x v="0"/>
    <s v="CVAS"/>
    <x v="0"/>
    <x v="0"/>
    <s v="Light Hard"/>
    <s v="Light"/>
    <s v="Light Hard"/>
    <x v="10"/>
    <s v="ACTIVE"/>
    <s v="YES"/>
    <n v="41198"/>
    <s v="Digital Sin"/>
    <s v="NIVEL 58 (2.99 Euros)"/>
    <n v="58"/>
    <s v="Weekly subscription"/>
    <n v="908"/>
    <n v="2.99"/>
    <n v="0.3"/>
    <n v="0.7"/>
    <m/>
    <m/>
    <s v=""/>
    <s v="DIGITAL SIN"/>
  </r>
  <r>
    <n v="41664"/>
    <n v="41663"/>
    <x v="215"/>
    <n v="50301"/>
    <n v="50301"/>
    <x v="236"/>
    <x v="0"/>
    <s v="CVAS"/>
    <x v="0"/>
    <x v="0"/>
    <s v="Light Hard"/>
    <s v="Light"/>
    <s v="Light Hard"/>
    <x v="10"/>
    <s v="ACTIVE"/>
    <s v="YES"/>
    <n v="41198"/>
    <s v="Digital Sin"/>
    <s v="NIVEL 0 (0 Euros)"/>
    <n v="0"/>
    <s v="Weekly subscription"/>
    <n v="641"/>
    <n v="0"/>
    <m/>
    <m/>
    <m/>
    <m/>
    <s v=""/>
    <s v="DIGITAL SIN"/>
  </r>
  <r>
    <n v="41667"/>
    <m/>
    <x v="216"/>
    <n v="50601"/>
    <n v="50601"/>
    <x v="237"/>
    <x v="0"/>
    <s v="CVAS"/>
    <x v="0"/>
    <x v="0"/>
    <s v="Light Hard"/>
    <s v="Light"/>
    <s v="Light Hard"/>
    <x v="10"/>
    <s v="INACTIVE"/>
    <s v="YES"/>
    <n v="41199"/>
    <s v="New Sensations"/>
    <s v="NIVEL 58 (2.99 Euros)"/>
    <n v="58"/>
    <s v="Weekly subscription"/>
    <n v="908"/>
    <n v="2.99"/>
    <n v="0.3"/>
    <n v="0.7"/>
    <m/>
    <m/>
    <s v=""/>
    <s v="NEW SENSATIONS"/>
  </r>
  <r>
    <n v="41671"/>
    <m/>
    <x v="217"/>
    <n v="48701"/>
    <n v="48701"/>
    <x v="238"/>
    <x v="0"/>
    <s v="CVAS"/>
    <x v="0"/>
    <x v="0"/>
    <s v="Light Hard"/>
    <s v="Light"/>
    <s v="Light Hard"/>
    <x v="10"/>
    <s v="ACTIVE"/>
    <s v="YES"/>
    <n v="41200"/>
    <s v="Orgias"/>
    <s v="NIVEL 58 (2.99 Euros)"/>
    <n v="58"/>
    <s v="Weekly subscription"/>
    <n v="908"/>
    <n v="2.99"/>
    <n v="0.3"/>
    <n v="0.7"/>
    <m/>
    <m/>
    <s v=""/>
    <s v="ORGIAS"/>
  </r>
  <r>
    <n v="41675"/>
    <m/>
    <x v="218"/>
    <n v="50801"/>
    <n v="50801"/>
    <x v="239"/>
    <x v="0"/>
    <s v="CVAS"/>
    <x v="0"/>
    <x v="0"/>
    <s v="Light Hard"/>
    <s v="Light"/>
    <s v="Light Hard"/>
    <x v="10"/>
    <s v="ACTIVE"/>
    <s v="YES"/>
    <n v="41201"/>
    <s v="Playhouse"/>
    <s v="NIVEL 58 (2.99 Euros)"/>
    <n v="58"/>
    <s v="Weekly subscription"/>
    <n v="908"/>
    <n v="2.99"/>
    <n v="0.3"/>
    <n v="0.7"/>
    <m/>
    <m/>
    <s v=""/>
    <s v="PLAYHOUSE"/>
  </r>
  <r>
    <n v="41680"/>
    <m/>
    <x v="219"/>
    <n v="48901"/>
    <n v="48901"/>
    <x v="240"/>
    <x v="0"/>
    <s v="CVAS"/>
    <x v="0"/>
    <x v="0"/>
    <s v="Light Hard"/>
    <s v="Light"/>
    <s v="Light Hard"/>
    <x v="10"/>
    <s v="ACTIVE"/>
    <s v="YES"/>
    <n v="41203"/>
    <s v="Por Culo"/>
    <s v="NIVEL 58 (2.99 Euros)"/>
    <n v="58"/>
    <s v="Weekly subscription"/>
    <n v="908"/>
    <n v="2.99"/>
    <n v="0.3"/>
    <n v="0.7"/>
    <m/>
    <m/>
    <s v=""/>
    <s v="POR CULO"/>
  </r>
  <r>
    <n v="41692"/>
    <m/>
    <x v="220"/>
    <n v="45001"/>
    <n v="45001"/>
    <x v="241"/>
    <x v="0"/>
    <s v="CVAS"/>
    <x v="0"/>
    <x v="0"/>
    <s v="Light Hard"/>
    <s v="Light"/>
    <s v="Light Hard"/>
    <x v="9"/>
    <s v="INACTIVE"/>
    <s v="YES"/>
    <n v="41206"/>
    <s v="Playboy"/>
    <s v="NIVEL 58 (2.99 Euros)"/>
    <n v="58"/>
    <s v="Weekly subscription"/>
    <n v="908"/>
    <n v="2.99"/>
    <n v="0.3"/>
    <n v="0.7"/>
    <m/>
    <m/>
    <s v=""/>
    <s v="PLAYBOY"/>
  </r>
  <r>
    <n v="41696"/>
    <m/>
    <x v="2"/>
    <m/>
    <m/>
    <x v="242"/>
    <x v="141"/>
    <s v="CVAS"/>
    <x v="5"/>
    <x v="2"/>
    <s v=""/>
    <s v="Others"/>
    <s v="Free Time"/>
    <x v="15"/>
    <s v="ACTIVE"/>
    <s v="YES"/>
    <n v="41207"/>
    <s v="Coto de Caza"/>
    <s v="NIVEL 136 (2.06 Euros)"/>
    <n v="136"/>
    <s v="Weekly subscription"/>
    <n v="908"/>
    <n v="2.06"/>
    <n v="0.4"/>
    <n v="0.6"/>
    <m/>
    <m/>
    <s v=""/>
    <s v="VIDEO COTO D CAZA"/>
  </r>
  <r>
    <n v="41700"/>
    <m/>
    <x v="2"/>
    <m/>
    <m/>
    <x v="243"/>
    <x v="132"/>
    <s v="CVAS"/>
    <x v="10"/>
    <x v="2"/>
    <s v=""/>
    <s v="Others"/>
    <s v="Free Time"/>
    <x v="6"/>
    <s v="ACTIVE"/>
    <s v="YES"/>
    <n v="41208"/>
    <s v="Hazlo tu Mism@"/>
    <s v="NIVEL 130 (0.82 Euros)"/>
    <n v="130"/>
    <s v="Weekly subscription"/>
    <n v="908"/>
    <n v="0.82"/>
    <n v="0.43"/>
    <n v="0.56999999999999995"/>
    <m/>
    <m/>
    <s v=""/>
    <s v="HAZLO TÚ MISM@"/>
  </r>
  <r>
    <n v="41701"/>
    <n v="41700"/>
    <x v="2"/>
    <m/>
    <m/>
    <x v="244"/>
    <x v="132"/>
    <s v="CVAS"/>
    <x v="10"/>
    <x v="2"/>
    <s v=""/>
    <s v="Others"/>
    <s v="Free Time"/>
    <x v="6"/>
    <s v="ACTIVE"/>
    <s v="YES"/>
    <n v="41208"/>
    <s v="Hazlo tu Mism@"/>
    <s v="NIVEL 0 (0 Euros)"/>
    <n v="0"/>
    <s v="Weekly subscription"/>
    <n v="641"/>
    <n v="0"/>
    <m/>
    <m/>
    <m/>
    <m/>
    <s v=""/>
    <s v="HAZLO TÚ MISM@"/>
  </r>
  <r>
    <n v="41758"/>
    <m/>
    <x v="221"/>
    <n v="43202"/>
    <n v="43202"/>
    <x v="245"/>
    <x v="144"/>
    <s v="CVAS"/>
    <x v="10"/>
    <x v="2"/>
    <s v=""/>
    <s v="Others"/>
    <s v="Free Time"/>
    <x v="13"/>
    <s v="ACTIVE"/>
    <s v="YES"/>
    <n v="41219"/>
    <s v="Mascotas"/>
    <s v="NIVEL 135 (1.23 Euros)"/>
    <n v="135"/>
    <s v="Weekly subscription"/>
    <n v="908"/>
    <n v="1.23"/>
    <n v="0.5"/>
    <n v="0.5"/>
    <m/>
    <m/>
    <s v=""/>
    <s v="MASCOTAS"/>
  </r>
  <r>
    <n v="41759"/>
    <n v="41758"/>
    <x v="221"/>
    <n v="43201"/>
    <n v="43201"/>
    <x v="246"/>
    <x v="144"/>
    <s v="CVAS"/>
    <x v="10"/>
    <x v="2"/>
    <s v=""/>
    <s v="Others"/>
    <s v="Free Time"/>
    <x v="13"/>
    <s v="ACTIVE"/>
    <s v="YES"/>
    <n v="41219"/>
    <s v="Mascotas"/>
    <s v="NIVEL 0 (0 Euros)"/>
    <n v="0"/>
    <s v="Weekly subscription"/>
    <n v="641"/>
    <n v="0"/>
    <m/>
    <m/>
    <m/>
    <m/>
    <s v=""/>
    <s v="MASCOTAS"/>
  </r>
  <r>
    <n v="41762"/>
    <m/>
    <x v="222"/>
    <n v="48001"/>
    <n v="48001"/>
    <x v="247"/>
    <x v="0"/>
    <s v="CVAS"/>
    <x v="0"/>
    <x v="0"/>
    <s v="Light Soft"/>
    <s v="Light"/>
    <s v="Light Soft"/>
    <x v="10"/>
    <s v="ACTIVE"/>
    <s v="YES"/>
    <n v="41220"/>
    <s v="Enfermeras"/>
    <s v="NIVEL 58 (2.99 Euros)"/>
    <n v="58"/>
    <s v="Weekly subscription"/>
    <n v="908"/>
    <n v="2.99"/>
    <n v="0.3"/>
    <n v="0.7"/>
    <m/>
    <m/>
    <s v=""/>
    <s v="ENFERMERAS"/>
  </r>
  <r>
    <n v="41764"/>
    <m/>
    <x v="223"/>
    <n v="49501"/>
    <n v="49501"/>
    <x v="248"/>
    <x v="0"/>
    <s v="CVAS"/>
    <x v="0"/>
    <x v="0"/>
    <s v="Light Hard"/>
    <s v="Light"/>
    <s v="Light Hard"/>
    <x v="10"/>
    <s v="ACTIVE"/>
    <s v="YES"/>
    <n v="41221"/>
    <s v="Tetonas"/>
    <s v="NIVEL 58 (2.99 Euros)"/>
    <n v="58"/>
    <s v="Weekly subscription"/>
    <n v="908"/>
    <n v="2.99"/>
    <n v="0.3"/>
    <n v="0.7"/>
    <m/>
    <m/>
    <s v=""/>
    <s v="TETONAS"/>
  </r>
  <r>
    <n v="41766"/>
    <m/>
    <x v="224"/>
    <n v="49101"/>
    <n v="49101"/>
    <x v="249"/>
    <x v="0"/>
    <s v="CVAS"/>
    <x v="0"/>
    <x v="0"/>
    <s v="Light Hard"/>
    <s v="Light"/>
    <s v="Light Hard"/>
    <x v="10"/>
    <s v="ACTIVE"/>
    <s v="YES"/>
    <n v="41222"/>
    <s v="Amateur"/>
    <s v="NIVEL 58 (2.99 Euros)"/>
    <n v="58"/>
    <s v="Weekly subscription"/>
    <n v="908"/>
    <n v="2.99"/>
    <n v="0.3"/>
    <n v="0.7"/>
    <m/>
    <m/>
    <s v=""/>
    <s v="AMATEUR"/>
  </r>
  <r>
    <n v="41788"/>
    <m/>
    <x v="225"/>
    <n v="44801"/>
    <n v="44801"/>
    <x v="250"/>
    <x v="0"/>
    <s v="CVAS"/>
    <x v="0"/>
    <x v="0"/>
    <s v="Light Hard"/>
    <s v="Light"/>
    <s v="Light Hard"/>
    <x v="9"/>
    <s v="INACTIVE"/>
    <s v="YES"/>
    <n v="41223"/>
    <s v="Penthouse"/>
    <s v="NIVEL 58 (2.99 Euros)"/>
    <n v="58"/>
    <s v="Weekly subscription"/>
    <n v="908"/>
    <n v="2.99"/>
    <n v="0.3"/>
    <n v="0.7"/>
    <m/>
    <m/>
    <s v=""/>
    <s v="PENTHOUSE"/>
  </r>
  <r>
    <n v="41790"/>
    <m/>
    <x v="2"/>
    <m/>
    <m/>
    <x v="251"/>
    <x v="109"/>
    <s v="CVAS"/>
    <x v="3"/>
    <x v="3"/>
    <s v=""/>
    <s v="Games"/>
    <s v=""/>
    <x v="11"/>
    <s v="ACTIVE"/>
    <s v="YES"/>
    <n v="41224"/>
    <s v="Tap To Fun"/>
    <s v="NIVEL 56 (1.99 Euros)"/>
    <n v="56"/>
    <s v="Weekly subscription"/>
    <n v="908"/>
    <n v="1.99"/>
    <n v="0.45"/>
    <n v="0.55000000000000004"/>
    <m/>
    <m/>
    <s v=""/>
    <s v="TAP TO FUN"/>
  </r>
  <r>
    <n v="41792"/>
    <m/>
    <x v="2"/>
    <m/>
    <m/>
    <x v="252"/>
    <x v="99"/>
    <s v="CVAS"/>
    <x v="9"/>
    <x v="2"/>
    <s v=""/>
    <s v="Others"/>
    <s v="Free Time"/>
    <x v="11"/>
    <s v="ACTIVE"/>
    <s v="YES"/>
    <n v="41225"/>
    <s v="Tap the stars"/>
    <s v="NIVEL 56 (1.99 Euros)"/>
    <n v="56"/>
    <s v="Weekly subscription"/>
    <n v="908"/>
    <n v="1.99"/>
    <n v="0.4"/>
    <n v="0.6"/>
    <m/>
    <m/>
    <s v=""/>
    <s v="TAP TO STARS"/>
  </r>
  <r>
    <n v="41794"/>
    <m/>
    <x v="2"/>
    <m/>
    <m/>
    <x v="253"/>
    <x v="134"/>
    <s v="CVAS"/>
    <x v="10"/>
    <x v="7"/>
    <s v=""/>
    <s v="Others"/>
    <s v="Beauty and Health"/>
    <x v="11"/>
    <s v="ACTIVE"/>
    <s v="YES"/>
    <n v="41226"/>
    <s v="Daily Diva"/>
    <s v="NIVEL 128 (1.64 Euros)"/>
    <n v="128"/>
    <s v="Weekly subscription"/>
    <n v="908"/>
    <n v="1.64"/>
    <n v="0.4"/>
    <n v="0.6"/>
    <m/>
    <m/>
    <s v=""/>
    <s v="DAILY DIVA MUJER"/>
  </r>
  <r>
    <n v="41796"/>
    <m/>
    <x v="2"/>
    <m/>
    <m/>
    <x v="254"/>
    <x v="145"/>
    <s v="CVAS"/>
    <x v="5"/>
    <x v="2"/>
    <s v=""/>
    <s v="Others"/>
    <s v="Free Time"/>
    <x v="11"/>
    <s v="ACTIVE"/>
    <s v="YES"/>
    <n v="41227"/>
    <s v="Fashion TV"/>
    <s v="NIVEL 56 (1.99 Euros)"/>
    <n v="56"/>
    <s v="Weekly subscription"/>
    <n v="908"/>
    <n v="1.99"/>
    <n v="0.5"/>
    <n v="0.5"/>
    <m/>
    <m/>
    <s v=""/>
    <s v="FASHION TV"/>
  </r>
  <r>
    <n v="41798"/>
    <m/>
    <x v="2"/>
    <m/>
    <m/>
    <x v="255"/>
    <x v="146"/>
    <s v="CVAS"/>
    <x v="5"/>
    <x v="2"/>
    <s v=""/>
    <s v="Others"/>
    <s v="Free Time"/>
    <x v="11"/>
    <s v="ACTIVE"/>
    <s v="YES"/>
    <n v="41228"/>
    <s v="Top Video"/>
    <s v="NIVEL 128 (1.64 Euros)"/>
    <n v="128"/>
    <s v="Weekly subscription"/>
    <n v="908"/>
    <n v="1.64"/>
    <n v="0.35"/>
    <n v="0.65"/>
    <m/>
    <m/>
    <s v=""/>
    <s v="TOPVIDEO"/>
  </r>
  <r>
    <n v="41800"/>
    <m/>
    <x v="2"/>
    <m/>
    <m/>
    <x v="256"/>
    <x v="119"/>
    <s v="CVAS"/>
    <x v="3"/>
    <x v="3"/>
    <s v=""/>
    <s v="Games"/>
    <s v=""/>
    <x v="11"/>
    <s v="ACTIVE"/>
    <s v="YES"/>
    <n v="41229"/>
    <s v="Game Shaker"/>
    <s v="NIVEL 128 (1.64 Euros)"/>
    <n v="128"/>
    <s v="Weekly subscription"/>
    <n v="908"/>
    <n v="1.64"/>
    <n v="0.35"/>
    <n v="0.65"/>
    <m/>
    <m/>
    <s v=""/>
    <s v="JUEGOS GAMESHAKER"/>
  </r>
  <r>
    <n v="41802"/>
    <m/>
    <x v="2"/>
    <m/>
    <m/>
    <x v="257"/>
    <x v="135"/>
    <s v="CVAS"/>
    <x v="10"/>
    <x v="8"/>
    <s v=""/>
    <s v="Others"/>
    <s v="Kids"/>
    <x v="11"/>
    <s v="ACTIVE"/>
    <s v="YES"/>
    <n v="41230"/>
    <s v="Edukidz"/>
    <s v="NIVEL 128 (1.64 Euros)"/>
    <n v="128"/>
    <s v="Weekly subscription"/>
    <n v="908"/>
    <n v="1.64"/>
    <n v="0.4"/>
    <n v="0.6"/>
    <m/>
    <m/>
    <s v=""/>
    <s v="EDUKIDZ"/>
  </r>
  <r>
    <n v="41804"/>
    <m/>
    <x v="2"/>
    <m/>
    <m/>
    <x v="258"/>
    <x v="139"/>
    <s v="CVAS"/>
    <x v="10"/>
    <x v="2"/>
    <s v=""/>
    <s v="Others"/>
    <s v="Free Time"/>
    <x v="11"/>
    <s v="ACTIVE"/>
    <s v="YES"/>
    <n v="41231"/>
    <s v=" iTrip Viajes y +"/>
    <s v="NIVEL 137 (2.47 Euros)"/>
    <n v="137"/>
    <s v="Weekly subscription"/>
    <n v="908"/>
    <n v="2.4700000000000002"/>
    <n v="0.4"/>
    <n v="0.6"/>
    <m/>
    <m/>
    <s v=""/>
    <s v="I TRIP VIAJES Y +"/>
  </r>
  <r>
    <n v="41805"/>
    <n v="41804"/>
    <x v="2"/>
    <m/>
    <m/>
    <x v="259"/>
    <x v="139"/>
    <s v="CVAS"/>
    <x v="10"/>
    <x v="2"/>
    <s v=""/>
    <s v="Others"/>
    <s v="Free Time"/>
    <x v="11"/>
    <s v="ACTIVE"/>
    <s v="YES"/>
    <n v="41231"/>
    <s v=" iTrip Viajes y +"/>
    <s v="NIVEL 0 (0 Euros)"/>
    <n v="0"/>
    <s v="Weekly subscription"/>
    <n v="641"/>
    <n v="0"/>
    <m/>
    <m/>
    <m/>
    <m/>
    <s v=""/>
    <s v="I TRIP VIAJES Y +"/>
  </r>
  <r>
    <n v="41809"/>
    <m/>
    <x v="2"/>
    <m/>
    <m/>
    <x v="260"/>
    <x v="138"/>
    <s v="CVAS"/>
    <x v="10"/>
    <x v="2"/>
    <s v=""/>
    <s v="Others"/>
    <s v="Free Time"/>
    <x v="11"/>
    <s v="ACTIVE"/>
    <s v="YES"/>
    <n v="41233"/>
    <s v="Chef Book Recetas"/>
    <s v="NIVEL 137 (2.47 Euros)"/>
    <n v="137"/>
    <s v="Weekly subscription"/>
    <n v="908"/>
    <n v="2.4700000000000002"/>
    <n v="0.4"/>
    <n v="0.6"/>
    <m/>
    <m/>
    <s v=""/>
    <s v="CHEF BOOK RECETAS"/>
  </r>
  <r>
    <n v="41810"/>
    <n v="41809"/>
    <x v="2"/>
    <m/>
    <m/>
    <x v="261"/>
    <x v="138"/>
    <s v="CVAS"/>
    <x v="10"/>
    <x v="2"/>
    <s v=""/>
    <s v="Others"/>
    <s v="Free Time"/>
    <x v="11"/>
    <s v="ACTIVE"/>
    <s v="YES"/>
    <n v="41233"/>
    <s v="Chef Book Recetas"/>
    <s v="NIVEL 0 (0 Euros)"/>
    <n v="0"/>
    <s v="Weekly subscription"/>
    <n v="641"/>
    <n v="0"/>
    <m/>
    <m/>
    <m/>
    <m/>
    <s v=""/>
    <s v="CHEF BOOK RECETAS"/>
  </r>
  <r>
    <n v="41813"/>
    <m/>
    <x v="2"/>
    <m/>
    <m/>
    <x v="262"/>
    <x v="0"/>
    <s v="CVAS"/>
    <x v="0"/>
    <x v="0"/>
    <s v="Light TV"/>
    <s v="Light"/>
    <s v="Light TV"/>
    <x v="0"/>
    <s v="ACTIVE"/>
    <s v="YES"/>
    <n v="41234"/>
    <s v="Taquilla X3"/>
    <s v="NIVEL 58 (2.99 Euros)"/>
    <n v="58"/>
    <s v="Weekly subscription"/>
    <n v="908"/>
    <n v="2.99"/>
    <n v="0.3"/>
    <n v="0.7"/>
    <m/>
    <m/>
    <s v=""/>
    <s v="TAQUILLAS"/>
  </r>
  <r>
    <n v="41815"/>
    <m/>
    <x v="2"/>
    <m/>
    <m/>
    <x v="263"/>
    <x v="0"/>
    <s v="CVAS"/>
    <x v="0"/>
    <x v="0"/>
    <s v="Light TV"/>
    <s v="Light"/>
    <s v="Light TV"/>
    <x v="0"/>
    <s v="ACTIVE"/>
    <s v="YES"/>
    <n v="41235"/>
    <s v="Taquilla X4"/>
    <s v="NIVEL 58 (2.99 Euros)"/>
    <n v="58"/>
    <s v="Weekly subscription"/>
    <n v="908"/>
    <n v="2.99"/>
    <n v="0.3"/>
    <n v="0.7"/>
    <m/>
    <m/>
    <s v=""/>
    <s v="TAQUILLAS"/>
  </r>
  <r>
    <n v="41817"/>
    <m/>
    <x v="2"/>
    <m/>
    <m/>
    <x v="264"/>
    <x v="0"/>
    <s v="CVAS"/>
    <x v="0"/>
    <x v="0"/>
    <s v="Light TV"/>
    <s v="Light"/>
    <s v="Light TV"/>
    <x v="15"/>
    <s v="ACTIVE"/>
    <s v="YES"/>
    <n v="41236"/>
    <s v="Taquilla X8"/>
    <s v="NIVEL 58 (2.99 Euros)"/>
    <n v="58"/>
    <s v="Weekly subscription"/>
    <n v="908"/>
    <n v="2.99"/>
    <n v="0.3"/>
    <n v="0.7"/>
    <m/>
    <m/>
    <s v=""/>
    <s v="TAQUILLAS"/>
  </r>
  <r>
    <n v="41820"/>
    <m/>
    <x v="2"/>
    <m/>
    <m/>
    <x v="265"/>
    <x v="0"/>
    <s v="CVAS"/>
    <x v="0"/>
    <x v="0"/>
    <s v="Light TV"/>
    <s v="Light"/>
    <s v="Light TV"/>
    <x v="15"/>
    <s v="ACTIVE"/>
    <s v="YES"/>
    <n v="41237"/>
    <s v="Taquilla X9"/>
    <s v="NIVEL 12 (5 E)"/>
    <n v="12"/>
    <s v="Weekly subscription"/>
    <n v="908"/>
    <n v="5"/>
    <n v="0.3"/>
    <n v="0.7"/>
    <m/>
    <m/>
    <s v=""/>
    <s v="TAQUILLAS"/>
  </r>
  <r>
    <n v="41822"/>
    <m/>
    <x v="2"/>
    <m/>
    <m/>
    <x v="266"/>
    <x v="0"/>
    <s v="CVAS"/>
    <x v="0"/>
    <x v="0"/>
    <s v="Light TV"/>
    <s v="Light"/>
    <s v="Light TV"/>
    <x v="15"/>
    <s v="ACTIVE"/>
    <s v="YES"/>
    <n v="41238"/>
    <s v="Taquilla X10"/>
    <s v="NIVEL 58 (2.99 Euros)"/>
    <n v="58"/>
    <s v="Weekly subscription"/>
    <n v="908"/>
    <n v="2.99"/>
    <n v="0.3"/>
    <n v="0.7"/>
    <m/>
    <m/>
    <s v=""/>
    <s v="TAQUILLAS"/>
  </r>
  <r>
    <n v="41824"/>
    <m/>
    <x v="121"/>
    <n v="47602"/>
    <n v="47602"/>
    <x v="267"/>
    <x v="147"/>
    <s v="CVAS"/>
    <x v="3"/>
    <x v="3"/>
    <s v=""/>
    <s v="Games"/>
    <s v=""/>
    <x v="19"/>
    <s v="ACTIVE"/>
    <s v="YES"/>
    <n v="41239"/>
    <s v="Amigo Games"/>
    <s v="NIVEL 54 (0.99 Euros)"/>
    <n v="54"/>
    <s v="Weekly subscription"/>
    <n v="908"/>
    <n v="0.99"/>
    <n v="0.4"/>
    <n v="0.6"/>
    <m/>
    <m/>
    <s v=""/>
    <s v="AMIGO GAMES"/>
  </r>
  <r>
    <n v="41825"/>
    <n v="41824"/>
    <x v="121"/>
    <n v="47601"/>
    <n v="47601"/>
    <x v="268"/>
    <x v="147"/>
    <s v="CVAS"/>
    <x v="3"/>
    <x v="3"/>
    <s v=""/>
    <s v="Games"/>
    <s v=""/>
    <x v="19"/>
    <s v="ACTIVE"/>
    <s v="YES"/>
    <n v="41239"/>
    <s v="Amigo Games"/>
    <s v="NIVEL 0 (0 Euros)"/>
    <n v="0"/>
    <s v="Weekly subscription"/>
    <n v="641"/>
    <n v="0"/>
    <m/>
    <m/>
    <m/>
    <m/>
    <s v=""/>
    <s v="AMIGO GAMES"/>
  </r>
  <r>
    <n v="41909"/>
    <m/>
    <x v="226"/>
    <n v="57801"/>
    <n v="57801"/>
    <x v="269"/>
    <x v="148"/>
    <s v="CVAS"/>
    <x v="5"/>
    <x v="2"/>
    <s v=""/>
    <s v="Others"/>
    <s v="Free Time"/>
    <x v="20"/>
    <s v="ACTIVE"/>
    <s v="YES"/>
    <n v="41276"/>
    <s v="The Tourist"/>
    <s v="NIVEL 136 (2.06 Euros)"/>
    <n v="136"/>
    <s v="Weekly subscription"/>
    <n v="908"/>
    <n v="2.06"/>
    <n v="0.45"/>
    <n v="0.55000000000000004"/>
    <m/>
    <m/>
    <s v=""/>
    <s v="THE TOURIST VIDEO"/>
  </r>
  <r>
    <n v="41949"/>
    <m/>
    <x v="227"/>
    <n v="23801"/>
    <n v="23801"/>
    <x v="270"/>
    <x v="146"/>
    <s v="CVAS"/>
    <x v="5"/>
    <x v="2"/>
    <s v=""/>
    <s v="Others"/>
    <s v="Free Time"/>
    <x v="11"/>
    <s v="ACTIVE"/>
    <s v="YES"/>
    <n v="41296"/>
    <s v="Top Video"/>
    <s v="NIVEL 128 (1.64 Euros)"/>
    <n v="128"/>
    <s v="Weekly subscription"/>
    <n v="908"/>
    <n v="1.64"/>
    <n v="0.45"/>
    <n v="0.55000000000000004"/>
    <m/>
    <m/>
    <s v=""/>
    <s v="TOPVIDEO"/>
  </r>
  <r>
    <n v="42011"/>
    <m/>
    <x v="228"/>
    <n v="30101"/>
    <n v="30101"/>
    <x v="271"/>
    <x v="0"/>
    <s v="CVAS"/>
    <x v="0"/>
    <x v="0"/>
    <s v=""/>
    <s v="Light"/>
    <s v="Light Soft"/>
    <x v="0"/>
    <s v="ACTIVE"/>
    <s v="YES"/>
    <n v="41337"/>
    <s v="eXoticas"/>
    <s v="NIVEL 135 (1.23 Euros)"/>
    <n v="135"/>
    <s v="Weekly subscription"/>
    <n v="908"/>
    <n v="1.23"/>
    <n v="0.45"/>
    <n v="0.55000000000000004"/>
    <m/>
    <m/>
    <s v=""/>
    <s v="EXOTICAS"/>
  </r>
  <r>
    <n v="42049"/>
    <m/>
    <x v="229"/>
    <n v="22201"/>
    <n v="22201"/>
    <x v="272"/>
    <x v="149"/>
    <s v="CVAS"/>
    <x v="3"/>
    <x v="3"/>
    <s v=""/>
    <s v="Games"/>
    <s v=""/>
    <x v="11"/>
    <s v="ACTIVE"/>
    <s v="YES"/>
    <n v="41356"/>
    <s v="Fun Planet"/>
    <s v="NIVEL 56 (1.99 Euros)"/>
    <n v="56"/>
    <s v="Weekly subscription"/>
    <n v="908"/>
    <n v="1.99"/>
    <n v="0.55000000000000004"/>
    <n v="0.45"/>
    <m/>
    <m/>
    <s v=""/>
    <s v="JUEGOS FUN PLANET"/>
  </r>
  <r>
    <n v="42069"/>
    <m/>
    <x v="2"/>
    <m/>
    <m/>
    <x v="273"/>
    <x v="149"/>
    <s v="CVAS"/>
    <x v="3"/>
    <x v="3"/>
    <s v=""/>
    <s v="Games"/>
    <s v=""/>
    <x v="11"/>
    <s v="ACTIVE"/>
    <s v="YES"/>
    <n v="41376"/>
    <s v="Fun Planet"/>
    <s v="NIVEL 56 (1.99 Euros)"/>
    <n v="56"/>
    <s v="Weekly subscription"/>
    <n v="908"/>
    <n v="1.99"/>
    <n v="0.45"/>
    <n v="0.55000000000000004"/>
    <m/>
    <m/>
    <s v=""/>
    <s v="JUEGOS FUN PLANET"/>
  </r>
  <r>
    <n v="42071"/>
    <m/>
    <x v="230"/>
    <n v="73"/>
    <n v="73"/>
    <x v="274"/>
    <x v="150"/>
    <s v="CVAS"/>
    <x v="9"/>
    <x v="2"/>
    <s v=""/>
    <s v="Others"/>
    <s v="Free Time"/>
    <x v="11"/>
    <s v="ACTIVE"/>
    <s v="YES"/>
    <n v="41377"/>
    <s v="Astro Futuro"/>
    <s v="NIVEL 56 (1.99 Euros)"/>
    <n v="56"/>
    <s v="Weekly subscription"/>
    <n v="908"/>
    <n v="1.99"/>
    <n v="0.5"/>
    <n v="0.5"/>
    <m/>
    <m/>
    <s v=""/>
    <s v="ASTROFUTURO"/>
  </r>
  <r>
    <n v="42073"/>
    <m/>
    <x v="2"/>
    <m/>
    <m/>
    <x v="275"/>
    <x v="150"/>
    <s v="CVAS"/>
    <x v="9"/>
    <x v="2"/>
    <s v=""/>
    <s v="Others"/>
    <s v="Free Time"/>
    <x v="11"/>
    <s v="ACTIVE"/>
    <s v="YES"/>
    <n v="41378"/>
    <s v="Astro Futuro"/>
    <s v="NIVEL 56 (1.99 Euros)"/>
    <n v="56"/>
    <s v="Weekly subscription"/>
    <n v="908"/>
    <n v="1.99"/>
    <n v="0.4"/>
    <n v="0.6"/>
    <m/>
    <m/>
    <s v=""/>
    <s v="ASTROFUTURO"/>
  </r>
  <r>
    <n v="42076"/>
    <m/>
    <x v="231"/>
    <n v="34801"/>
    <n v="34801"/>
    <x v="276"/>
    <x v="151"/>
    <s v="CVAS"/>
    <x v="3"/>
    <x v="3"/>
    <s v=""/>
    <s v="Games"/>
    <s v=""/>
    <x v="11"/>
    <s v="ACTIVE"/>
    <s v="YES"/>
    <n v="41380"/>
    <s v="Gamedroid"/>
    <s v="NIVEL 128 (1.64 Euros)"/>
    <n v="128"/>
    <s v="Weekly subscription"/>
    <n v="908"/>
    <n v="1.64"/>
    <n v="0.45"/>
    <n v="0.55000000000000004"/>
    <m/>
    <m/>
    <s v=""/>
    <s v="JUEGOS GAMEDROID"/>
  </r>
  <r>
    <n v="42078"/>
    <m/>
    <x v="2"/>
    <m/>
    <m/>
    <x v="277"/>
    <x v="151"/>
    <s v="CVAS"/>
    <x v="3"/>
    <x v="3"/>
    <s v=""/>
    <s v="Games"/>
    <s v=""/>
    <x v="11"/>
    <s v="ACTIVE"/>
    <s v="YES"/>
    <n v="41381"/>
    <s v="Gamedroid"/>
    <s v="NIVEL 128 (1.64 Euros)"/>
    <n v="128"/>
    <s v="Weekly subscription"/>
    <n v="908"/>
    <n v="1.64"/>
    <n v="0.35"/>
    <n v="0.65"/>
    <m/>
    <m/>
    <s v=""/>
    <s v="JUEGOS GAMEDROID"/>
  </r>
  <r>
    <n v="42332"/>
    <m/>
    <x v="2"/>
    <m/>
    <m/>
    <x v="278"/>
    <x v="152"/>
    <s v="CVAS"/>
    <x v="10"/>
    <x v="7"/>
    <m/>
    <s v="Others"/>
    <m/>
    <x v="25"/>
    <s v="INACTIVE"/>
    <s v="YES"/>
    <m/>
    <s v="Edmundo"/>
    <m/>
    <m/>
    <s v="Weekly subscription"/>
    <m/>
    <m/>
    <m/>
    <m/>
    <m/>
    <m/>
    <m/>
    <s v="EDMUNDO"/>
  </r>
  <r>
    <n v="42334"/>
    <m/>
    <x v="2"/>
    <m/>
    <m/>
    <x v="278"/>
    <x v="152"/>
    <s v="CVAS"/>
    <x v="10"/>
    <x v="7"/>
    <m/>
    <s v="Others"/>
    <m/>
    <x v="25"/>
    <s v="INACTIVE"/>
    <s v="YES"/>
    <m/>
    <s v="Edmundo"/>
    <m/>
    <m/>
    <s v="Weekly subscription"/>
    <m/>
    <m/>
    <m/>
    <m/>
    <m/>
    <m/>
    <m/>
    <s v="EDMUNDO"/>
  </r>
  <r>
    <n v="42339"/>
    <m/>
    <x v="232"/>
    <n v="29501"/>
    <n v="29501"/>
    <x v="279"/>
    <x v="153"/>
    <s v="CVAS"/>
    <x v="10"/>
    <x v="8"/>
    <s v=""/>
    <s v="Others"/>
    <s v="Kids"/>
    <x v="11"/>
    <s v="ACTIVE"/>
    <s v="YES"/>
    <n v="41493"/>
    <s v="Pocoyo House"/>
    <s v="NIVEL 136 (2.06 Euros)"/>
    <n v="136"/>
    <s v="Weekly subscription"/>
    <n v="908"/>
    <n v="2.06"/>
    <n v="0.5"/>
    <n v="0.5"/>
    <m/>
    <m/>
    <s v=""/>
    <s v="POCOYO HOUSE"/>
  </r>
  <r>
    <n v="42341"/>
    <m/>
    <x v="2"/>
    <m/>
    <m/>
    <x v="280"/>
    <x v="153"/>
    <s v="CVAS"/>
    <x v="10"/>
    <x v="8"/>
    <s v=""/>
    <s v="Others"/>
    <s v="Kids"/>
    <x v="11"/>
    <s v="ACTIVE"/>
    <s v="YES"/>
    <n v="41494"/>
    <s v="Pocoyo House"/>
    <s v="NIVEL 136 (2.06 Euros)"/>
    <n v="136"/>
    <s v="Weekly subscription"/>
    <n v="908"/>
    <n v="2.06"/>
    <n v="0.4"/>
    <n v="0.6"/>
    <m/>
    <m/>
    <s v=""/>
    <s v="POCOYO HOUSE"/>
  </r>
  <r>
    <n v="42371"/>
    <m/>
    <x v="2"/>
    <m/>
    <m/>
    <x v="281"/>
    <x v="154"/>
    <s v="CVAS"/>
    <x v="5"/>
    <x v="2"/>
    <m/>
    <s v="Others"/>
    <m/>
    <x v="20"/>
    <s v="INACTIVE"/>
    <s v="YES"/>
    <m/>
    <s v="Video Series"/>
    <m/>
    <m/>
    <s v="Weekly subscription"/>
    <m/>
    <m/>
    <m/>
    <m/>
    <m/>
    <m/>
    <m/>
    <s v="VIDEO SERIES"/>
  </r>
  <r>
    <n v="42389"/>
    <m/>
    <x v="233"/>
    <n v="35001"/>
    <n v="35001"/>
    <x v="282"/>
    <x v="124"/>
    <s v="CVAS"/>
    <x v="10"/>
    <x v="8"/>
    <s v=""/>
    <s v="Others"/>
    <s v="Kids"/>
    <x v="11"/>
    <s v="ACTIVE"/>
    <s v="YES"/>
    <n v="41536"/>
    <s v="Little Smart Planet"/>
    <s v="NIVEL 135 (1.23 Euros)"/>
    <n v="135"/>
    <s v="Weekly subscription"/>
    <n v="908"/>
    <n v="1.23"/>
    <n v="0.5"/>
    <n v="0.5"/>
    <m/>
    <m/>
    <s v=""/>
    <s v="L. SMART PLANET"/>
  </r>
  <r>
    <n v="42390"/>
    <n v="42389"/>
    <x v="2"/>
    <m/>
    <m/>
    <x v="283"/>
    <x v="124"/>
    <s v="CVAS"/>
    <x v="11"/>
    <x v="8"/>
    <s v=""/>
    <s v="Others"/>
    <s v="Kids"/>
    <x v="11"/>
    <s v="ACTIVE"/>
    <s v="YES"/>
    <n v="41536"/>
    <s v="Little Smart Planet"/>
    <s v="NIVEL 0 (0 Euros)"/>
    <n v="0"/>
    <s v="Weekly subscription"/>
    <n v="641"/>
    <n v="0"/>
    <m/>
    <m/>
    <m/>
    <m/>
    <s v=""/>
    <s v="L. SMART PLANET"/>
  </r>
  <r>
    <n v="42489"/>
    <m/>
    <x v="234"/>
    <n v="51301"/>
    <n v="51301"/>
    <x v="284"/>
    <x v="0"/>
    <s v="CVAS"/>
    <x v="0"/>
    <x v="0"/>
    <s v="Light Hard"/>
    <s v="Light"/>
    <s v="Light Hard"/>
    <x v="8"/>
    <s v="ACTIVE"/>
    <s v="YES"/>
    <n v="41556"/>
    <s v="Puta Locura / Mr 69"/>
    <s v="NIVEL 58 (2.99 Euros)"/>
    <n v="58"/>
    <s v="Weekly subscription"/>
    <m/>
    <n v="2.99"/>
    <n v="0.25"/>
    <n v="0.75"/>
    <m/>
    <m/>
    <s v=""/>
    <s v="PUTA LOCURA / MR 69"/>
  </r>
  <r>
    <n v="42529"/>
    <m/>
    <x v="235"/>
    <n v="62701"/>
    <n v="62701"/>
    <x v="285"/>
    <x v="0"/>
    <s v="CVAS"/>
    <x v="0"/>
    <x v="0"/>
    <s v="Light Hard"/>
    <s v="Light"/>
    <s v="Light Hard"/>
    <x v="0"/>
    <s v="ACTIVE"/>
    <s v="YES"/>
    <n v="41576"/>
    <s v="Porno Interactivo"/>
    <s v="NIVEL 58 (2.99 Euros)"/>
    <n v="58"/>
    <s v="Weekly subscription"/>
    <m/>
    <n v="2.99"/>
    <n v="0.3"/>
    <n v="0.7"/>
    <m/>
    <m/>
    <s v=""/>
    <s v="PORNO INTERACTIVO"/>
  </r>
  <r>
    <n v="42609"/>
    <m/>
    <x v="236"/>
    <n v="62801"/>
    <n v="62801"/>
    <x v="286"/>
    <x v="155"/>
    <s v="CVAS"/>
    <x v="8"/>
    <x v="2"/>
    <s v=""/>
    <s v="Others"/>
    <s v="Free Time"/>
    <x v="20"/>
    <s v="ACTIVE"/>
    <s v="YES"/>
    <n v="41616"/>
    <s v="Parece De El Mundo Today"/>
    <s v="NIVEL 128 (1.64 Euros)"/>
    <n v="128"/>
    <s v="Weekly subscription"/>
    <m/>
    <n v="1.64"/>
    <n v="0.5"/>
    <n v="0.5"/>
    <m/>
    <m/>
    <s v=""/>
    <s v="PARECE MUNDOTODAY"/>
  </r>
  <r>
    <n v="42689"/>
    <m/>
    <x v="237"/>
    <n v="51501"/>
    <n v="51501"/>
    <x v="287"/>
    <x v="156"/>
    <s v="CVAS"/>
    <x v="10"/>
    <x v="8"/>
    <s v=""/>
    <s v="Others"/>
    <s v="Kids"/>
    <x v="8"/>
    <s v="ACTIVE"/>
    <s v="YES"/>
    <n v="41636"/>
    <s v="Caillou y Amigos"/>
    <s v="NIVEL 136 (2.06 Euros)"/>
    <n v="136"/>
    <s v="Weekly subscription"/>
    <m/>
    <n v="2.06"/>
    <n v="0.5"/>
    <n v="0.5"/>
    <m/>
    <m/>
    <s v=""/>
    <s v="CAILLOU Y AMIGOS"/>
  </r>
  <r>
    <n v="42691"/>
    <m/>
    <x v="2"/>
    <m/>
    <m/>
    <x v="288"/>
    <x v="156"/>
    <s v="CVAS"/>
    <x v="10"/>
    <x v="8"/>
    <s v=""/>
    <s v="Others"/>
    <s v="Kids"/>
    <x v="8"/>
    <s v="INACTIVE"/>
    <s v="YES"/>
    <n v="41637"/>
    <s v="Caillou y Amigos"/>
    <s v="NIVEL 0 (0 Euros)"/>
    <n v="0"/>
    <s v="Weekly subscription"/>
    <m/>
    <n v="0"/>
    <m/>
    <m/>
    <m/>
    <m/>
    <s v=""/>
    <s v="CAILLOU Y AMIGOS"/>
  </r>
  <r>
    <n v="42709"/>
    <m/>
    <x v="238"/>
    <n v="51401"/>
    <n v="51401"/>
    <x v="289"/>
    <x v="156"/>
    <s v="CVAS"/>
    <x v="10"/>
    <x v="8"/>
    <s v=""/>
    <s v="Others"/>
    <s v="Kids"/>
    <x v="8"/>
    <s v="ACTIVE"/>
    <s v="YES"/>
    <n v="41656"/>
    <s v="Caillou y Amigos"/>
    <s v="NIVEL 136 (2.06 Euros)"/>
    <n v="136"/>
    <s v="Weekly subscription"/>
    <m/>
    <n v="2.06"/>
    <n v="0.4"/>
    <n v="0.6"/>
    <m/>
    <m/>
    <s v=""/>
    <s v="CAILLOU Y AMIGOS"/>
  </r>
  <r>
    <n v="42712"/>
    <m/>
    <x v="2"/>
    <m/>
    <m/>
    <x v="290"/>
    <x v="156"/>
    <s v="CVAS"/>
    <x v="10"/>
    <x v="8"/>
    <s v=""/>
    <s v="Others"/>
    <s v="Kids"/>
    <x v="8"/>
    <s v="INACTIVE"/>
    <s v="YES"/>
    <n v="41658"/>
    <s v="Caillou y Amigos"/>
    <s v="NIVEL 0 (0 Euros)"/>
    <n v="0"/>
    <s v="Weekly subscription"/>
    <m/>
    <n v="0"/>
    <m/>
    <m/>
    <m/>
    <m/>
    <s v=""/>
    <s v="CAILLOU Y AMIGOS"/>
  </r>
  <r>
    <n v="42869"/>
    <m/>
    <x v="239"/>
    <n v="62901"/>
    <n v="62901"/>
    <x v="291"/>
    <x v="157"/>
    <s v="CVAS"/>
    <x v="0"/>
    <x v="0"/>
    <s v="Light Hard"/>
    <s v="Light"/>
    <s v="Light Hard"/>
    <x v="15"/>
    <s v="ACTIVE"/>
    <s v="YES"/>
    <n v="41716"/>
    <s v="Sex 360"/>
    <s v="NIVEL 58 (2.99 Euros)"/>
    <n v="58"/>
    <s v="Weekly subscription"/>
    <m/>
    <n v="2.99"/>
    <n v="0.3"/>
    <n v="0.7"/>
    <m/>
    <m/>
    <s v=""/>
    <s v="SEX 360"/>
  </r>
  <r>
    <n v="42911"/>
    <m/>
    <x v="240"/>
    <n v="63001"/>
    <n v="63001"/>
    <x v="292"/>
    <x v="158"/>
    <s v="CVAS"/>
    <x v="10"/>
    <x v="7"/>
    <s v=""/>
    <s v="Others"/>
    <s v="Beauty and Health"/>
    <x v="20"/>
    <s v="ACTIVE"/>
    <s v="YES"/>
    <n v="41737"/>
    <s v="Sexducate con LB"/>
    <s v="NIVEL 128 (1.64 Euros)"/>
    <n v="128"/>
    <s v="Weekly subscription"/>
    <m/>
    <n v="1.64"/>
    <n v="0.5"/>
    <n v="0.5"/>
    <m/>
    <m/>
    <s v=""/>
    <s v="SEXDUCATE CON LB"/>
  </r>
  <r>
    <n v="43089"/>
    <m/>
    <x v="2"/>
    <m/>
    <m/>
    <x v="293"/>
    <x v="159"/>
    <s v="CVAS"/>
    <x v="0"/>
    <x v="0"/>
    <m/>
    <s v="Others"/>
    <m/>
    <x v="24"/>
    <s v="INACTIVE"/>
    <s v="YES"/>
    <m/>
    <s v="Lifeselector"/>
    <m/>
    <m/>
    <s v="Weekly subscription"/>
    <m/>
    <m/>
    <m/>
    <m/>
    <m/>
    <m/>
    <m/>
    <s v="LIFESELECTOR"/>
  </r>
  <r>
    <n v="43091"/>
    <m/>
    <x v="150"/>
    <n v="44402"/>
    <n v="44402"/>
    <x v="294"/>
    <x v="91"/>
    <s v="CVAS"/>
    <x v="8"/>
    <x v="6"/>
    <s v=""/>
    <s v="Others"/>
    <s v="News"/>
    <x v="20"/>
    <s v="ACTIVE"/>
    <s v="YES"/>
    <n v="41757"/>
    <s v="Noticias emocion"/>
    <s v="NIVEL 135 (1.23 Euros)"/>
    <n v="135"/>
    <s v="Weekly subscription"/>
    <m/>
    <n v="1.23"/>
    <n v="0.5"/>
    <n v="0.5"/>
    <m/>
    <m/>
    <s v=""/>
    <s v="NOTICIAS EMOCION"/>
  </r>
  <r>
    <n v="43093"/>
    <m/>
    <x v="129"/>
    <n v="44002"/>
    <n v="44002"/>
    <x v="295"/>
    <x v="81"/>
    <s v="CVAS"/>
    <x v="7"/>
    <x v="5"/>
    <s v=""/>
    <s v="Others"/>
    <s v="Sports"/>
    <x v="20"/>
    <s v="ACTIVE"/>
    <s v="YES"/>
    <n v="41758"/>
    <s v="Deportes emocion"/>
    <s v="NIVEL 135 (1.23 Euros)"/>
    <n v="135"/>
    <s v="Weekly subscription"/>
    <m/>
    <n v="1.23"/>
    <n v="0.5"/>
    <n v="0.5"/>
    <m/>
    <m/>
    <s v=""/>
    <s v="DEPORTES EMOCION"/>
  </r>
  <r>
    <n v="43269"/>
    <m/>
    <x v="241"/>
    <n v="63201"/>
    <n v="63201"/>
    <x v="296"/>
    <x v="0"/>
    <s v="CVAS"/>
    <x v="0"/>
    <x v="0"/>
    <s v="Light Hard"/>
    <s v="Light"/>
    <s v="Light Hard"/>
    <x v="9"/>
    <s v="ACTIVE"/>
    <s v="YES"/>
    <n v="41816"/>
    <s v="Playboy"/>
    <s v="NIVEL 58 (2.99 Euros)"/>
    <n v="58"/>
    <s v="Weekly subscription"/>
    <m/>
    <n v="2.99"/>
    <n v="0.4"/>
    <n v="0.6"/>
    <m/>
    <m/>
    <s v=""/>
    <s v="PLAYBOY"/>
  </r>
  <r>
    <n v="43349"/>
    <m/>
    <x v="2"/>
    <m/>
    <m/>
    <x v="297"/>
    <x v="158"/>
    <s v="CVAS"/>
    <x v="10"/>
    <x v="7"/>
    <s v=""/>
    <s v="Others"/>
    <s v="Beauty and Health"/>
    <x v="20"/>
    <s v="ACTIVE"/>
    <s v="YES"/>
    <n v="41836"/>
    <s v="Sexducate con LB"/>
    <s v="NIVEL 128 (1.64 Euros)"/>
    <n v="128"/>
    <s v="Weekly subscription"/>
    <m/>
    <n v="1.64"/>
    <n v="0.4"/>
    <n v="0.6"/>
    <m/>
    <m/>
    <s v=""/>
    <s v="SEXDUCATE CON LB"/>
  </r>
  <r>
    <n v="43429"/>
    <m/>
    <x v="242"/>
    <n v="63301"/>
    <n v="63301"/>
    <x v="298"/>
    <x v="160"/>
    <s v="CVAS"/>
    <x v="3"/>
    <x v="3"/>
    <s v=""/>
    <s v="Games"/>
    <s v=""/>
    <x v="26"/>
    <s v="ACTIVE"/>
    <s v="YES"/>
    <n v="41856"/>
    <s v="VR Games"/>
    <s v="NIVEL 135 (1.23 Euros)"/>
    <n v="135"/>
    <s v="Weekly subscription"/>
    <m/>
    <n v="1.23"/>
    <n v="0.5"/>
    <n v="0.5"/>
    <m/>
    <m/>
    <s v=""/>
    <s v="VR GAMES"/>
  </r>
  <r>
    <n v="43549"/>
    <m/>
    <x v="2"/>
    <m/>
    <m/>
    <x v="299"/>
    <x v="155"/>
    <s v="CVAS"/>
    <x v="8"/>
    <x v="2"/>
    <s v=""/>
    <s v="Others"/>
    <s v="Free Time"/>
    <x v="20"/>
    <s v="ACTIVE"/>
    <s v="YES"/>
    <n v="41896"/>
    <s v="Parece De El Mundo Today"/>
    <s v="NIVEL 128 (1.64 Euros)"/>
    <n v="128"/>
    <s v="Weekly subscription"/>
    <m/>
    <n v="1.64"/>
    <n v="0.4"/>
    <n v="0.6"/>
    <m/>
    <m/>
    <s v=""/>
    <s v="PARECE MUNDOTODAY"/>
  </r>
  <r>
    <n v="43551"/>
    <m/>
    <x v="243"/>
    <n v="20002"/>
    <n v="20002"/>
    <x v="300"/>
    <x v="161"/>
    <s v="CVAS"/>
    <x v="3"/>
    <x v="3"/>
    <s v=""/>
    <s v="Games"/>
    <s v=""/>
    <x v="20"/>
    <s v="ACTIVE"/>
    <s v="YES"/>
    <n v="41897"/>
    <s v="Movistar Juegos"/>
    <s v="NIVEL 128 (1.64 Euros)"/>
    <n v="128"/>
    <s v="Weekly subscription"/>
    <m/>
    <n v="1.64"/>
    <n v="0.5"/>
    <n v="0.5"/>
    <m/>
    <m/>
    <s v=""/>
    <s v="MOVISTAR JUEGOS"/>
  </r>
  <r>
    <n v="43553"/>
    <n v="43551"/>
    <x v="243"/>
    <n v="20001"/>
    <n v="20001"/>
    <x v="301"/>
    <x v="161"/>
    <s v="CVAS"/>
    <x v="3"/>
    <x v="3"/>
    <s v=""/>
    <s v="Games"/>
    <s v=""/>
    <x v="20"/>
    <s v="ACTIVE"/>
    <s v="YES"/>
    <n v="41898"/>
    <s v="Movistar Juegos"/>
    <s v="NIVEL 0 (0 Euros)"/>
    <n v="0"/>
    <s v="Weekly subscription"/>
    <m/>
    <n v="0"/>
    <m/>
    <m/>
    <m/>
    <m/>
    <s v=""/>
    <s v="MOVISTAR JUEGOS"/>
  </r>
  <r>
    <n v="43571"/>
    <m/>
    <x v="164"/>
    <n v="56502"/>
    <n v="56502"/>
    <x v="302"/>
    <x v="111"/>
    <s v="CVAS"/>
    <x v="10"/>
    <x v="2"/>
    <s v=""/>
    <s v="Others"/>
    <s v="Free Time"/>
    <x v="22"/>
    <s v="ACTIVE"/>
    <s v="YES"/>
    <n v="41918"/>
    <s v="EnglishPills"/>
    <s v="NIVEL 136 (2.06 Euros)"/>
    <n v="136"/>
    <s v="Weekly subscription"/>
    <m/>
    <n v="2.06"/>
    <n v="0.5"/>
    <n v="0.5"/>
    <m/>
    <m/>
    <s v=""/>
    <s v="ENGLISH PILLS"/>
  </r>
  <r>
    <n v="43573"/>
    <n v="43571"/>
    <x v="2"/>
    <m/>
    <m/>
    <x v="303"/>
    <x v="111"/>
    <s v="CVAS"/>
    <x v="10"/>
    <x v="2"/>
    <s v=""/>
    <s v="Others"/>
    <s v="Free Time"/>
    <x v="22"/>
    <s v="ACTIVE"/>
    <s v="YES"/>
    <n v="41919"/>
    <s v="EnglishPills"/>
    <s v="NIVEL 0 (0 Euros)"/>
    <n v="0"/>
    <s v="Weekly subscription"/>
    <m/>
    <n v="0"/>
    <m/>
    <m/>
    <m/>
    <m/>
    <s v=""/>
    <s v="ENGLISH PILLS"/>
  </r>
  <r>
    <n v="43575"/>
    <m/>
    <x v="202"/>
    <n v="56602"/>
    <n v="56602"/>
    <x v="304"/>
    <x v="111"/>
    <s v="CVAS"/>
    <x v="10"/>
    <x v="2"/>
    <s v=""/>
    <s v="Others"/>
    <s v="Free Time"/>
    <x v="22"/>
    <s v="ACTIVE"/>
    <s v="YES"/>
    <n v="41920"/>
    <s v="EnglishPills"/>
    <s v="NIVEL 136 (2.06 Euros)"/>
    <n v="136"/>
    <s v="Weekly subscription"/>
    <m/>
    <n v="2.06"/>
    <n v="0.4"/>
    <n v="0.6"/>
    <m/>
    <m/>
    <s v=""/>
    <s v="ENGLISH PILLS"/>
  </r>
  <r>
    <n v="43577"/>
    <n v="43575"/>
    <x v="2"/>
    <m/>
    <m/>
    <x v="305"/>
    <x v="111"/>
    <s v="CVAS"/>
    <x v="10"/>
    <x v="2"/>
    <s v=""/>
    <s v="Others"/>
    <s v="Free Time"/>
    <x v="22"/>
    <s v="ACTIVE"/>
    <s v="YES"/>
    <n v="41921"/>
    <s v="EnglishPills"/>
    <s v="NIVEL 0 (0 Euros)"/>
    <n v="0"/>
    <s v="Weekly subscription"/>
    <m/>
    <n v="0"/>
    <m/>
    <m/>
    <m/>
    <m/>
    <s v=""/>
    <s v="ENGLISH PILLS"/>
  </r>
  <r>
    <n v="43609"/>
    <m/>
    <x v="244"/>
    <n v="20401"/>
    <n v="20401"/>
    <x v="306"/>
    <x v="162"/>
    <s v="CVAS"/>
    <x v="5"/>
    <x v="2"/>
    <s v=""/>
    <s v="Others"/>
    <s v="Free Time"/>
    <x v="8"/>
    <s v="ACTIVE"/>
    <s v="YES"/>
    <n v="41936"/>
    <s v="Comedy Factory"/>
    <s v="NIVEL 137 (2.47 Euros)"/>
    <n v="137"/>
    <s v="Weekly subscription"/>
    <m/>
    <n v="2.4700000000000002"/>
    <n v="0.6"/>
    <n v="0.4"/>
    <m/>
    <m/>
    <s v=""/>
    <s v="COMEDY FACTORY"/>
  </r>
  <r>
    <n v="43611"/>
    <m/>
    <x v="245"/>
    <n v="20301"/>
    <n v="20301"/>
    <x v="307"/>
    <x v="162"/>
    <s v="CVAS"/>
    <x v="5"/>
    <x v="2"/>
    <s v=""/>
    <s v="Others"/>
    <s v="Free Time"/>
    <x v="8"/>
    <s v="ACTIVE"/>
    <s v="YES"/>
    <n v="41937"/>
    <s v="Comedy Factory"/>
    <s v="NIVEL 137 (2.47 Euros)"/>
    <n v="137"/>
    <s v="Weekly subscription"/>
    <m/>
    <n v="2.4700000000000002"/>
    <n v="0.4"/>
    <n v="0.6"/>
    <m/>
    <m/>
    <s v=""/>
    <s v="COMEDY FACTORY"/>
  </r>
  <r>
    <n v="43613"/>
    <m/>
    <x v="246"/>
    <n v="20201"/>
    <n v="20201"/>
    <x v="308"/>
    <x v="163"/>
    <s v="CVAS"/>
    <x v="10"/>
    <x v="8"/>
    <s v=""/>
    <s v="Others"/>
    <s v="Kids"/>
    <x v="8"/>
    <s v="ACTIVE"/>
    <s v="YES"/>
    <n v="41938"/>
    <s v="Videos Clap"/>
    <s v="NIVEL 137 (2.47 Euros)"/>
    <n v="137"/>
    <s v="Weekly subscription"/>
    <m/>
    <n v="2.4700000000000002"/>
    <n v="0.6"/>
    <n v="0.4"/>
    <m/>
    <m/>
    <s v=""/>
    <s v="VIDEOS CLAP"/>
  </r>
  <r>
    <n v="43615"/>
    <m/>
    <x v="247"/>
    <n v="20101"/>
    <n v="20101"/>
    <x v="309"/>
    <x v="163"/>
    <s v="CVAS"/>
    <x v="10"/>
    <x v="8"/>
    <s v=""/>
    <s v="Others"/>
    <s v="Kids"/>
    <x v="8"/>
    <s v="ACTIVE"/>
    <s v="YES"/>
    <n v="41939"/>
    <s v="Videos Clap"/>
    <s v="NIVEL 137 (2.47 Euros)"/>
    <n v="137"/>
    <s v="Weekly subscription"/>
    <m/>
    <n v="2.4700000000000002"/>
    <n v="0.4"/>
    <n v="0.6"/>
    <m/>
    <m/>
    <s v=""/>
    <s v="VIDEOS CLAP"/>
  </r>
  <r>
    <n v="43617"/>
    <m/>
    <x v="248"/>
    <n v="20601"/>
    <n v="20601"/>
    <x v="310"/>
    <x v="164"/>
    <s v="CVAS"/>
    <x v="5"/>
    <x v="2"/>
    <s v=""/>
    <s v="Others"/>
    <s v="Free Time"/>
    <x v="8"/>
    <s v="ACTIVE"/>
    <s v="YES"/>
    <n v="41940"/>
    <s v="Videos Tribuu"/>
    <s v="NIVEL 137 (2.47 Euros)"/>
    <n v="137"/>
    <s v="Weekly subscription"/>
    <m/>
    <n v="2.4700000000000002"/>
    <n v="0.6"/>
    <n v="0.4"/>
    <m/>
    <m/>
    <s v=""/>
    <s v="VIDEOS TRIBUU"/>
  </r>
  <r>
    <n v="43619"/>
    <m/>
    <x v="249"/>
    <n v="20501"/>
    <n v="20501"/>
    <x v="311"/>
    <x v="164"/>
    <s v="CVAS"/>
    <x v="5"/>
    <x v="2"/>
    <s v=""/>
    <s v="Others"/>
    <s v="Free Time"/>
    <x v="8"/>
    <s v="ACTIVE"/>
    <s v="YES"/>
    <n v="41941"/>
    <s v="Videos Tribuu"/>
    <s v="NIVEL 137 (2.47 Euros)"/>
    <n v="137"/>
    <s v="Weekly subscription"/>
    <m/>
    <n v="2.4700000000000002"/>
    <n v="0.4"/>
    <n v="0.6"/>
    <m/>
    <m/>
    <s v=""/>
    <s v="VIDEOS TRIBUU"/>
  </r>
  <r>
    <n v="43749"/>
    <m/>
    <x v="250"/>
    <n v="63501"/>
    <n v="63501"/>
    <x v="312"/>
    <x v="81"/>
    <s v="CVAS"/>
    <x v="7"/>
    <x v="5"/>
    <s v=""/>
    <s v="Others"/>
    <s v="Sports"/>
    <x v="20"/>
    <s v="ACTIVE"/>
    <s v="YES"/>
    <n v="41976"/>
    <s v="Deportes Emocion"/>
    <s v="NIVEL 135 (1.23 Euros)"/>
    <n v="135"/>
    <s v="Weekly subscription"/>
    <m/>
    <n v="1.23"/>
    <n v="0.4"/>
    <n v="0.6"/>
    <m/>
    <m/>
    <s v=""/>
    <s v="DEPORTES EMOCION"/>
  </r>
  <r>
    <n v="43751"/>
    <m/>
    <x v="251"/>
    <n v="63601"/>
    <n v="63601"/>
    <x v="313"/>
    <x v="91"/>
    <s v="CVAS"/>
    <x v="8"/>
    <x v="6"/>
    <s v=""/>
    <s v="Others"/>
    <s v="News"/>
    <x v="20"/>
    <s v="ACTIVE"/>
    <s v="YES"/>
    <n v="41977"/>
    <s v="Noticias emocion"/>
    <s v="NIVEL 135 (1.23 Euros)"/>
    <n v="135"/>
    <s v="Weekly subscription"/>
    <m/>
    <n v="1.23"/>
    <n v="0.4"/>
    <n v="0.6"/>
    <m/>
    <m/>
    <s v=""/>
    <s v="NOTICIAS EMOCION"/>
  </r>
  <r>
    <n v="43789"/>
    <n v="43551"/>
    <x v="243"/>
    <n v="20003"/>
    <n v="20003"/>
    <x v="314"/>
    <x v="161"/>
    <s v="CVAS"/>
    <x v="3"/>
    <x v="3"/>
    <s v=""/>
    <s v="Games"/>
    <s v=""/>
    <x v="20"/>
    <s v="ACTIVE"/>
    <s v="YES"/>
    <n v="41996"/>
    <s v="Movistar Juegos"/>
    <s v="NIVEL 0 (0 Euros)"/>
    <n v="0"/>
    <s v="Monthly"/>
    <m/>
    <n v="0"/>
    <m/>
    <m/>
    <m/>
    <m/>
    <s v=""/>
    <s v="MOVISTAR JUEGOS"/>
  </r>
  <r>
    <n v="43869"/>
    <m/>
    <x v="252"/>
    <n v="63701"/>
    <n v="63701"/>
    <x v="315"/>
    <x v="165"/>
    <s v="CVAS"/>
    <x v="11"/>
    <x v="8"/>
    <s v=""/>
    <s v="Others"/>
    <s v="Kids"/>
    <x v="11"/>
    <s v="ACTIVE"/>
    <s v="YES"/>
    <n v="42036"/>
    <s v="Hello Kitty"/>
    <s v="NIVEL 128 (1.64 Euros)"/>
    <n v="128"/>
    <s v="Weekly subscription"/>
    <m/>
    <n v="1.64"/>
    <n v="0.5"/>
    <n v="0.5"/>
    <m/>
    <m/>
    <s v=""/>
    <s v="HELLO KITTY HOUSE"/>
  </r>
  <r>
    <n v="44009"/>
    <m/>
    <x v="253"/>
    <n v="63801"/>
    <n v="63801"/>
    <x v="316"/>
    <x v="166"/>
    <s v="CVAS"/>
    <x v="12"/>
    <x v="2"/>
    <s v=""/>
    <s v="Others"/>
    <s v="Free Time"/>
    <x v="27"/>
    <s v="ACTIVE"/>
    <s v="YES"/>
    <n v="42056"/>
    <s v="Abaco"/>
    <s v="NIVEL 128 (1.64 Euros)"/>
    <n v="128"/>
    <s v="Weekly subscription"/>
    <m/>
    <n v="1.64"/>
    <n v="0.5"/>
    <n v="0.5"/>
    <m/>
    <m/>
    <s v=""/>
    <s v="ABACO"/>
  </r>
  <r>
    <n v="44029"/>
    <m/>
    <x v="2"/>
    <s v="X"/>
    <s v="X"/>
    <x v="317"/>
    <x v="167"/>
    <s v="CVAS"/>
    <x v="11"/>
    <x v="8"/>
    <s v=""/>
    <s v="Others"/>
    <s v="Kids"/>
    <x v="28"/>
    <s v="ACTIVE"/>
    <s v="YES"/>
    <n v="42076"/>
    <s v="Aula 365"/>
    <s v="NIVEL 128 (1.64 Euros)"/>
    <n v="128"/>
    <s v="Weekly subscription"/>
    <m/>
    <n v="1.64"/>
    <n v="0.5"/>
    <n v="0.5"/>
    <m/>
    <m/>
    <s v=""/>
    <s v="AULA 365"/>
  </r>
  <r>
    <n v="44049"/>
    <m/>
    <x v="2"/>
    <m/>
    <m/>
    <x v="318"/>
    <x v="165"/>
    <s v="CVAS"/>
    <x v="11"/>
    <x v="8"/>
    <s v=""/>
    <s v="Others"/>
    <s v="Kids"/>
    <x v="11"/>
    <s v="ACTIVE"/>
    <s v="YES"/>
    <n v="42096"/>
    <s v="Hello Kitty"/>
    <s v="NIVEL 128 (1.64 Euros)"/>
    <n v="128"/>
    <s v="Weekly subscription"/>
    <m/>
    <n v="1.64"/>
    <n v="0.4"/>
    <n v="0.6"/>
    <m/>
    <m/>
    <s v=""/>
    <s v="HELLO KITTY HOUSE"/>
  </r>
  <r>
    <n v="44051"/>
    <m/>
    <x v="254"/>
    <n v="63901"/>
    <n v="63901"/>
    <x v="319"/>
    <x v="168"/>
    <s v="CVAS"/>
    <x v="5"/>
    <x v="7"/>
    <s v=""/>
    <s v="Others"/>
    <s v="Beauty and Health"/>
    <x v="29"/>
    <s v="ACTIVE"/>
    <s v="YES"/>
    <n v="42097"/>
    <s v="Slow Life"/>
    <s v="NIVEL 137 (2.47 Euros)"/>
    <n v="137"/>
    <s v="Weekly subscription"/>
    <m/>
    <n v="2.4700000000000002"/>
    <n v="0.5"/>
    <n v="0.5"/>
    <m/>
    <m/>
    <s v=""/>
    <s v="SLOW LIFE"/>
  </r>
  <r>
    <n v="44169"/>
    <m/>
    <x v="2"/>
    <s v="X"/>
    <s v="X"/>
    <x v="320"/>
    <x v="169"/>
    <s v="CVAS"/>
    <x v="12"/>
    <x v="2"/>
    <s v=""/>
    <s v="Others"/>
    <s v="Free Time"/>
    <x v="30"/>
    <s v="ACTIVE"/>
    <s v="YES"/>
    <n v="42116"/>
    <s v="Tunenglish"/>
    <s v="NIVEL 128 (1.64 Euros)"/>
    <n v="128"/>
    <s v="Weekly subscription"/>
    <m/>
    <n v="1.64"/>
    <n v="0.55000000000000004"/>
    <n v="0.45"/>
    <m/>
    <m/>
    <s v=""/>
    <s v="TUNENGLISH"/>
  </r>
  <r>
    <n v="44171"/>
    <m/>
    <x v="2"/>
    <s v="X"/>
    <s v="X"/>
    <x v="321"/>
    <x v="170"/>
    <s v="CVAS"/>
    <x v="12"/>
    <x v="2"/>
    <s v=""/>
    <s v="Others"/>
    <s v="Free Time"/>
    <x v="30"/>
    <s v="ACTIVE"/>
    <s v="YES"/>
    <n v="42117"/>
    <s v="Bloomberg English"/>
    <s v="NIVEL 135 (1.23 Euros)"/>
    <n v="135"/>
    <s v="Weekly subscription"/>
    <m/>
    <n v="1.23"/>
    <n v="0.55000000000000004"/>
    <n v="0.45"/>
    <m/>
    <m/>
    <s v=""/>
    <s v="BLOOMBERG ENGLISH"/>
  </r>
  <r>
    <n v="44190"/>
    <m/>
    <x v="255"/>
    <n v="64001"/>
    <n v="64001"/>
    <x v="322"/>
    <x v="171"/>
    <s v="CVAS"/>
    <x v="5"/>
    <x v="7"/>
    <s v=""/>
    <s v="Others"/>
    <s v="Beauty and Health"/>
    <x v="31"/>
    <s v="ACTIVE"/>
    <s v="YES"/>
    <n v="42136"/>
    <s v="SoniQ"/>
    <s v="NIVEL 136 (2.06 Euros)"/>
    <n v="136"/>
    <s v="Weekly subscription"/>
    <m/>
    <n v="2.06"/>
    <n v="0.75"/>
    <n v="0.25"/>
    <m/>
    <m/>
    <s v=""/>
    <s v="SONIQ GYM FITNESS"/>
  </r>
  <r>
    <n v="44269"/>
    <m/>
    <x v="2"/>
    <s v="X"/>
    <s v="X"/>
    <x v="323"/>
    <x v="172"/>
    <s v="CVAS"/>
    <x v="10"/>
    <x v="7"/>
    <s v=""/>
    <s v="Others"/>
    <s v="Beauty and Health"/>
    <x v="32"/>
    <s v="ACTIVE"/>
    <s v="YES"/>
    <n v="42176"/>
    <s v="Aire Fresco"/>
    <s v="NIVEL 128 (1.64 Euros)"/>
    <n v="128"/>
    <s v="Weekly subscription"/>
    <m/>
    <n v="1.64"/>
    <n v="0.65"/>
    <n v="0.35"/>
    <m/>
    <m/>
    <s v=""/>
    <s v="AIRE FRESCO"/>
  </r>
  <r>
    <n v="44409"/>
    <m/>
    <x v="2"/>
    <s v="X"/>
    <s v="X"/>
    <x v="324"/>
    <x v="0"/>
    <s v="CVAS"/>
    <x v="0"/>
    <x v="0"/>
    <s v="Light Soft"/>
    <s v="Light"/>
    <s v="Light Soft"/>
    <x v="27"/>
    <s v="ACTIVE"/>
    <s v="YES"/>
    <n v="42196"/>
    <s v="Pink Crush"/>
    <s v="NIVEL 58 (2.99 Euros)"/>
    <n v="58"/>
    <s v="Weekly subscription"/>
    <m/>
    <n v="2.99"/>
    <n v="0.4"/>
    <n v="0.6"/>
    <m/>
    <m/>
    <s v=""/>
    <s v="PINK CRUSH"/>
  </r>
  <r>
    <n v="44469"/>
    <m/>
    <x v="256"/>
    <s v="02"/>
    <n v="67402"/>
    <x v="325"/>
    <x v="173"/>
    <s v="CVAS"/>
    <x v="13"/>
    <x v="9"/>
    <s v=""/>
    <s v="Others"/>
    <s v="Others"/>
    <x v="33"/>
    <s v="ACTIVE"/>
    <s v="YES"/>
    <n v="42236"/>
    <s v="Nubico eBooks"/>
    <s v="NIVEL 64 (5.99 Euros)"/>
    <n v="64"/>
    <s v="Monthly"/>
    <m/>
    <n v="5.99"/>
    <n v="0.88"/>
    <n v="0.12"/>
    <m/>
    <m/>
    <s v=""/>
    <s v="NUBICO EBOOKS"/>
  </r>
  <r>
    <n v="44471"/>
    <n v="44469"/>
    <x v="256"/>
    <s v="01"/>
    <n v="67401"/>
    <x v="326"/>
    <x v="174"/>
    <s v="CVAS"/>
    <x v="13"/>
    <x v="9"/>
    <s v=""/>
    <s v="Others"/>
    <s v="Others"/>
    <x v="33"/>
    <s v="ACTIVE"/>
    <s v="YES"/>
    <n v="42237"/>
    <s v="Nubico Promos"/>
    <s v="NIVEL 0 (0 Euros)"/>
    <n v="0"/>
    <s v="Monthly"/>
    <m/>
    <n v="0"/>
    <m/>
    <m/>
    <m/>
    <m/>
    <s v=""/>
    <s v="NUBICO PROMO"/>
  </r>
  <r>
    <n v="44509"/>
    <m/>
    <x v="257"/>
    <s v="01"/>
    <n v="67801"/>
    <x v="327"/>
    <x v="175"/>
    <s v="CVAS"/>
    <x v="10"/>
    <x v="8"/>
    <s v=""/>
    <s v="Others"/>
    <s v="Kids"/>
    <x v="27"/>
    <s v="ACTIVE"/>
    <s v="YES"/>
    <n v="42256"/>
    <s v="Cuaderno Magico"/>
    <s v="NIVEL 128 (1.64 Euros)"/>
    <n v="128"/>
    <s v="Weekly subscription"/>
    <m/>
    <n v="1.64"/>
    <n v="0.5"/>
    <n v="0.5"/>
    <m/>
    <m/>
    <s v=""/>
    <s v="CUADERNO MÁGICO"/>
  </r>
  <r>
    <n v="44549"/>
    <m/>
    <x v="2"/>
    <s v="X"/>
    <s v="X"/>
    <x v="294"/>
    <x v="91"/>
    <s v="CVAS"/>
    <x v="8"/>
    <x v="6"/>
    <s v=""/>
    <s v="Others"/>
    <s v="News"/>
    <x v="20"/>
    <s v="ACTIVE"/>
    <s v="YES"/>
    <n v="42296"/>
    <s v="Noticias emocion"/>
    <s v="NIVEL 128 (1.64 Euros)"/>
    <n v="128"/>
    <s v="Weekly subscription"/>
    <m/>
    <n v="1.64"/>
    <n v="0.5"/>
    <n v="0.5"/>
    <m/>
    <m/>
    <s v=""/>
    <s v="NOTICIAS EMOCION"/>
  </r>
  <r>
    <n v="44551"/>
    <m/>
    <x v="2"/>
    <s v="X"/>
    <s v="X"/>
    <x v="295"/>
    <x v="81"/>
    <s v="CVAS"/>
    <x v="7"/>
    <x v="5"/>
    <s v=""/>
    <s v="Others"/>
    <s v="Sports"/>
    <x v="20"/>
    <s v="ACTIVE"/>
    <s v="YES"/>
    <n v="42297"/>
    <s v="Deportes emocion"/>
    <s v="NIVEL 128 (1.64 Euros)"/>
    <n v="128"/>
    <s v="Weekly subscription"/>
    <m/>
    <n v="1.64"/>
    <n v="0.5"/>
    <n v="0.5"/>
    <m/>
    <m/>
    <s v=""/>
    <s v="DEPORTES EMOCION"/>
  </r>
  <r>
    <n v="44611"/>
    <m/>
    <x v="2"/>
    <s v="X"/>
    <s v="X"/>
    <x v="328"/>
    <x v="176"/>
    <s v="CVAS"/>
    <x v="10"/>
    <x v="7"/>
    <s v=""/>
    <s v="Others"/>
    <s v="Beauty and Health"/>
    <x v="27"/>
    <s v="ACTIVE"/>
    <s v="YES"/>
    <n v="42356"/>
    <s v="Soy Mujer"/>
    <s v="NIVEL 128 (1.64 Euros)"/>
    <n v="128"/>
    <s v="Weekly subscription"/>
    <m/>
    <n v="1.64"/>
    <n v="0.5"/>
    <n v="0.5"/>
    <m/>
    <m/>
    <s v=""/>
    <s v="SOY MUJER"/>
  </r>
  <r>
    <n v="44618"/>
    <m/>
    <x v="2"/>
    <s v="X"/>
    <s v="X"/>
    <x v="329"/>
    <x v="177"/>
    <s v="CVAS"/>
    <x v="11"/>
    <x v="8"/>
    <s v=""/>
    <s v="Others"/>
    <s v="Kids"/>
    <x v="20"/>
    <s v="ACTIVE"/>
    <s v="YES"/>
    <n v="42361"/>
    <s v="Kids Play"/>
    <s v="NIVEL 144 (4.95 Euros)"/>
    <n v="144"/>
    <s v="Monthly"/>
    <m/>
    <n v="4.95"/>
    <n v="0.6"/>
    <n v="0.4"/>
    <m/>
    <m/>
    <s v=""/>
    <s v="KIDS PLAY"/>
  </r>
  <r>
    <n v="44620"/>
    <n v="44618"/>
    <x v="2"/>
    <m/>
    <m/>
    <x v="330"/>
    <x v="177"/>
    <s v="CVAS"/>
    <x v="11"/>
    <x v="8"/>
    <s v=""/>
    <s v="Others"/>
    <s v="Kids"/>
    <x v="20"/>
    <s v="ACTIVE"/>
    <s v="YES"/>
    <n v="42362"/>
    <s v="Kids Play"/>
    <s v="NIVEL 0 (0 Euros)"/>
    <n v="0"/>
    <s v="Monthly"/>
    <m/>
    <n v="0"/>
    <m/>
    <m/>
    <m/>
    <m/>
    <s v=""/>
    <s v="KIDS PLAY"/>
  </r>
  <r>
    <n v="44613"/>
    <m/>
    <x v="258"/>
    <n v="67901"/>
    <m/>
    <x v="328"/>
    <x v="176"/>
    <s v="CVAS"/>
    <x v="10"/>
    <x v="7"/>
    <s v=""/>
    <s v="Others"/>
    <s v="Beauty and Health"/>
    <x v="27"/>
    <s v="ACTIVE"/>
    <s v="YES"/>
    <n v="42357"/>
    <s v="Soy Mujer"/>
    <s v="NIVEL 128 (1.64 Euros)"/>
    <n v="128"/>
    <s v="Weekly subscription"/>
    <m/>
    <n v="1.64"/>
    <n v="0.6"/>
    <n v="0.4"/>
    <m/>
    <m/>
    <s v=""/>
    <m/>
  </r>
  <r>
    <n v="44629"/>
    <m/>
    <x v="2"/>
    <m/>
    <m/>
    <x v="331"/>
    <x v="178"/>
    <s v="CVAS"/>
    <x v="10"/>
    <x v="7"/>
    <s v=""/>
    <s v="Others"/>
    <s v="Beauty and Health"/>
    <x v="34"/>
    <s v="ACTIVE"/>
    <s v="YES"/>
    <n v="42376"/>
    <s v="Life R Style"/>
    <s v="NIVEL 128 (1.64 Euros)"/>
    <n v="128"/>
    <s v="Weekly subscription"/>
    <m/>
    <n v="1.64"/>
    <n v="0.6"/>
    <n v="0.4"/>
    <m/>
    <m/>
    <s v=""/>
    <m/>
  </r>
  <r>
    <n v="44649"/>
    <m/>
    <x v="2"/>
    <m/>
    <m/>
    <x v="332"/>
    <x v="179"/>
    <s v="CVAS"/>
    <x v="11"/>
    <x v="2"/>
    <s v=""/>
    <s v="Others"/>
    <s v="Free Time"/>
    <x v="35"/>
    <s v="ACTIVE"/>
    <s v="YES"/>
    <n v="42396"/>
    <s v="Humanity"/>
    <s v="NIVEL 128 (1.64 Euros)"/>
    <n v="128"/>
    <s v="Weekly subscription"/>
    <n v="0"/>
    <n v="1.64"/>
    <n v="0.6"/>
    <n v="0.4"/>
    <m/>
    <m/>
    <s v=""/>
    <m/>
  </r>
  <r>
    <n v="44689"/>
    <m/>
    <x v="2"/>
    <m/>
    <m/>
    <x v="333"/>
    <x v="180"/>
    <s v="CVAS"/>
    <x v="12"/>
    <x v="8"/>
    <s v=""/>
    <s v="Others"/>
    <s v="Kids"/>
    <x v="20"/>
    <s v="ACTIVE"/>
    <s v="YES"/>
    <n v="42416"/>
    <s v="Baby TV"/>
    <s v="NIVEL 130 (0.82 Euros)"/>
    <n v="130"/>
    <s v="Weekly subscription"/>
    <n v="0"/>
    <n v="0.82"/>
    <n v="0.77"/>
    <n v="0.23"/>
    <m/>
    <m/>
    <s v=""/>
    <m/>
  </r>
  <r>
    <n v="44709"/>
    <m/>
    <x v="2"/>
    <m/>
    <m/>
    <x v="334"/>
    <x v="181"/>
    <s v="CVAS"/>
    <x v="11"/>
    <x v="2"/>
    <s v=""/>
    <s v="Others"/>
    <s v="Free Time"/>
    <x v="8"/>
    <s v="ACTIVE"/>
    <s v="YES"/>
    <n v="42436"/>
    <s v="Zona Z"/>
    <s v="NIVEL 136 (2.06 Euros)"/>
    <n v="136"/>
    <s v="Weekly subscription"/>
    <n v="0"/>
    <n v="2.06"/>
    <n v="0.6"/>
    <n v="0.4"/>
    <m/>
    <m/>
    <s v=""/>
    <m/>
  </r>
  <r>
    <n v="44711"/>
    <m/>
    <x v="2"/>
    <m/>
    <m/>
    <x v="335"/>
    <x v="0"/>
    <s v="CVAS"/>
    <x v="12"/>
    <x v="2"/>
    <s v=""/>
    <s v="Others"/>
    <s v="Free Time"/>
    <x v="20"/>
    <s v="ACTIVE"/>
    <s v="YES"/>
    <n v="42437"/>
    <s v="Tinder Emoción"/>
    <s v="NIVEL 99 (9.91 Euros)"/>
    <n v="99"/>
    <s v="Monthly subscription"/>
    <n v="0"/>
    <n v="9.91"/>
    <n v="0.65"/>
    <n v="0.35"/>
    <m/>
    <m/>
    <s v=""/>
    <m/>
  </r>
  <r>
    <n v="44749"/>
    <m/>
    <x v="2"/>
    <m/>
    <m/>
    <x v="336"/>
    <x v="182"/>
    <s v="CVAS"/>
    <x v="9"/>
    <x v="4"/>
    <s v=""/>
    <s v="Music"/>
    <s v=""/>
    <x v="36"/>
    <s v="ACTIVE"/>
    <s v="YES"/>
    <n v="46356"/>
    <s v="Spotify"/>
    <s v="NIVEL 122 (8.26 Euros)"/>
    <n v="122"/>
    <s v="Monthly subscription"/>
    <n v="0"/>
    <n v="8.26"/>
    <n v="0.9"/>
    <n v="0.1"/>
    <m/>
    <m/>
    <s v=""/>
    <m/>
  </r>
  <r>
    <n v="44771"/>
    <m/>
    <x v="2"/>
    <m/>
    <m/>
    <x v="337"/>
    <x v="183"/>
    <s v="CVAS"/>
    <x v="8"/>
    <x v="6"/>
    <s v=""/>
    <s v="Others"/>
    <s v="News"/>
    <x v="20"/>
    <s v="ACTIVE"/>
    <s v="YES"/>
    <n v="46377"/>
    <s v="El Kiosko y Más"/>
    <s v="NIVEL 148 (3.43 Euros)"/>
    <n v="148"/>
    <s v="Monthly subscription"/>
    <m/>
    <n v="3.43"/>
    <n v="0.08"/>
    <n v="0.92"/>
    <m/>
    <m/>
    <m/>
    <m/>
  </r>
  <r>
    <n v="44773"/>
    <m/>
    <x v="2"/>
    <m/>
    <m/>
    <x v="338"/>
    <x v="184"/>
    <s v="CVAS"/>
    <x v="8"/>
    <x v="6"/>
    <s v=""/>
    <s v="Others"/>
    <s v="News"/>
    <x v="20"/>
    <s v="ACTIVE"/>
    <s v="YES"/>
    <n v="46378"/>
    <s v="El Kiosko y Más"/>
    <s v="NIVEL 150 (6.60 Euros)"/>
    <n v="150"/>
    <s v="Monthly subscription"/>
    <m/>
    <n v="6.6"/>
    <n v="0.08"/>
    <n v="0.92"/>
    <m/>
    <m/>
    <m/>
    <m/>
  </r>
  <r>
    <n v="44775"/>
    <m/>
    <x v="2"/>
    <m/>
    <m/>
    <x v="339"/>
    <x v="185"/>
    <s v="CVAS"/>
    <x v="8"/>
    <x v="6"/>
    <s v=""/>
    <s v="Others"/>
    <s v="News"/>
    <x v="20"/>
    <s v="ACTIVE"/>
    <s v="YES"/>
    <n v="46379"/>
    <s v="El Kiosko y Más"/>
    <s v="NIVEL 150 (6.60 Euros)"/>
    <n v="150"/>
    <s v="Monthly subscription"/>
    <m/>
    <n v="6.6"/>
    <n v="0.08"/>
    <n v="0.92"/>
    <m/>
    <m/>
    <m/>
    <m/>
  </r>
  <r>
    <n v="44777"/>
    <m/>
    <x v="2"/>
    <m/>
    <m/>
    <x v="340"/>
    <x v="185"/>
    <s v="CVAS"/>
    <x v="8"/>
    <x v="6"/>
    <s v=""/>
    <s v="Others"/>
    <s v="News"/>
    <x v="20"/>
    <s v="ACTIVE"/>
    <s v="YES"/>
    <n v="46380"/>
    <s v="El Kiosko y Más"/>
    <s v="NIVEL 150 (6.60 Euros)"/>
    <n v="150"/>
    <s v="Monthly subscription"/>
    <m/>
    <n v="6.6"/>
    <n v="0.08"/>
    <n v="0.92"/>
    <m/>
    <m/>
    <m/>
    <m/>
  </r>
  <r>
    <n v="44779"/>
    <m/>
    <x v="2"/>
    <m/>
    <m/>
    <x v="341"/>
    <x v="186"/>
    <s v="CVAS"/>
    <x v="8"/>
    <x v="6"/>
    <s v=""/>
    <s v="Others"/>
    <s v="News"/>
    <x v="20"/>
    <s v="ACTIVE"/>
    <s v="YES"/>
    <n v="46381"/>
    <s v="El Kiosko y Más"/>
    <s v="NIVEL 150 (6.60 Euros)"/>
    <n v="150"/>
    <s v="Monthly subscription"/>
    <m/>
    <n v="6.6"/>
    <n v="0.08"/>
    <n v="0.92"/>
    <m/>
    <m/>
    <m/>
    <m/>
  </r>
  <r>
    <n v="44781"/>
    <m/>
    <x v="2"/>
    <m/>
    <m/>
    <x v="342"/>
    <x v="187"/>
    <s v="CVAS"/>
    <x v="8"/>
    <x v="6"/>
    <s v=""/>
    <s v="Others"/>
    <s v="News"/>
    <x v="20"/>
    <s v="ACTIVE"/>
    <s v="YES"/>
    <n v="46382"/>
    <s v="El Kiosko y Más"/>
    <s v="NIVEL 122 (8.26 Euros)"/>
    <n v="122"/>
    <s v="Monthly subscription"/>
    <m/>
    <n v="8.26"/>
    <n v="0.08"/>
    <n v="0.92"/>
    <m/>
    <m/>
    <m/>
    <m/>
  </r>
  <r>
    <n v="44789"/>
    <m/>
    <x v="2"/>
    <m/>
    <m/>
    <x v="343"/>
    <x v="188"/>
    <s v="CVAS"/>
    <x v="8"/>
    <x v="6"/>
    <s v=""/>
    <s v="Others"/>
    <s v="News"/>
    <x v="20"/>
    <s v="ACTIVE"/>
    <s v="YES"/>
    <n v="46396"/>
    <s v="El Kiosko y Más"/>
    <s v="NIVEL 151 (9.08 Euros)"/>
    <n v="151"/>
    <s v="Monthly subscription"/>
    <m/>
    <n v="9.08"/>
    <n v="0.08"/>
    <n v="0.92"/>
    <m/>
    <m/>
    <m/>
    <m/>
  </r>
  <r>
    <n v="44791"/>
    <m/>
    <x v="2"/>
    <m/>
    <m/>
    <x v="344"/>
    <x v="189"/>
    <s v="CVAS"/>
    <x v="8"/>
    <x v="6"/>
    <s v=""/>
    <s v="Others"/>
    <s v="News"/>
    <x v="20"/>
    <s v="ACTIVE"/>
    <s v="YES"/>
    <n v="46397"/>
    <s v="El Kiosko y Más"/>
    <s v="NIVEL 152 (9.67 Euros)"/>
    <n v="152"/>
    <s v="Monthly subscription"/>
    <m/>
    <n v="9.67"/>
    <n v="0.08"/>
    <n v="0.92"/>
    <m/>
    <m/>
    <m/>
    <m/>
  </r>
  <r>
    <n v="44793"/>
    <m/>
    <x v="2"/>
    <m/>
    <m/>
    <x v="345"/>
    <x v="190"/>
    <s v="CVAS"/>
    <x v="8"/>
    <x v="6"/>
    <s v=""/>
    <s v="Others"/>
    <s v="News"/>
    <x v="20"/>
    <s v="ACTIVE"/>
    <s v="YES"/>
    <n v="46398"/>
    <s v="El Kiosko y Más"/>
    <s v="NIVEL 153 (10.54 Euros)"/>
    <n v="153"/>
    <s v="Monthly subscription"/>
    <m/>
    <n v="10.54"/>
    <n v="0.08"/>
    <n v="0.92"/>
    <m/>
    <m/>
    <m/>
    <m/>
  </r>
  <r>
    <n v="44795"/>
    <m/>
    <x v="2"/>
    <m/>
    <m/>
    <x v="346"/>
    <x v="191"/>
    <s v="CVAS"/>
    <x v="8"/>
    <x v="6"/>
    <s v=""/>
    <s v="Others"/>
    <s v="News"/>
    <x v="20"/>
    <s v="ACTIVE"/>
    <s v="YES"/>
    <n v="46399"/>
    <s v="El Kiosko y Más"/>
    <s v="NIVEL 154 (11.16 Euros)"/>
    <n v="154"/>
    <s v="Monthly subscription"/>
    <m/>
    <n v="11.16"/>
    <n v="0.08"/>
    <n v="0.92"/>
    <m/>
    <m/>
    <m/>
    <m/>
  </r>
  <r>
    <n v="44797"/>
    <m/>
    <x v="2"/>
    <m/>
    <m/>
    <x v="347"/>
    <x v="192"/>
    <s v="CVAS"/>
    <x v="8"/>
    <x v="6"/>
    <s v=""/>
    <s v="Others"/>
    <s v="News"/>
    <x v="20"/>
    <s v="ACTIVE"/>
    <s v="YES"/>
    <n v="46400"/>
    <s v="El Kiosko y Más"/>
    <s v="NIVEL 155 (14.87 Euros)"/>
    <n v="155"/>
    <s v="Monthly subscription"/>
    <m/>
    <n v="14.87"/>
    <n v="0.08"/>
    <n v="0.92"/>
    <m/>
    <m/>
    <m/>
    <m/>
  </r>
  <r>
    <n v="44799"/>
    <m/>
    <x v="2"/>
    <m/>
    <m/>
    <x v="348"/>
    <x v="193"/>
    <s v="CVAS"/>
    <x v="8"/>
    <x v="6"/>
    <s v=""/>
    <s v="Others"/>
    <s v="News"/>
    <x v="20"/>
    <s v="ACTIVE"/>
    <s v="YES"/>
    <n v="46401"/>
    <s v="El Kiosko y Más"/>
    <s v="NIVEL 155 (14.87 Euros)"/>
    <n v="155"/>
    <s v="Monthly subscription"/>
    <m/>
    <n v="14.87"/>
    <n v="0.08"/>
    <n v="0.92"/>
    <m/>
    <m/>
    <m/>
    <m/>
  </r>
  <r>
    <n v="44809"/>
    <m/>
    <x v="2"/>
    <m/>
    <m/>
    <x v="349"/>
    <x v="194"/>
    <s v="CVAS"/>
    <x v="8"/>
    <x v="6"/>
    <s v=""/>
    <s v="Others"/>
    <s v="News"/>
    <x v="20"/>
    <s v="ACTIVE"/>
    <s v="YES"/>
    <n v="46416"/>
    <s v="El Kiosko y Más"/>
    <s v="NIVEL 156 (15.21 Euros)"/>
    <n v="156"/>
    <s v="Monthly subscription"/>
    <m/>
    <n v="15.21"/>
    <n v="0.08"/>
    <n v="0.92"/>
    <m/>
    <m/>
    <m/>
    <m/>
  </r>
  <r>
    <n v="44811"/>
    <m/>
    <x v="2"/>
    <m/>
    <m/>
    <x v="350"/>
    <x v="195"/>
    <s v="CVAS"/>
    <x v="8"/>
    <x v="6"/>
    <s v=""/>
    <s v="Others"/>
    <s v="News"/>
    <x v="20"/>
    <s v="ACTIVE"/>
    <s v="YES"/>
    <n v="46417"/>
    <s v="El Kiosko y Más"/>
    <s v="NIVEL 156 (15.21 Euros)"/>
    <n v="156"/>
    <s v="Monthly subscription"/>
    <m/>
    <n v="15.21"/>
    <n v="0.08"/>
    <n v="0.92"/>
    <m/>
    <m/>
    <m/>
    <m/>
  </r>
  <r>
    <n v="44813"/>
    <m/>
    <x v="2"/>
    <m/>
    <m/>
    <x v="351"/>
    <x v="196"/>
    <s v="CVAS"/>
    <x v="8"/>
    <x v="6"/>
    <s v=""/>
    <s v="Others"/>
    <s v="News"/>
    <x v="20"/>
    <s v="ACTIVE"/>
    <s v="YES"/>
    <n v="46418"/>
    <s v="El Kiosko y Más"/>
    <s v="NIVEL 156 (15.21 Euros)"/>
    <n v="156"/>
    <s v="Monthly subscription"/>
    <m/>
    <n v="15.21"/>
    <n v="0.08"/>
    <n v="0.92"/>
    <m/>
    <m/>
    <m/>
    <m/>
  </r>
  <r>
    <n v="44815"/>
    <m/>
    <x v="2"/>
    <m/>
    <m/>
    <x v="352"/>
    <x v="197"/>
    <s v="CVAS"/>
    <x v="8"/>
    <x v="6"/>
    <s v=""/>
    <s v="Others"/>
    <s v="News"/>
    <x v="20"/>
    <s v="ACTIVE"/>
    <s v="YES"/>
    <n v="46419"/>
    <s v="El Kiosko y Más"/>
    <s v="NIVEL 156 (15.21 Euros)"/>
    <n v="156"/>
    <s v="Monthly subscription"/>
    <m/>
    <n v="15.21"/>
    <n v="0.08"/>
    <n v="0.92"/>
    <m/>
    <m/>
    <m/>
    <m/>
  </r>
  <r>
    <n v="44817"/>
    <m/>
    <x v="2"/>
    <m/>
    <m/>
    <x v="353"/>
    <x v="198"/>
    <s v="CVAS"/>
    <x v="8"/>
    <x v="6"/>
    <s v=""/>
    <s v="Others"/>
    <s v="News"/>
    <x v="20"/>
    <s v="ACTIVE"/>
    <s v="YES"/>
    <n v="46420"/>
    <s v="El Kiosko y Más"/>
    <s v="NIVEL 157 (15.87 Euros)"/>
    <n v="157"/>
    <s v="Monthly subscription"/>
    <m/>
    <n v="15.87"/>
    <n v="0.08"/>
    <n v="0.92"/>
    <m/>
    <m/>
    <m/>
    <m/>
  </r>
  <r>
    <n v="44819"/>
    <m/>
    <x v="2"/>
    <m/>
    <m/>
    <x v="354"/>
    <x v="199"/>
    <s v="CVAS"/>
    <x v="8"/>
    <x v="6"/>
    <s v=""/>
    <s v="Others"/>
    <s v="News"/>
    <x v="20"/>
    <s v="ACTIVE"/>
    <s v="YES"/>
    <n v="46421"/>
    <s v="El Kiosko y Más"/>
    <s v="NIVEL 157 (15.87 Euros)"/>
    <n v="157"/>
    <s v="Monthly subscription"/>
    <m/>
    <n v="15.87"/>
    <n v="0.08"/>
    <n v="0.92"/>
    <m/>
    <m/>
    <m/>
    <m/>
  </r>
  <r>
    <n v="44821"/>
    <m/>
    <x v="2"/>
    <m/>
    <m/>
    <x v="355"/>
    <x v="200"/>
    <s v="CVAS"/>
    <x v="8"/>
    <x v="6"/>
    <s v=""/>
    <s v="Others"/>
    <s v="News"/>
    <x v="20"/>
    <s v="ACTIVE"/>
    <s v="YES"/>
    <n v="46422"/>
    <s v="El Kiosko y Más"/>
    <s v="NIVEL 157 (15.87 Euros)"/>
    <n v="157"/>
    <s v="Monthly subscription"/>
    <m/>
    <n v="15.87"/>
    <n v="0.08"/>
    <n v="0.92"/>
    <m/>
    <m/>
    <m/>
    <m/>
  </r>
  <r>
    <n v="44823"/>
    <m/>
    <x v="2"/>
    <m/>
    <m/>
    <x v="356"/>
    <x v="201"/>
    <s v="CVAS"/>
    <x v="8"/>
    <x v="6"/>
    <s v=""/>
    <s v="Others"/>
    <s v="News"/>
    <x v="20"/>
    <s v="ACTIVE"/>
    <s v="YES"/>
    <n v="46423"/>
    <s v="El Kiosko y Más"/>
    <s v="NIVEL 157 (15.87 Euros)"/>
    <n v="157"/>
    <s v="Monthly subscription"/>
    <m/>
    <n v="15.87"/>
    <n v="0.08"/>
    <n v="0.92"/>
    <m/>
    <m/>
    <m/>
    <m/>
  </r>
  <r>
    <n v="44825"/>
    <m/>
    <x v="2"/>
    <m/>
    <m/>
    <x v="357"/>
    <x v="202"/>
    <s v="CVAS"/>
    <x v="8"/>
    <x v="6"/>
    <s v=""/>
    <s v="Others"/>
    <s v="News"/>
    <x v="20"/>
    <s v="ACTIVE"/>
    <s v="YES"/>
    <n v="46424"/>
    <s v="El Kiosko y Más"/>
    <s v="NIVEL 157 (15.87 Euros)"/>
    <n v="157"/>
    <s v="Monthly subscription"/>
    <m/>
    <n v="15.87"/>
    <n v="0.08"/>
    <n v="0.92"/>
    <m/>
    <m/>
    <m/>
    <m/>
  </r>
  <r>
    <n v="44827"/>
    <m/>
    <x v="2"/>
    <m/>
    <m/>
    <x v="358"/>
    <x v="203"/>
    <s v="CVAS"/>
    <x v="8"/>
    <x v="6"/>
    <s v=""/>
    <s v="Others"/>
    <s v="News"/>
    <x v="20"/>
    <s v="ACTIVE"/>
    <s v="YES"/>
    <n v="46425"/>
    <s v="El Kiosko y Más"/>
    <s v="NIVEL 157 (15.87 Euros)"/>
    <n v="157"/>
    <s v="Monthly subscription"/>
    <m/>
    <n v="15.87"/>
    <n v="0.08"/>
    <n v="0.92"/>
    <m/>
    <m/>
    <m/>
    <m/>
  </r>
  <r>
    <n v="44829"/>
    <m/>
    <x v="2"/>
    <m/>
    <m/>
    <x v="359"/>
    <x v="204"/>
    <s v="CVAS"/>
    <x v="8"/>
    <x v="6"/>
    <s v=""/>
    <s v="Others"/>
    <s v="News"/>
    <x v="20"/>
    <s v="ACTIVE"/>
    <s v="YES"/>
    <n v="46426"/>
    <s v="El Kiosko y Más"/>
    <s v="NIVEL 157 (15.87 Euros)"/>
    <n v="157"/>
    <s v="Monthly subscription"/>
    <m/>
    <n v="15.87"/>
    <n v="0.08"/>
    <n v="0.92"/>
    <m/>
    <m/>
    <m/>
    <m/>
  </r>
  <r>
    <n v="44831"/>
    <m/>
    <x v="2"/>
    <m/>
    <m/>
    <x v="360"/>
    <x v="205"/>
    <s v="CVAS"/>
    <x v="8"/>
    <x v="6"/>
    <s v=""/>
    <s v="Others"/>
    <s v="News"/>
    <x v="20"/>
    <s v="ACTIVE"/>
    <s v="YES"/>
    <n v="46427"/>
    <s v="El Kiosko y Más"/>
    <s v="NIVEL 157 (15.87 Euros)"/>
    <n v="157"/>
    <s v="Monthly subscription"/>
    <m/>
    <n v="15.87"/>
    <n v="0.08"/>
    <n v="0.92"/>
    <m/>
    <m/>
    <m/>
    <m/>
  </r>
  <r>
    <n v="44833"/>
    <m/>
    <x v="2"/>
    <m/>
    <m/>
    <x v="361"/>
    <x v="206"/>
    <s v="CVAS"/>
    <x v="8"/>
    <x v="6"/>
    <s v=""/>
    <s v="Others"/>
    <s v="News"/>
    <x v="20"/>
    <s v="ACTIVE"/>
    <s v="YES"/>
    <n v="46428"/>
    <s v="El Kiosko y Más"/>
    <s v="NIVEL 158 (16.16 Euros)"/>
    <n v="158"/>
    <s v="Monthly subscription"/>
    <m/>
    <n v="16.16"/>
    <n v="0.08"/>
    <n v="0.92"/>
    <m/>
    <m/>
    <m/>
    <m/>
  </r>
  <r>
    <n v="44835"/>
    <m/>
    <x v="2"/>
    <m/>
    <m/>
    <x v="362"/>
    <x v="207"/>
    <s v="CVAS"/>
    <x v="8"/>
    <x v="6"/>
    <s v=""/>
    <s v="Others"/>
    <s v="News"/>
    <x v="20"/>
    <s v="ACTIVE"/>
    <s v="YES"/>
    <n v="46429"/>
    <s v="El Kiosko y Más"/>
    <s v="NIVEL 159 (16.86 Euros)"/>
    <n v="159"/>
    <s v="Monthly subscription"/>
    <m/>
    <n v="16.86"/>
    <n v="0.08"/>
    <n v="0.92"/>
    <m/>
    <m/>
    <m/>
    <m/>
  </r>
  <r>
    <n v="44837"/>
    <m/>
    <x v="2"/>
    <m/>
    <m/>
    <x v="363"/>
    <x v="208"/>
    <s v="CVAS"/>
    <x v="8"/>
    <x v="6"/>
    <s v=""/>
    <s v="Others"/>
    <s v="News"/>
    <x v="20"/>
    <s v="ACTIVE"/>
    <s v="YES"/>
    <n v="46430"/>
    <s v="El Kiosko y Más"/>
    <s v="NIVEL 159 (16.86 Euros)"/>
    <n v="159"/>
    <s v="Monthly subscription"/>
    <m/>
    <n v="16.86"/>
    <n v="0.08"/>
    <n v="0.92"/>
    <m/>
    <m/>
    <m/>
    <m/>
  </r>
  <r>
    <n v="44839"/>
    <m/>
    <x v="2"/>
    <m/>
    <m/>
    <x v="364"/>
    <x v="209"/>
    <s v="CVAS"/>
    <x v="8"/>
    <x v="6"/>
    <s v=""/>
    <s v="Others"/>
    <s v="News"/>
    <x v="20"/>
    <s v="ACTIVE"/>
    <s v="YES"/>
    <n v="46436"/>
    <s v="El Kiosko y Más"/>
    <s v="NIVEL 160 (17.18 Euros)"/>
    <n v="160"/>
    <s v="Monthly subscription"/>
    <m/>
    <n v="17.18"/>
    <n v="0.08"/>
    <n v="0.92"/>
    <m/>
    <m/>
    <m/>
    <m/>
  </r>
  <r>
    <n v="44841"/>
    <m/>
    <x v="2"/>
    <m/>
    <m/>
    <x v="365"/>
    <x v="210"/>
    <s v="CVAS"/>
    <x v="8"/>
    <x v="6"/>
    <s v=""/>
    <s v="Others"/>
    <s v="News"/>
    <x v="20"/>
    <s v="ACTIVE"/>
    <s v="YES"/>
    <n v="46437"/>
    <s v="El Kiosko y Más"/>
    <s v="NIVEL 161 (20.83 Euros)"/>
    <n v="161"/>
    <s v="Monthly subscription"/>
    <m/>
    <n v="20.83"/>
    <n v="0.08"/>
    <n v="0.92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485">
  <r>
    <n v="893"/>
    <m/>
    <n v="313"/>
    <n v="31301"/>
    <n v="31301"/>
    <x v="0"/>
    <x v="0"/>
    <s v="CVAS"/>
    <x v="0"/>
    <x v="0"/>
    <s v="Light Hard"/>
    <s v="Light"/>
    <s v="Light Hard"/>
    <s v="PSM"/>
    <s v="ACTIVE"/>
    <s v="YES"/>
    <n v="873"/>
    <s v="La Gruta del Sexo"/>
    <s v="NIVEL 58 (2.99 Euros)"/>
    <n v="58"/>
    <s v="Weekly subscription"/>
    <n v="908"/>
    <n v="2.99"/>
    <n v="0.4"/>
    <n v="0.6"/>
    <m/>
    <m/>
    <s v=""/>
  </r>
  <r>
    <n v="928"/>
    <m/>
    <n v="563"/>
    <n v="56301"/>
    <n v="56301"/>
    <x v="1"/>
    <x v="1"/>
    <s v="CVAS"/>
    <x v="1"/>
    <x v="1"/>
    <s v=""/>
    <s v="Others"/>
    <s v="Images"/>
    <s v="Gofresh"/>
    <s v="ACTIVE"/>
    <s v="YES"/>
    <n v="908"/>
    <s v="Gofresh logos"/>
    <s v="NIVEL 9 (2 E)"/>
    <n v="9"/>
    <s v="Monthly subscription"/>
    <n v="25"/>
    <n v="2"/>
    <n v="0.7"/>
    <n v="0.3"/>
    <m/>
    <m/>
    <s v=""/>
  </r>
  <r>
    <n v="3109"/>
    <m/>
    <m/>
    <m/>
    <m/>
    <x v="2"/>
    <x v="2"/>
    <s v="CVAS"/>
    <x v="2"/>
    <x v="2"/>
    <m/>
    <s v="Others"/>
    <m/>
    <s v="Mister-i"/>
    <s v="INACTIVE"/>
    <s v="YES"/>
    <m/>
    <s v="MoviMessenger"/>
    <m/>
    <m/>
    <s v="Monthly subscription"/>
    <m/>
    <m/>
    <m/>
    <m/>
    <m/>
    <m/>
    <m/>
  </r>
  <r>
    <n v="3141"/>
    <m/>
    <m/>
    <m/>
    <m/>
    <x v="2"/>
    <x v="2"/>
    <s v="CVAS"/>
    <x v="2"/>
    <x v="2"/>
    <m/>
    <s v="Others"/>
    <m/>
    <s v="Mister-i"/>
    <s v="INACTIVE"/>
    <s v="YES"/>
    <m/>
    <s v="Contactos"/>
    <m/>
    <m/>
    <s v="Monthly subscription"/>
    <m/>
    <m/>
    <m/>
    <m/>
    <m/>
    <m/>
    <m/>
  </r>
  <r>
    <n v="4091"/>
    <m/>
    <n v="298"/>
    <n v="29802"/>
    <n v="29802"/>
    <x v="3"/>
    <x v="0"/>
    <s v="CVAS"/>
    <x v="0"/>
    <x v="0"/>
    <s v="Light Hard"/>
    <s v="Light"/>
    <s v="Light Hard"/>
    <s v="PSM"/>
    <s v="ACTIVE"/>
    <s v="YES"/>
    <n v="3911"/>
    <s v="La Gruta del Sexo"/>
    <s v="NIVEL 10 (2.5)"/>
    <n v="10"/>
    <s v="PPD"/>
    <n v="1"/>
    <n v="2.5"/>
    <n v="0.3"/>
    <n v="0.7"/>
    <m/>
    <m/>
    <s v=""/>
  </r>
  <r>
    <n v="5645"/>
    <m/>
    <m/>
    <m/>
    <m/>
    <x v="4"/>
    <x v="3"/>
    <s v="CVAS"/>
    <x v="2"/>
    <x v="2"/>
    <m/>
    <s v="Others"/>
    <m/>
    <s v="Parmenion Inversiones"/>
    <s v="INACTIVE"/>
    <s v="YES"/>
    <m/>
    <s v="¿Quedamos?"/>
    <m/>
    <m/>
    <s v="Monthly subscription"/>
    <m/>
    <m/>
    <m/>
    <m/>
    <m/>
    <m/>
    <m/>
  </r>
  <r>
    <n v="8778"/>
    <m/>
    <n v="257"/>
    <n v="25701"/>
    <n v="25701"/>
    <x v="5"/>
    <x v="4"/>
    <s v="CVAS"/>
    <x v="3"/>
    <x v="3"/>
    <s v=""/>
    <s v="Games"/>
    <s v=""/>
    <s v="Gameloft"/>
    <s v="ACTIVE"/>
    <s v="YES"/>
    <n v="8378"/>
    <s v="Desc. Gameloft"/>
    <s v="NIVEL 11 (3 E)"/>
    <n v="11"/>
    <s v="PPD"/>
    <n v="1"/>
    <n v="3"/>
    <n v="0.5"/>
    <n v="0.5"/>
    <m/>
    <m/>
    <s v=""/>
  </r>
  <r>
    <n v="10004"/>
    <m/>
    <n v="564"/>
    <n v="56401"/>
    <n v="56401"/>
    <x v="6"/>
    <x v="0"/>
    <s v="CVAS"/>
    <x v="0"/>
    <x v="0"/>
    <s v="Light Hard"/>
    <s v="Light"/>
    <s v="Light Hard"/>
    <s v="Gofresh"/>
    <s v="ACTIVE"/>
    <s v="YES"/>
    <n v="9241"/>
    <s v="JCs NightClub"/>
    <s v="NIVEL 9 (2 E)"/>
    <n v="9"/>
    <s v="Monthly subscription"/>
    <n v="25"/>
    <n v="2"/>
    <n v="0.3"/>
    <n v="0.7"/>
    <m/>
    <m/>
    <s v=""/>
  </r>
  <r>
    <n v="10487"/>
    <m/>
    <n v="426"/>
    <n v="42601"/>
    <n v="42601"/>
    <x v="7"/>
    <x v="5"/>
    <s v="CVAS"/>
    <x v="4"/>
    <x v="4"/>
    <s v=""/>
    <s v="Music"/>
    <s v=""/>
    <s v="Mister-i"/>
    <s v="INACTIVE"/>
    <s v="YES"/>
    <n v="9616"/>
    <s v="Club música"/>
    <s v="NIVEL 54 (0.99 Euros)"/>
    <n v="54"/>
    <s v="Weekly subscription"/>
    <n v="908"/>
    <n v="0.99"/>
    <n v="0.65"/>
    <n v="0.35"/>
    <m/>
    <m/>
    <s v=""/>
  </r>
  <r>
    <n v="10494"/>
    <m/>
    <n v="347"/>
    <n v="34701"/>
    <n v="34701"/>
    <x v="8"/>
    <x v="6"/>
    <s v="CVAS"/>
    <x v="1"/>
    <x v="1"/>
    <s v=""/>
    <s v="Others"/>
    <s v="Images"/>
    <s v="PSM"/>
    <s v="ACTIVE"/>
    <s v="YES"/>
    <n v="9620"/>
    <s v="SolodeLogos Club"/>
    <s v="NIVEL 9 (2 E)"/>
    <n v="9"/>
    <s v="Monthly subscription"/>
    <n v="25"/>
    <n v="2"/>
    <n v="0.35"/>
    <n v="0.65"/>
    <m/>
    <m/>
    <s v=""/>
  </r>
  <r>
    <n v="11207"/>
    <m/>
    <n v="563"/>
    <n v="56302"/>
    <n v="56302"/>
    <x v="9"/>
    <x v="7"/>
    <s v="CVAS"/>
    <x v="1"/>
    <x v="1"/>
    <s v=""/>
    <s v="Others"/>
    <s v="Images"/>
    <s v="Gofresh"/>
    <s v="ACTIVE"/>
    <s v="YES"/>
    <n v="10143"/>
    <s v="Animaciones&amp;Logos"/>
    <s v="NIVEL 9 (2 E)"/>
    <n v="9"/>
    <s v="Monthly subscription"/>
    <n v="25"/>
    <n v="2"/>
    <n v="0.65"/>
    <n v="0.35"/>
    <m/>
    <m/>
    <s v=""/>
  </r>
  <r>
    <n v="15325"/>
    <m/>
    <n v="604"/>
    <n v="60401"/>
    <n v="60401"/>
    <x v="10"/>
    <x v="0"/>
    <s v="CVAS"/>
    <x v="0"/>
    <x v="0"/>
    <s v="Light Hard"/>
    <s v="Light"/>
    <s v="Light Hard"/>
    <s v="Waat Media"/>
    <s v="INACTIVE"/>
    <s v="YES"/>
    <n v="20069"/>
    <s v="Euroteens"/>
    <s v="NIVEL 20 (10 E)"/>
    <n v="20"/>
    <s v="Monthly subscription"/>
    <n v="25"/>
    <n v="10"/>
    <n v="0.3"/>
    <n v="0.7"/>
    <m/>
    <m/>
    <s v=""/>
  </r>
  <r>
    <n v="17510"/>
    <m/>
    <n v="427"/>
    <n v="42701"/>
    <n v="42701"/>
    <x v="11"/>
    <x v="8"/>
    <s v="CVAS"/>
    <x v="4"/>
    <x v="4"/>
    <s v=""/>
    <s v="Music"/>
    <s v=""/>
    <s v="Mister-i"/>
    <s v="ACTIVE"/>
    <s v="YES"/>
    <n v="23992"/>
    <s v="Melodias y Tonos"/>
    <s v="NIVEL 9 (2 E)"/>
    <n v="9"/>
    <s v="Monthly subscription"/>
    <n v="25"/>
    <n v="2"/>
    <n v="0.7"/>
    <n v="0.3"/>
    <m/>
    <m/>
    <s v=""/>
  </r>
  <r>
    <n v="18157"/>
    <m/>
    <n v="599"/>
    <n v="59901"/>
    <n v="59901"/>
    <x v="12"/>
    <x v="0"/>
    <s v="CVAS"/>
    <x v="0"/>
    <x v="0"/>
    <s v="Light TV"/>
    <s v="Light"/>
    <s v="Light TV"/>
    <s v="AirTouch New Media SL"/>
    <s v="ACTIVE"/>
    <s v="YES"/>
    <n v="22063"/>
    <s v="Top Models"/>
    <s v="NIVEL 11 (3 E)"/>
    <n v="11"/>
    <s v="Monthly subscription"/>
    <n v="25"/>
    <n v="3"/>
    <n v="0.3"/>
    <n v="0.7"/>
    <m/>
    <m/>
    <s v=""/>
  </r>
  <r>
    <n v="18965"/>
    <m/>
    <n v="257"/>
    <n v="25702"/>
    <n v="25702"/>
    <x v="13"/>
    <x v="9"/>
    <s v="CVAS"/>
    <x v="3"/>
    <x v="3"/>
    <s v=""/>
    <s v="Games"/>
    <s v=""/>
    <s v="Gameloft"/>
    <s v="ACTIVE"/>
    <s v="YES"/>
    <n v="25225"/>
    <s v="Desc. Gamel5"/>
    <s v="NIVEL 12 (5 E)"/>
    <n v="12"/>
    <s v="PPD"/>
    <n v="1"/>
    <n v="5"/>
    <n v="0.6"/>
    <n v="0.4"/>
    <m/>
    <m/>
    <s v=""/>
  </r>
  <r>
    <n v="19168"/>
    <m/>
    <n v="602"/>
    <n v="60202"/>
    <n v="60202"/>
    <x v="14"/>
    <x v="0"/>
    <s v="CVAS"/>
    <x v="0"/>
    <x v="0"/>
    <s v="Light Soft"/>
    <s v="Light"/>
    <s v="Light Soft"/>
    <s v="Private"/>
    <s v="ACTIVE"/>
    <s v="YES"/>
    <n v="25386"/>
    <s v="DescFondosPrivate"/>
    <s v="NIVEL 11 (3 E)"/>
    <n v="11"/>
    <s v="PPD"/>
    <n v="1"/>
    <n v="3"/>
    <n v="0.3"/>
    <n v="0.7"/>
    <m/>
    <m/>
    <s v=""/>
  </r>
  <r>
    <n v="20508"/>
    <m/>
    <n v="474"/>
    <n v="47402"/>
    <n v="47402"/>
    <x v="15"/>
    <x v="10"/>
    <s v="CVAS"/>
    <x v="3"/>
    <x v="3"/>
    <s v=""/>
    <s v="Games"/>
    <s v=""/>
    <s v="Mobiground"/>
    <s v="ACTIVE"/>
    <s v="YES"/>
    <n v="26502"/>
    <s v="Desc.Play2Me1"/>
    <s v="NIVEL 7 (1 E)"/>
    <n v="7"/>
    <s v="PPD"/>
    <n v="1"/>
    <n v="1"/>
    <n v="0.7"/>
    <n v="0.3"/>
    <m/>
    <m/>
    <s v=""/>
  </r>
  <r>
    <n v="20510"/>
    <m/>
    <n v="474"/>
    <n v="47403"/>
    <n v="47403"/>
    <x v="16"/>
    <x v="11"/>
    <s v="CVAS"/>
    <x v="3"/>
    <x v="3"/>
    <s v=""/>
    <s v="Games"/>
    <s v=""/>
    <s v="Mobiground"/>
    <s v="ACTIVE"/>
    <s v="YES"/>
    <n v="26503"/>
    <s v="Desc.Play2Me1.5"/>
    <s v="NIVEL 8 (1.5)"/>
    <n v="8"/>
    <s v="PPD"/>
    <n v="1"/>
    <n v="1.5"/>
    <n v="0.65"/>
    <n v="0.35"/>
    <m/>
    <m/>
    <s v=""/>
  </r>
  <r>
    <n v="20512"/>
    <m/>
    <n v="474"/>
    <n v="47404"/>
    <n v="47404"/>
    <x v="17"/>
    <x v="12"/>
    <s v="CVAS"/>
    <x v="3"/>
    <x v="3"/>
    <s v=""/>
    <s v="Games"/>
    <s v=""/>
    <s v="Mobiground"/>
    <s v="ACTIVE"/>
    <s v="YES"/>
    <n v="26504"/>
    <s v="Desc.Play2Me2"/>
    <s v="NIVEL 9 (2 E)"/>
    <n v="9"/>
    <s v="PPD"/>
    <n v="1"/>
    <n v="2"/>
    <n v="0.65"/>
    <n v="0.35"/>
    <m/>
    <m/>
    <s v=""/>
  </r>
  <r>
    <n v="20514"/>
    <m/>
    <n v="474"/>
    <n v="47405"/>
    <n v="47405"/>
    <x v="18"/>
    <x v="13"/>
    <s v="CVAS"/>
    <x v="3"/>
    <x v="3"/>
    <s v=""/>
    <s v="Games"/>
    <s v=""/>
    <s v="Mobiground"/>
    <s v="ACTIVE"/>
    <s v="YES"/>
    <n v="26505"/>
    <s v="Desc.Play2Me3"/>
    <s v="NIVEL 11 (3 E)"/>
    <n v="11"/>
    <s v="PPD"/>
    <n v="1"/>
    <n v="3"/>
    <n v="0.5"/>
    <n v="0.5"/>
    <m/>
    <m/>
    <s v=""/>
  </r>
  <r>
    <n v="20516"/>
    <m/>
    <n v="474"/>
    <n v="47406"/>
    <n v="47406"/>
    <x v="19"/>
    <x v="14"/>
    <s v="CVAS"/>
    <x v="3"/>
    <x v="3"/>
    <s v=""/>
    <s v="Games"/>
    <s v=""/>
    <s v="Mobiground"/>
    <s v="ACTIVE"/>
    <s v="YES"/>
    <n v="26506"/>
    <s v="Desc.Play2Me4"/>
    <s v="NIVEL 22 (4 E)"/>
    <n v="22"/>
    <s v="PPD"/>
    <n v="1"/>
    <n v="4"/>
    <n v="0.6"/>
    <n v="0.4"/>
    <m/>
    <m/>
    <s v=""/>
  </r>
  <r>
    <n v="20518"/>
    <m/>
    <n v="474"/>
    <n v="47407"/>
    <n v="47407"/>
    <x v="20"/>
    <x v="15"/>
    <s v="CVAS"/>
    <x v="3"/>
    <x v="3"/>
    <s v=""/>
    <s v="Games"/>
    <s v=""/>
    <s v="Mobiground"/>
    <s v="ACTIVE"/>
    <s v="YES"/>
    <n v="26507"/>
    <s v="Desc.Play2Me5"/>
    <s v="NIVEL 12 (5 E)"/>
    <n v="12"/>
    <s v="PPD"/>
    <n v="1"/>
    <n v="5"/>
    <n v="0.6"/>
    <n v="0.4"/>
    <m/>
    <m/>
    <s v=""/>
  </r>
  <r>
    <n v="22108"/>
    <m/>
    <n v="361"/>
    <n v="36101"/>
    <n v="36101"/>
    <x v="21"/>
    <x v="16"/>
    <s v="CVAS"/>
    <x v="1"/>
    <x v="1"/>
    <s v=""/>
    <s v="Others"/>
    <s v="Images"/>
    <s v="AirTouch New Media SL"/>
    <s v="ACTIVE"/>
    <s v="YES"/>
    <n v="27977"/>
    <s v="Fondos"/>
    <s v="NIVEL 8 (1.5)"/>
    <n v="8"/>
    <s v="PPD"/>
    <n v="1"/>
    <n v="1.5"/>
    <n v="0.4"/>
    <n v="0.6"/>
    <m/>
    <m/>
    <s v=""/>
  </r>
  <r>
    <n v="22110"/>
    <m/>
    <n v="355"/>
    <n v="35501"/>
    <n v="35501"/>
    <x v="22"/>
    <x v="17"/>
    <s v="CVAS"/>
    <x v="1"/>
    <x v="1"/>
    <s v=""/>
    <s v="Others"/>
    <s v="Images"/>
    <s v="AirTouch New Media SL"/>
    <s v="ACTIVE"/>
    <s v="YES"/>
    <n v="27978"/>
    <s v="Videos"/>
    <s v="NIVEL 9 (2 E)"/>
    <n v="9"/>
    <s v="PPD"/>
    <n v="1"/>
    <n v="2"/>
    <n v="0.4"/>
    <n v="0.6"/>
    <m/>
    <m/>
    <s v=""/>
  </r>
  <r>
    <n v="22112"/>
    <m/>
    <n v="357"/>
    <n v="35701"/>
    <n v="35701"/>
    <x v="23"/>
    <x v="18"/>
    <s v="CVAS"/>
    <x v="1"/>
    <x v="1"/>
    <s v=""/>
    <s v="Others"/>
    <s v="Images"/>
    <s v="AirTouch New Media SL"/>
    <s v="ACTIVE"/>
    <s v="YES"/>
    <n v="27979"/>
    <s v="Animaciones"/>
    <s v="NIVEL 8 (1.5)"/>
    <n v="8"/>
    <s v="PPD"/>
    <n v="1"/>
    <n v="1.5"/>
    <n v="0.4"/>
    <n v="0.6"/>
    <m/>
    <m/>
    <s v=""/>
  </r>
  <r>
    <n v="22118"/>
    <m/>
    <n v="363"/>
    <n v="36301"/>
    <n v="36301"/>
    <x v="24"/>
    <x v="19"/>
    <s v="CVAS"/>
    <x v="1"/>
    <x v="1"/>
    <s v=""/>
    <s v="Others"/>
    <s v="Images"/>
    <s v="AirTouch New Media SL"/>
    <s v="ACTIVE"/>
    <s v="YES"/>
    <n v="27982"/>
    <s v="Fondos Branded"/>
    <s v="NIVEL 8 (1.5)"/>
    <n v="8"/>
    <s v="PPD"/>
    <n v="1"/>
    <n v="1.5"/>
    <n v="0.5"/>
    <n v="0.5"/>
    <m/>
    <m/>
    <s v=""/>
  </r>
  <r>
    <n v="22120"/>
    <m/>
    <n v="366"/>
    <n v="36601"/>
    <n v="36601"/>
    <x v="25"/>
    <x v="20"/>
    <s v="CVAS"/>
    <x v="1"/>
    <x v="1"/>
    <s v=""/>
    <s v="Others"/>
    <s v="Images"/>
    <s v="AirTouch New Media SL"/>
    <s v="ACTIVE"/>
    <s v="YES"/>
    <n v="27983"/>
    <s v="Videos Branded"/>
    <s v="NIVEL 9 (2 E)"/>
    <n v="9"/>
    <s v="PPD"/>
    <n v="1"/>
    <n v="2"/>
    <n v="0.5"/>
    <n v="0.5"/>
    <m/>
    <m/>
    <s v=""/>
  </r>
  <r>
    <n v="22122"/>
    <m/>
    <n v="356"/>
    <n v="35601"/>
    <n v="35601"/>
    <x v="21"/>
    <x v="21"/>
    <s v="CVAS"/>
    <x v="1"/>
    <x v="1"/>
    <s v=""/>
    <s v="Others"/>
    <s v="Images"/>
    <s v="AirTouch New Media SL"/>
    <s v="ACTIVE"/>
    <s v="YES"/>
    <n v="27984"/>
    <s v="Animaciones Brand"/>
    <s v="NIVEL 8 (1.5)"/>
    <n v="8"/>
    <s v="PPD"/>
    <n v="1"/>
    <n v="1.5"/>
    <n v="0.5"/>
    <n v="0.5"/>
    <m/>
    <m/>
    <s v=""/>
  </r>
  <r>
    <n v="22716"/>
    <m/>
    <n v="303"/>
    <n v="30303"/>
    <n v="30303"/>
    <x v="26"/>
    <x v="0"/>
    <s v="CVAS"/>
    <x v="0"/>
    <x v="0"/>
    <s v="Light Hard"/>
    <s v="Light"/>
    <s v="Light Hard"/>
    <s v="PSM"/>
    <s v="ACTIVE"/>
    <s v="YES"/>
    <n v="28472"/>
    <s v="Mundo DV Porno"/>
    <s v="NIVEL 12 (5 E)"/>
    <n v="12"/>
    <s v="PPD"/>
    <n v="1"/>
    <n v="5"/>
    <n v="0.3"/>
    <n v="0.7"/>
    <m/>
    <m/>
    <s v=""/>
  </r>
  <r>
    <n v="22718"/>
    <m/>
    <n v="251"/>
    <n v="25102"/>
    <n v="25102"/>
    <x v="26"/>
    <x v="0"/>
    <s v="CVAS"/>
    <x v="0"/>
    <x v="0"/>
    <s v="Light Hard"/>
    <s v="Light"/>
    <s v="Light Hard"/>
    <s v="PSM"/>
    <s v="ACTIVE"/>
    <s v="YES"/>
    <n v="28473"/>
    <s v="Porno Profesional"/>
    <s v="NIVEL 11 (3 E)"/>
    <n v="11"/>
    <s v="PPD"/>
    <n v="1"/>
    <n v="3"/>
    <n v="0.3"/>
    <n v="0.7"/>
    <m/>
    <m/>
    <s v=""/>
  </r>
  <r>
    <n v="23264"/>
    <m/>
    <n v="600"/>
    <n v="60001"/>
    <n v="60001"/>
    <x v="27"/>
    <x v="22"/>
    <s v="CVAS"/>
    <x v="0"/>
    <x v="0"/>
    <s v="Light TV"/>
    <s v="Light"/>
    <s v="Light TV"/>
    <s v="Claxson . Contribution"/>
    <s v="INACTIVE"/>
    <s v="YES"/>
    <n v="28945"/>
    <s v="Canal Venus"/>
    <s v="NIVEL 28 (6 E)"/>
    <n v="28"/>
    <s v="Monthly subscription"/>
    <n v="25"/>
    <n v="6"/>
    <n v="0.3"/>
    <n v="0.7"/>
    <m/>
    <m/>
    <s v=""/>
  </r>
  <r>
    <n v="23274"/>
    <m/>
    <n v="581"/>
    <n v="58101"/>
    <n v="58101"/>
    <x v="28"/>
    <x v="23"/>
    <s v="CVAS"/>
    <x v="0"/>
    <x v="0"/>
    <s v="Light TV"/>
    <s v="Light"/>
    <s v="Light TV"/>
    <s v="Claxson . Contribution"/>
    <s v="INACTIVE"/>
    <s v="YES"/>
    <n v="28584"/>
    <s v="Forman TV"/>
    <s v="NIVEL 28 (6 E)"/>
    <n v="28"/>
    <s v="Monthly subscription"/>
    <n v="25"/>
    <n v="6"/>
    <n v="0.3"/>
    <n v="0.7"/>
    <m/>
    <m/>
    <s v=""/>
  </r>
  <r>
    <n v="23383"/>
    <m/>
    <n v="580"/>
    <n v="58001"/>
    <n v="58001"/>
    <x v="29"/>
    <x v="0"/>
    <s v="CVAS"/>
    <x v="0"/>
    <x v="0"/>
    <s v="Light TV"/>
    <s v="Light"/>
    <s v="Light TV"/>
    <s v="Yiam Uno S.L."/>
    <s v="ACTIVE"/>
    <s v="YES"/>
    <n v="29044"/>
    <s v="Fantasy Mansion"/>
    <s v="NIVEL 22 (4 E)"/>
    <n v="22"/>
    <s v="Monthly subscription"/>
    <n v="25"/>
    <n v="4"/>
    <n v="0.3"/>
    <n v="0.7"/>
    <m/>
    <m/>
    <s v=""/>
  </r>
  <r>
    <n v="23386"/>
    <m/>
    <n v="601"/>
    <n v="60101"/>
    <n v="60101"/>
    <x v="29"/>
    <x v="0"/>
    <s v="CVAS"/>
    <x v="0"/>
    <x v="0"/>
    <s v="Light TV"/>
    <s v="Light"/>
    <s v="Light TV"/>
    <s v="Yiam Uno S.L."/>
    <s v="ACTIVE"/>
    <s v="YES"/>
    <n v="29045"/>
    <s v="Wicked TV"/>
    <s v="NIVEL 28 (6 E)"/>
    <n v="28"/>
    <s v="Monthly subscription"/>
    <n v="25"/>
    <n v="6"/>
    <n v="0.3"/>
    <n v="0.7"/>
    <m/>
    <m/>
    <s v=""/>
  </r>
  <r>
    <n v="23832"/>
    <m/>
    <n v="246"/>
    <n v="24602"/>
    <n v="24602"/>
    <x v="26"/>
    <x v="0"/>
    <s v="CVAS"/>
    <x v="0"/>
    <x v="0"/>
    <s v="Light Hard"/>
    <s v="Light"/>
    <s v="Light Hard"/>
    <s v="PSM"/>
    <s v="ACTIVE"/>
    <s v="YES"/>
    <n v="29453"/>
    <s v="Divinas mamás"/>
    <s v="NIVEL 11 (3 E)"/>
    <n v="11"/>
    <s v="PPD"/>
    <n v="1"/>
    <n v="3"/>
    <n v="0.3"/>
    <n v="0.7"/>
    <m/>
    <m/>
    <s v=""/>
  </r>
  <r>
    <n v="23837"/>
    <m/>
    <n v="245"/>
    <n v="24502"/>
    <n v="24502"/>
    <x v="26"/>
    <x v="0"/>
    <s v="CVAS"/>
    <x v="0"/>
    <x v="0"/>
    <s v="Light Hard"/>
    <s v="Light"/>
    <s v="Light Hard"/>
    <s v="PSM"/>
    <s v="ACTIVE"/>
    <s v="YES"/>
    <n v="29455"/>
    <s v="Corridas"/>
    <s v="NIVEL 11 (3 E)"/>
    <n v="11"/>
    <s v="PPD"/>
    <n v="1"/>
    <n v="3"/>
    <n v="0.3"/>
    <n v="0.7"/>
    <m/>
    <m/>
    <s v=""/>
  </r>
  <r>
    <n v="23841"/>
    <m/>
    <n v="344"/>
    <n v="34402"/>
    <n v="34402"/>
    <x v="26"/>
    <x v="0"/>
    <s v="CVAS"/>
    <x v="0"/>
    <x v="0"/>
    <s v="Light Hard"/>
    <s v="Light"/>
    <s v="Light Hard"/>
    <s v="PSM"/>
    <s v="ACTIVE"/>
    <s v="YES"/>
    <n v="29457"/>
    <s v="Hardcore"/>
    <s v="NIVEL 11 (3 E)"/>
    <n v="11"/>
    <s v="PPD"/>
    <n v="1"/>
    <n v="3"/>
    <n v="0.3"/>
    <n v="0.7"/>
    <m/>
    <m/>
    <s v=""/>
  </r>
  <r>
    <n v="23845"/>
    <m/>
    <n v="249"/>
    <n v="24902"/>
    <n v="24902"/>
    <x v="26"/>
    <x v="0"/>
    <s v="CVAS"/>
    <x v="0"/>
    <x v="0"/>
    <s v="Light Hard"/>
    <s v="Light"/>
    <s v="Light Hard"/>
    <s v="PSM"/>
    <s v="ACTIVE"/>
    <s v="YES"/>
    <n v="29459"/>
    <s v="Hentai"/>
    <s v="NIVEL 11 (3 E)"/>
    <n v="11"/>
    <s v="PPD"/>
    <n v="1"/>
    <n v="3"/>
    <n v="0.3"/>
    <n v="0.7"/>
    <m/>
    <m/>
    <s v=""/>
  </r>
  <r>
    <n v="23849"/>
    <m/>
    <n v="250"/>
    <n v="25002"/>
    <n v="25002"/>
    <x v="26"/>
    <x v="0"/>
    <s v="CVAS"/>
    <x v="0"/>
    <x v="0"/>
    <s v="Light Hard"/>
    <s v="Light"/>
    <s v="Light Hard"/>
    <s v="PSM"/>
    <s v="ACTIVE"/>
    <s v="YES"/>
    <n v="29461"/>
    <s v="Lesbianas"/>
    <s v="NIVEL 11 (3 E)"/>
    <n v="11"/>
    <s v="PPD"/>
    <n v="1"/>
    <n v="3"/>
    <n v="0.3"/>
    <n v="0.7"/>
    <m/>
    <m/>
    <s v=""/>
  </r>
  <r>
    <n v="23853"/>
    <m/>
    <n v="244"/>
    <n v="24402"/>
    <n v="24402"/>
    <x v="26"/>
    <x v="0"/>
    <s v="CVAS"/>
    <x v="0"/>
    <x v="0"/>
    <s v="Light Hard"/>
    <s v="Light"/>
    <s v="Light Hard"/>
    <s v="PSM"/>
    <s v="ACTIVE"/>
    <s v="YES"/>
    <n v="29463"/>
    <s v="Cochinas Latinas"/>
    <s v="NIVEL 11 (3 E)"/>
    <n v="11"/>
    <s v="PPD"/>
    <n v="1"/>
    <n v="3"/>
    <n v="0.3"/>
    <n v="0.7"/>
    <m/>
    <m/>
    <s v=""/>
  </r>
  <r>
    <n v="23923"/>
    <m/>
    <n v="271"/>
    <n v="27102"/>
    <n v="27102"/>
    <x v="30"/>
    <x v="0"/>
    <s v="CVAS"/>
    <x v="0"/>
    <x v="0"/>
    <s v="Light Hard"/>
    <s v="Light"/>
    <s v="Light Hard"/>
    <s v="Mobiground"/>
    <s v="ACTIVE"/>
    <s v="YES"/>
    <n v="29499"/>
    <s v="Casadas"/>
    <s v="NIVEL 9 (2 Euros)"/>
    <n v="9"/>
    <s v="PPD"/>
    <n v="1"/>
    <n v="2"/>
    <n v="0.3"/>
    <n v="0.7"/>
    <m/>
    <m/>
    <s v=""/>
  </r>
  <r>
    <n v="23925"/>
    <m/>
    <n v="271"/>
    <n v="27103"/>
    <n v="27103"/>
    <x v="26"/>
    <x v="0"/>
    <s v="CVAS"/>
    <x v="0"/>
    <x v="0"/>
    <s v="Light Hard"/>
    <s v="Light"/>
    <s v=""/>
    <s v="Mobiground"/>
    <s v="ACTIVE"/>
    <s v="YES"/>
    <n v="29500"/>
    <s v="Casadas"/>
    <s v="NIVEL 11 (3 E)"/>
    <n v="11"/>
    <s v="PPD"/>
    <n v="1"/>
    <n v="3"/>
    <n v="0.3"/>
    <n v="0.7"/>
    <m/>
    <m/>
    <s v=""/>
  </r>
  <r>
    <n v="23927"/>
    <m/>
    <n v="275"/>
    <n v="27502"/>
    <n v="27502"/>
    <x v="31"/>
    <x v="0"/>
    <s v="CVAS"/>
    <x v="0"/>
    <x v="0"/>
    <s v="Light Hard"/>
    <s v="Light"/>
    <s v="Light Hard"/>
    <s v="Mobiground"/>
    <s v="ACTIVE"/>
    <s v="YES"/>
    <n v="29501"/>
    <s v="Jovencitas"/>
    <s v="NIVEL 9 (2 Euros)"/>
    <n v="9"/>
    <s v="PPD"/>
    <n v="1"/>
    <n v="2"/>
    <n v="0.3"/>
    <n v="0.7"/>
    <m/>
    <m/>
    <s v=""/>
  </r>
  <r>
    <n v="23929"/>
    <m/>
    <n v="275"/>
    <n v="27503"/>
    <n v="27503"/>
    <x v="26"/>
    <x v="0"/>
    <s v="CVAS"/>
    <x v="0"/>
    <x v="0"/>
    <s v="Light Hard"/>
    <s v="Light"/>
    <s v="Light Hard"/>
    <s v="Mobiground"/>
    <s v="ACTIVE"/>
    <s v="YES"/>
    <n v="29502"/>
    <s v="Jovencitas"/>
    <s v="NIVEL 11 (3 E)"/>
    <n v="11"/>
    <s v="PPD"/>
    <n v="1"/>
    <n v="3"/>
    <n v="0.3"/>
    <n v="0.7"/>
    <m/>
    <m/>
    <s v=""/>
  </r>
  <r>
    <n v="23931"/>
    <m/>
    <n v="279"/>
    <n v="27903"/>
    <n v="27903"/>
    <x v="32"/>
    <x v="0"/>
    <s v="CVAS"/>
    <x v="0"/>
    <x v="0"/>
    <s v="Light Hard"/>
    <s v="Light"/>
    <s v="Light Hard"/>
    <s v="Mobiground"/>
    <s v="ACTIVE"/>
    <s v="YES"/>
    <n v="29503"/>
    <s v="Mamadas"/>
    <s v="NIVEL 9 (2 Euros)"/>
    <n v="9"/>
    <s v="PPD"/>
    <n v="1"/>
    <n v="2"/>
    <n v="0.4"/>
    <n v="0.6"/>
    <m/>
    <m/>
    <s v=""/>
  </r>
  <r>
    <n v="23933"/>
    <m/>
    <n v="279"/>
    <n v="27902"/>
    <n v="27902"/>
    <x v="26"/>
    <x v="0"/>
    <s v="CVAS"/>
    <x v="0"/>
    <x v="0"/>
    <s v="Light Hard"/>
    <s v="Light"/>
    <s v="Light Hard"/>
    <s v="Mobiground"/>
    <s v="ACTIVE"/>
    <s v="YES"/>
    <n v="29504"/>
    <s v="Mamadas"/>
    <s v="NIVEL 11 (3 E)"/>
    <n v="11"/>
    <s v="PPD"/>
    <n v="1"/>
    <n v="3"/>
    <n v="0.3"/>
    <n v="0.7"/>
    <m/>
    <m/>
    <s v=""/>
  </r>
  <r>
    <n v="23935"/>
    <m/>
    <n v="274"/>
    <n v="27403"/>
    <n v="27403"/>
    <x v="33"/>
    <x v="0"/>
    <s v="CVAS"/>
    <x v="0"/>
    <x v="0"/>
    <s v="Light Hard"/>
    <s v="Light"/>
    <s v="Light Hard"/>
    <s v="Mobiground"/>
    <s v="ACTIVE"/>
    <s v="YES"/>
    <n v="29505"/>
    <s v="Ibericas"/>
    <s v="NIVEL 9 (2 Euros)"/>
    <n v="9"/>
    <s v="PPD"/>
    <n v="1"/>
    <n v="2"/>
    <n v="0.3"/>
    <n v="0.7"/>
    <m/>
    <m/>
    <s v=""/>
  </r>
  <r>
    <n v="23937"/>
    <m/>
    <n v="274"/>
    <n v="27402"/>
    <n v="27402"/>
    <x v="26"/>
    <x v="0"/>
    <s v="CVAS"/>
    <x v="0"/>
    <x v="0"/>
    <s v="Light Hard"/>
    <s v="Light"/>
    <s v="Light Hard"/>
    <s v="Mobiground"/>
    <s v="ACTIVE"/>
    <s v="YES"/>
    <n v="29506"/>
    <s v="Putas"/>
    <s v="NIVEL 11 (3 E)"/>
    <n v="11"/>
    <s v="PPD"/>
    <n v="1"/>
    <n v="3"/>
    <n v="0.3"/>
    <n v="0.7"/>
    <m/>
    <m/>
    <s v=""/>
  </r>
  <r>
    <n v="23939"/>
    <m/>
    <n v="272"/>
    <n v="27202"/>
    <n v="27202"/>
    <x v="34"/>
    <x v="0"/>
    <s v="CVAS"/>
    <x v="0"/>
    <x v="0"/>
    <s v="Light Hard"/>
    <s v="Light"/>
    <s v="Light Hard"/>
    <s v="Mobiground"/>
    <s v="ACTIVE"/>
    <s v="YES"/>
    <n v="29507"/>
    <s v="Sexo en publico"/>
    <s v="NIVEL 9 (2 Euros)"/>
    <n v="9"/>
    <s v="PPD"/>
    <n v="1"/>
    <n v="2"/>
    <n v="0.3"/>
    <n v="0.7"/>
    <m/>
    <m/>
    <s v=""/>
  </r>
  <r>
    <n v="23941"/>
    <m/>
    <n v="272"/>
    <n v="27203"/>
    <n v="27203"/>
    <x v="26"/>
    <x v="0"/>
    <s v="CVAS"/>
    <x v="0"/>
    <x v="0"/>
    <s v="Light Hard"/>
    <s v="Light"/>
    <s v="Light Hard"/>
    <s v="Mobiground"/>
    <s v="ACTIVE"/>
    <s v="YES"/>
    <n v="29508"/>
    <s v="Follamigos"/>
    <s v="NIVEL 11 (3 E)"/>
    <n v="11"/>
    <s v="PPD"/>
    <n v="1"/>
    <n v="3"/>
    <n v="0.3"/>
    <n v="0.7"/>
    <m/>
    <m/>
    <s v=""/>
  </r>
  <r>
    <n v="24096"/>
    <m/>
    <n v="231"/>
    <n v="89"/>
    <n v="89"/>
    <x v="29"/>
    <x v="0"/>
    <s v="CVAS"/>
    <x v="0"/>
    <x v="0"/>
    <s v="Light Soft"/>
    <s v="Light"/>
    <s v="Light Soft"/>
    <s v="Buongiorno"/>
    <s v="ACTIVE"/>
    <s v="YES"/>
    <n v="29687"/>
    <s v="MoviSexy"/>
    <s v="NIVEL 12 (5 E)"/>
    <n v="12"/>
    <s v="Monthly subscription"/>
    <n v="25"/>
    <n v="5"/>
    <n v="0.3"/>
    <n v="0.7"/>
    <m/>
    <m/>
    <s v=""/>
  </r>
  <r>
    <n v="24300"/>
    <m/>
    <n v="583"/>
    <n v="58301"/>
    <n v="58301"/>
    <x v="35"/>
    <x v="24"/>
    <s v="CVAS"/>
    <x v="0"/>
    <x v="0"/>
    <s v="Light TV"/>
    <s v="Light"/>
    <s v="Light TV"/>
    <s v="PROVEEDOR _x000a_PAQUETES"/>
    <s v="ACTIVE"/>
    <s v="YES"/>
    <n v="29810"/>
    <s v="Paquete TV Adultos"/>
    <s v="NIVEL 38 (20 Euros)"/>
    <n v="38"/>
    <s v="Monthly subscription"/>
    <n v="484"/>
    <n v="20"/>
    <n v="0.3"/>
    <n v="0.7"/>
    <m/>
    <m/>
    <s v=""/>
  </r>
  <r>
    <n v="24981"/>
    <m/>
    <n v="273"/>
    <n v="27303"/>
    <n v="27303"/>
    <x v="26"/>
    <x v="0"/>
    <s v="CVAS"/>
    <x v="0"/>
    <x v="0"/>
    <s v="Light Hard"/>
    <s v="Light"/>
    <s v="Light Hard"/>
    <s v="Mobiground"/>
    <s v="ACTIVE"/>
    <s v="YES"/>
    <n v="30412"/>
    <s v="Gay"/>
    <s v="NIVEL 9 (2 E)"/>
    <n v="9"/>
    <s v="PPD"/>
    <n v="1"/>
    <n v="2"/>
    <n v="0.3"/>
    <n v="0.7"/>
    <m/>
    <m/>
    <s v=""/>
  </r>
  <r>
    <n v="24983"/>
    <m/>
    <n v="273"/>
    <n v="27302"/>
    <n v="27302"/>
    <x v="26"/>
    <x v="0"/>
    <s v="CVAS"/>
    <x v="0"/>
    <x v="0"/>
    <s v="Light Hard"/>
    <s v="Light"/>
    <s v="Light Hard"/>
    <s v="Mobiground"/>
    <s v="ACTIVE"/>
    <s v="YES"/>
    <n v="30413"/>
    <s v="Gay"/>
    <s v="NIVEL 11 (3 E)"/>
    <n v="11"/>
    <s v="PPD"/>
    <n v="1"/>
    <n v="3"/>
    <n v="0.3"/>
    <n v="0.7"/>
    <m/>
    <m/>
    <s v=""/>
  </r>
  <r>
    <n v="24985"/>
    <m/>
    <n v="278"/>
    <n v="27803"/>
    <n v="27803"/>
    <x v="26"/>
    <x v="0"/>
    <s v="CVAS"/>
    <x v="0"/>
    <x v="0"/>
    <s v="Light Hard"/>
    <s v="Light"/>
    <s v="Light Hard"/>
    <s v="Mobiground"/>
    <s v="ACTIVE"/>
    <s v="YES"/>
    <n v="30414"/>
    <s v="Maduras"/>
    <s v="NIVEL 9 (2 E)"/>
    <n v="9"/>
    <s v="PPD"/>
    <n v="1"/>
    <n v="2"/>
    <n v="0.3"/>
    <n v="0.7"/>
    <m/>
    <m/>
    <s v=""/>
  </r>
  <r>
    <n v="24987"/>
    <m/>
    <n v="278"/>
    <n v="27802"/>
    <n v="27802"/>
    <x v="26"/>
    <x v="0"/>
    <s v="CVAS"/>
    <x v="0"/>
    <x v="0"/>
    <s v="Light Hard"/>
    <s v="Light"/>
    <s v="Light Hard"/>
    <s v="Mobiground"/>
    <s v="ACTIVE"/>
    <s v="YES"/>
    <n v="30415"/>
    <s v="Maduras"/>
    <s v="NIVEL 11 (3 E)"/>
    <n v="11"/>
    <s v="PPD"/>
    <n v="1"/>
    <n v="3"/>
    <n v="0.3"/>
    <n v="0.7"/>
    <m/>
    <m/>
    <s v=""/>
  </r>
  <r>
    <n v="25069"/>
    <m/>
    <n v="346"/>
    <n v="34602"/>
    <n v="34602"/>
    <x v="26"/>
    <x v="0"/>
    <s v="CVAS"/>
    <x v="0"/>
    <x v="0"/>
    <s v="Light Hard"/>
    <s v="Light"/>
    <s v="Light Hard"/>
    <s v="PSM"/>
    <s v="ACTIVE"/>
    <s v="YES"/>
    <n v="30455"/>
    <s v="Abuelos Cachondos"/>
    <s v="NIVEL 11 (3 E)"/>
    <n v="11"/>
    <s v="PPD"/>
    <n v="1"/>
    <n v="3"/>
    <n v="0.3"/>
    <n v="0.7"/>
    <m/>
    <m/>
    <s v=""/>
  </r>
  <r>
    <n v="25126"/>
    <m/>
    <n v="454"/>
    <n v="45402"/>
    <n v="45402"/>
    <x v="26"/>
    <x v="0"/>
    <s v="CVAS"/>
    <x v="0"/>
    <x v="0"/>
    <s v="Light Soft"/>
    <s v="Light"/>
    <s v="Light Soft"/>
    <s v="Yiam Uno S.L."/>
    <s v="ACTIVE"/>
    <s v="YES"/>
    <n v="30486"/>
    <s v="Webcams"/>
    <s v="NIVEL 8 (1.5)"/>
    <n v="8"/>
    <s v="PPD"/>
    <n v="1"/>
    <n v="1.5"/>
    <n v="0.3"/>
    <n v="0.7"/>
    <m/>
    <m/>
    <s v=""/>
  </r>
  <r>
    <n v="25130"/>
    <m/>
    <n v="455"/>
    <n v="45502"/>
    <n v="45502"/>
    <x v="26"/>
    <x v="0"/>
    <s v="CVAS"/>
    <x v="0"/>
    <x v="0"/>
    <s v="Light Soft"/>
    <s v="Light"/>
    <s v="Light Soft"/>
    <s v="Yiam Uno S.L."/>
    <s v="ACTIVE"/>
    <s v="YES"/>
    <n v="30488"/>
    <s v="Oriental"/>
    <s v="NIVEL 8 (1.5)"/>
    <n v="8"/>
    <s v="PPD"/>
    <n v="1"/>
    <n v="1.5"/>
    <n v="0.3"/>
    <n v="0.7"/>
    <m/>
    <m/>
    <s v=""/>
  </r>
  <r>
    <n v="25134"/>
    <m/>
    <n v="453"/>
    <n v="45302"/>
    <n v="45302"/>
    <x v="26"/>
    <x v="0"/>
    <s v="CVAS"/>
    <x v="0"/>
    <x v="0"/>
    <s v="Light Soft"/>
    <s v="Light"/>
    <s v="Light Soft"/>
    <s v="Yiam Uno S.L."/>
    <s v="ACTIVE"/>
    <s v="YES"/>
    <n v="30490"/>
    <s v="Culazos"/>
    <s v="NIVEL 8 (1.5)"/>
    <n v="8"/>
    <s v="PPD"/>
    <n v="1"/>
    <n v="1.5"/>
    <n v="0.3"/>
    <n v="0.7"/>
    <m/>
    <m/>
    <s v=""/>
  </r>
  <r>
    <n v="25138"/>
    <m/>
    <n v="452"/>
    <n v="45202"/>
    <n v="45202"/>
    <x v="26"/>
    <x v="0"/>
    <s v="CVAS"/>
    <x v="0"/>
    <x v="0"/>
    <s v="Light Soft"/>
    <s v="Light"/>
    <s v="Light Soft"/>
    <s v="Yiam Uno S.L."/>
    <s v="ACTIVE"/>
    <s v="YES"/>
    <n v="30492"/>
    <s v="Chicas humedas"/>
    <s v="NIVEL 8 (1.5)"/>
    <n v="8"/>
    <s v="PPD"/>
    <n v="1"/>
    <n v="1.5"/>
    <n v="0.3"/>
    <n v="0.7"/>
    <m/>
    <m/>
    <s v=""/>
  </r>
  <r>
    <n v="25142"/>
    <m/>
    <n v="456"/>
    <n v="45602"/>
    <n v="45602"/>
    <x v="26"/>
    <x v="0"/>
    <s v="CVAS"/>
    <x v="0"/>
    <x v="0"/>
    <s v="Light Soft"/>
    <s v="Light"/>
    <s v="Light Soft"/>
    <s v="Yiam Uno S.L."/>
    <s v="ACTIVE"/>
    <s v="YES"/>
    <n v="30494"/>
    <s v="Jovencitas"/>
    <s v="NIVEL 8 (1.5)"/>
    <n v="8"/>
    <s v="PPD"/>
    <n v="1"/>
    <n v="1.5"/>
    <n v="0.3"/>
    <n v="0.7"/>
    <m/>
    <m/>
    <s v=""/>
  </r>
  <r>
    <n v="25146"/>
    <m/>
    <n v="451"/>
    <n v="45101"/>
    <n v="45101"/>
    <x v="26"/>
    <x v="0"/>
    <s v="CVAS"/>
    <x v="0"/>
    <x v="0"/>
    <s v="Light Soft"/>
    <s v="Light"/>
    <s v="Light Soft"/>
    <s v="Yiam Uno S.L."/>
    <s v="ACTIVE"/>
    <s v="YES"/>
    <n v="30496"/>
    <s v="Porn Stars"/>
    <s v="NIVEL 8 (1.5)"/>
    <n v="8"/>
    <s v="PPD"/>
    <n v="1"/>
    <n v="1.5"/>
    <n v="0.3"/>
    <n v="0.7"/>
    <m/>
    <m/>
    <s v=""/>
  </r>
  <r>
    <n v="25150"/>
    <m/>
    <n v="457"/>
    <n v="45702"/>
    <n v="45702"/>
    <x v="26"/>
    <x v="0"/>
    <s v="CVAS"/>
    <x v="0"/>
    <x v="0"/>
    <s v="Light Soft"/>
    <s v="Light"/>
    <s v="Light Soft"/>
    <s v="Yiam Uno S.L."/>
    <s v="ACTIVE"/>
    <s v="YES"/>
    <n v="30498"/>
    <s v="Stripers"/>
    <s v="NIVEL 8 (1.5)"/>
    <n v="8"/>
    <s v="PPD"/>
    <n v="1"/>
    <n v="1.5"/>
    <n v="0.3"/>
    <n v="0.7"/>
    <m/>
    <m/>
    <s v=""/>
  </r>
  <r>
    <n v="25162"/>
    <m/>
    <n v="276"/>
    <n v="27601"/>
    <n v="27601"/>
    <x v="26"/>
    <x v="0"/>
    <s v="CVAS"/>
    <x v="0"/>
    <x v="0"/>
    <s v="Light Soft"/>
    <s v="Light"/>
    <s v="Light Soft"/>
    <s v="Mobiground"/>
    <s v="ACTIVE"/>
    <s v="YES"/>
    <n v="30504"/>
    <s v="Chicas Malas"/>
    <s v="NIVEL 8 (1.5)"/>
    <n v="8"/>
    <s v="PPD"/>
    <n v="1"/>
    <n v="1.5"/>
    <n v="0.3"/>
    <n v="0.7"/>
    <m/>
    <m/>
    <s v=""/>
  </r>
  <r>
    <n v="25172"/>
    <m/>
    <n v="277"/>
    <n v="27701"/>
    <n v="27701"/>
    <x v="26"/>
    <x v="0"/>
    <s v="CVAS"/>
    <x v="0"/>
    <x v="0"/>
    <s v="Light Soft"/>
    <s v="Light"/>
    <s v="Light Soft"/>
    <s v="Mobiground"/>
    <s v="ACTIVE"/>
    <s v="YES"/>
    <n v="30509"/>
    <s v="Macizos"/>
    <s v="NIVEL 8 (1.5)"/>
    <n v="8"/>
    <s v="PPD"/>
    <n v="1"/>
    <n v="1.5"/>
    <n v="0.3"/>
    <n v="0.7"/>
    <m/>
    <m/>
    <s v=""/>
  </r>
  <r>
    <n v="25376"/>
    <m/>
    <n v="587"/>
    <n v="58701"/>
    <n v="58701"/>
    <x v="29"/>
    <x v="0"/>
    <s v="CVAS"/>
    <x v="0"/>
    <x v="0"/>
    <s v="Light TV"/>
    <s v="Light"/>
    <s v="Light TV"/>
    <s v="Private"/>
    <s v="INACTIVE"/>
    <s v="YES"/>
    <n v="30710"/>
    <s v=" Private XXX"/>
    <s v="NIVEL 28 (6 E)"/>
    <n v="28"/>
    <s v="Monthly subscription"/>
    <n v="25"/>
    <n v="6"/>
    <n v="0.3"/>
    <n v="0.7"/>
    <m/>
    <m/>
    <s v=""/>
  </r>
  <r>
    <n v="25398"/>
    <m/>
    <n v="510"/>
    <n v="51001"/>
    <n v="51001"/>
    <x v="26"/>
    <x v="0"/>
    <s v="CVAS"/>
    <x v="0"/>
    <x v="0"/>
    <s v="Light Soft"/>
    <s v="Light"/>
    <s v="Light Soft"/>
    <s v="Yiam Uno S.L."/>
    <s v="ACTIVE"/>
    <s v="YES"/>
    <n v="30718"/>
    <s v="Wicked"/>
    <s v="NIVEL 10 (2.5)"/>
    <n v="10"/>
    <s v="PPD"/>
    <n v="1"/>
    <n v="2.5"/>
    <n v="0.3"/>
    <n v="0.7"/>
    <m/>
    <m/>
    <s v=""/>
  </r>
  <r>
    <n v="25399"/>
    <m/>
    <n v="277"/>
    <n v="27702"/>
    <n v="27702"/>
    <x v="26"/>
    <x v="0"/>
    <s v="CVAS"/>
    <x v="0"/>
    <x v="0"/>
    <s v="Light Soft"/>
    <s v="Light"/>
    <s v="Light Soft"/>
    <s v="Mobiground"/>
    <s v="ACTIVE"/>
    <s v="YES"/>
    <n v="30511"/>
    <s v="Macizos"/>
    <s v="NIVEL 10 (2.5)"/>
    <n v="10"/>
    <s v="PPD"/>
    <n v="1"/>
    <n v="2.5"/>
    <n v="0.3"/>
    <n v="0.7"/>
    <m/>
    <m/>
    <s v=""/>
  </r>
  <r>
    <n v="25401"/>
    <m/>
    <n v="276"/>
    <n v="27602"/>
    <n v="27602"/>
    <x v="26"/>
    <x v="0"/>
    <s v="CVAS"/>
    <x v="0"/>
    <x v="0"/>
    <s v="Light Soft"/>
    <s v="Light"/>
    <s v="Light Soft"/>
    <s v="Mobiground"/>
    <s v="ACTIVE"/>
    <s v="YES"/>
    <n v="30505"/>
    <s v="Latinas"/>
    <s v="NIVEL 10 (2.5)"/>
    <n v="10"/>
    <s v="PPD"/>
    <n v="1"/>
    <n v="2.5"/>
    <n v="0.3"/>
    <n v="0.7"/>
    <m/>
    <m/>
    <s v=""/>
  </r>
  <r>
    <n v="25404"/>
    <m/>
    <n v="457"/>
    <n v="45701"/>
    <n v="45701"/>
    <x v="26"/>
    <x v="0"/>
    <s v="CVAS"/>
    <x v="0"/>
    <x v="0"/>
    <s v="Light Soft"/>
    <s v="Light"/>
    <s v="Light Soft"/>
    <s v="Yiam Uno S.L."/>
    <s v="ACTIVE"/>
    <s v="YES"/>
    <n v="30499"/>
    <s v="Stripers"/>
    <s v="NIVEL 10 (2.5)"/>
    <n v="10"/>
    <s v="PPD"/>
    <n v="1"/>
    <n v="2.5"/>
    <n v="0.3"/>
    <n v="0.7"/>
    <m/>
    <m/>
    <s v=""/>
  </r>
  <r>
    <n v="25405"/>
    <m/>
    <n v="451"/>
    <n v="45102"/>
    <n v="45102"/>
    <x v="26"/>
    <x v="0"/>
    <s v="CVAS"/>
    <x v="0"/>
    <x v="0"/>
    <s v="Light Soft"/>
    <s v="Light"/>
    <s v="Light Soft"/>
    <s v="Yiam Uno S.L."/>
    <s v="ACTIVE"/>
    <s v="YES"/>
    <n v="30497"/>
    <s v="Porn Stars"/>
    <s v="NIVEL 10 (2.5)"/>
    <n v="10"/>
    <s v="PPD"/>
    <n v="1"/>
    <n v="2.5"/>
    <n v="0.3"/>
    <n v="0.7"/>
    <m/>
    <m/>
    <s v=""/>
  </r>
  <r>
    <n v="25407"/>
    <m/>
    <n v="452"/>
    <n v="45201"/>
    <n v="45201"/>
    <x v="26"/>
    <x v="0"/>
    <s v="CVAS"/>
    <x v="0"/>
    <x v="0"/>
    <s v="Light Soft"/>
    <s v="Light"/>
    <s v="Light Soft"/>
    <s v="Yiam Uno S.L."/>
    <s v="ACTIVE"/>
    <s v="YES"/>
    <n v="30493"/>
    <s v="Chicas humedas"/>
    <s v="NIVEL 10 (2.5)"/>
    <n v="10"/>
    <s v="PPD"/>
    <n v="1"/>
    <n v="2.5"/>
    <n v="0.3"/>
    <n v="0.7"/>
    <m/>
    <m/>
    <s v=""/>
  </r>
  <r>
    <n v="25408"/>
    <m/>
    <n v="453"/>
    <n v="45301"/>
    <n v="45301"/>
    <x v="26"/>
    <x v="0"/>
    <s v="CVAS"/>
    <x v="0"/>
    <x v="0"/>
    <s v="Light Soft"/>
    <s v="Light"/>
    <s v="Light Soft"/>
    <s v="Yiam Uno S.L."/>
    <s v="ACTIVE"/>
    <s v="YES"/>
    <n v="30491"/>
    <s v="Culazos"/>
    <s v="NIVEL 10 (2.5)"/>
    <n v="10"/>
    <s v="PPD"/>
    <n v="1"/>
    <n v="2.5"/>
    <n v="0.3"/>
    <n v="0.7"/>
    <m/>
    <m/>
    <s v=""/>
  </r>
  <r>
    <n v="25409"/>
    <m/>
    <n v="455"/>
    <n v="45501"/>
    <n v="45501"/>
    <x v="26"/>
    <x v="0"/>
    <s v="CVAS"/>
    <x v="0"/>
    <x v="0"/>
    <s v="Light Soft"/>
    <s v="Light"/>
    <s v="Light Soft"/>
    <s v="Yiam Uno S.L."/>
    <s v="ACTIVE"/>
    <s v="YES"/>
    <n v="30489"/>
    <s v="Oriental"/>
    <s v="NIVEL 10 (2.5)"/>
    <n v="10"/>
    <s v="PPD"/>
    <n v="1"/>
    <n v="2.5"/>
    <n v="0.3"/>
    <n v="0.7"/>
    <m/>
    <m/>
    <s v=""/>
  </r>
  <r>
    <n v="25410"/>
    <m/>
    <n v="454"/>
    <n v="45401"/>
    <n v="45401"/>
    <x v="26"/>
    <x v="0"/>
    <s v="CVAS"/>
    <x v="0"/>
    <x v="0"/>
    <s v="Light Soft"/>
    <s v="Light"/>
    <s v="Light Soft"/>
    <s v="Yiam Uno S.L."/>
    <s v="ACTIVE"/>
    <s v="YES"/>
    <n v="30487"/>
    <s v="webcams"/>
    <s v="NIVEL 10 (2.5)"/>
    <n v="10"/>
    <s v="PPD"/>
    <n v="1"/>
    <n v="2.5"/>
    <n v="0.3"/>
    <n v="0.7"/>
    <m/>
    <m/>
    <s v=""/>
  </r>
  <r>
    <n v="25414"/>
    <m/>
    <n v="309"/>
    <n v="30902"/>
    <n v="30902"/>
    <x v="26"/>
    <x v="0"/>
    <s v="CVAS"/>
    <x v="0"/>
    <x v="0"/>
    <s v="Light Soft"/>
    <s v="Light"/>
    <s v="Light Soft"/>
    <s v="PSM"/>
    <s v="ACTIVE"/>
    <s v="YES"/>
    <n v="30719"/>
    <s v="Tattoo"/>
    <s v="NIVEL 8 (1.5)"/>
    <n v="8"/>
    <s v="PPD"/>
    <n v="1"/>
    <n v="1.5"/>
    <n v="0.3"/>
    <n v="0.7"/>
    <m/>
    <m/>
    <s v=""/>
  </r>
  <r>
    <n v="25415"/>
    <m/>
    <n v="309"/>
    <n v="30901"/>
    <n v="30901"/>
    <x v="26"/>
    <x v="0"/>
    <s v="CVAS"/>
    <x v="0"/>
    <x v="0"/>
    <s v="Light Soft"/>
    <s v="Light"/>
    <s v="Light Soft"/>
    <s v="PSM"/>
    <s v="ACTIVE"/>
    <s v="YES"/>
    <n v="30720"/>
    <s v="Tattoo"/>
    <s v="NIVEL 10 (2.5)"/>
    <n v="10"/>
    <s v="PPD"/>
    <n v="1"/>
    <n v="2.5"/>
    <n v="0.3"/>
    <n v="0.7"/>
    <m/>
    <m/>
    <s v=""/>
  </r>
  <r>
    <n v="25417"/>
    <m/>
    <n v="304"/>
    <n v="30401"/>
    <n v="30401"/>
    <x v="26"/>
    <x v="0"/>
    <s v="CVAS"/>
    <x v="0"/>
    <x v="0"/>
    <s v="Light Soft"/>
    <s v="Light"/>
    <s v="Light Soft"/>
    <s v="PSM"/>
    <s v="ACTIVE"/>
    <s v="YES"/>
    <n v="30721"/>
    <s v="Lencería"/>
    <s v="NIVEL 10 (2.5)"/>
    <n v="10"/>
    <s v="PPD"/>
    <n v="1"/>
    <n v="2.5"/>
    <n v="0.3"/>
    <n v="0.7"/>
    <m/>
    <m/>
    <s v=""/>
  </r>
  <r>
    <n v="25419"/>
    <m/>
    <n v="304"/>
    <n v="30402"/>
    <n v="30402"/>
    <x v="26"/>
    <x v="0"/>
    <s v="CVAS"/>
    <x v="0"/>
    <x v="0"/>
    <s v="Light Soft"/>
    <s v="Light"/>
    <s v="Light Soft"/>
    <s v="PSM"/>
    <s v="ACTIVE"/>
    <s v="YES"/>
    <n v="30722"/>
    <s v="Lencería"/>
    <s v="NIVEL 8 (1.5)"/>
    <n v="8"/>
    <s v="PPD"/>
    <n v="1"/>
    <n v="1.5"/>
    <n v="0.3"/>
    <n v="0.7"/>
    <m/>
    <m/>
    <s v=""/>
  </r>
  <r>
    <n v="25422"/>
    <m/>
    <n v="254"/>
    <n v="25402"/>
    <n v="25402"/>
    <x v="36"/>
    <x v="25"/>
    <s v="CVAS"/>
    <x v="4"/>
    <x v="4"/>
    <s v=""/>
    <s v="Music"/>
    <s v=""/>
    <s v="Genexies"/>
    <s v="ACTIVE"/>
    <s v="YES"/>
    <n v="30723"/>
    <s v="MOVIREAL-20-UNIVE"/>
    <s v="NIVEL 56 (1.99 Euros)"/>
    <n v="56"/>
    <s v="PPD"/>
    <n v="1"/>
    <n v="1.99"/>
    <n v="0.26910000000000001"/>
    <n v="0.24909999999999999"/>
    <n v="0.3518"/>
    <n v="0.13"/>
    <s v="UNIVERSAL"/>
  </r>
  <r>
    <n v="25424"/>
    <m/>
    <n v="254"/>
    <n v="25403"/>
    <n v="25403"/>
    <x v="37"/>
    <x v="26"/>
    <s v="CVAS"/>
    <x v="4"/>
    <x v="4"/>
    <s v=""/>
    <s v="Music"/>
    <s v=""/>
    <s v="Genexies"/>
    <s v="ACTIVE"/>
    <s v="YES"/>
    <n v="30724"/>
    <s v="MOVIREAL-20-SONY"/>
    <s v="NIVEL 56 (1.99 Euros)"/>
    <n v="56"/>
    <s v="PPD"/>
    <n v="1"/>
    <n v="1.99"/>
    <n v="0.24399999999999999"/>
    <n v="0.22399999999999998"/>
    <n v="0.40200000000000002"/>
    <n v="0.13"/>
    <s v="SONY"/>
  </r>
  <r>
    <n v="25428"/>
    <m/>
    <n v="254"/>
    <n v="25404"/>
    <n v="25404"/>
    <x v="38"/>
    <x v="27"/>
    <s v="CVAS"/>
    <x v="4"/>
    <x v="4"/>
    <s v=""/>
    <s v="Music"/>
    <s v=""/>
    <s v="Genexies"/>
    <s v="ACTIVE"/>
    <s v="YES"/>
    <n v="30726"/>
    <s v="MOVIREAL-20-WARNE"/>
    <s v="NIVEL 56 (1.99 Euros)"/>
    <n v="56"/>
    <s v="PPD"/>
    <n v="1"/>
    <n v="1.99"/>
    <n v="0.25659999999999999"/>
    <n v="0.2366"/>
    <n v="0.37689999999999996"/>
    <n v="0.13"/>
    <s v="WARNER"/>
  </r>
  <r>
    <n v="25432"/>
    <m/>
    <n v="254"/>
    <n v="25405"/>
    <n v="25405"/>
    <x v="39"/>
    <x v="28"/>
    <s v="CVAS"/>
    <x v="4"/>
    <x v="4"/>
    <s v=""/>
    <s v="Music"/>
    <s v=""/>
    <s v="Genexies"/>
    <s v="ACTIVE"/>
    <s v="YES"/>
    <n v="30728"/>
    <s v="MOVIREAL-20-GENX"/>
    <s v="NIVEL 56 (1.99 Euros)"/>
    <n v="56"/>
    <s v="PPD"/>
    <n v="1"/>
    <n v="1.99"/>
    <n v="0.245"/>
    <n v="0.22500000000000001"/>
    <n v="0.4"/>
    <n v="0.13"/>
    <s v="GENEXIES"/>
  </r>
  <r>
    <n v="25437"/>
    <m/>
    <n v="305"/>
    <n v="30501"/>
    <n v="30501"/>
    <x v="26"/>
    <x v="0"/>
    <s v="CVAS"/>
    <x v="0"/>
    <x v="0"/>
    <s v="Light Soft"/>
    <s v="Light"/>
    <s v="Light Soft"/>
    <s v="PSM"/>
    <s v="ACTIVE"/>
    <s v="YES"/>
    <n v="30730"/>
    <s v="Morenazas"/>
    <s v="NIVEL 10 (2.5)"/>
    <n v="10"/>
    <s v="PPD"/>
    <n v="1"/>
    <n v="2.5"/>
    <n v="0.3"/>
    <n v="0.7"/>
    <m/>
    <m/>
    <s v=""/>
  </r>
  <r>
    <n v="25442"/>
    <m/>
    <n v="305"/>
    <n v="30502"/>
    <n v="30502"/>
    <x v="26"/>
    <x v="0"/>
    <s v="CVAS"/>
    <x v="0"/>
    <x v="0"/>
    <s v="Light Soft"/>
    <s v="Light"/>
    <s v="Light Soft"/>
    <s v="PSM"/>
    <s v="ACTIVE"/>
    <s v="YES"/>
    <n v="30732"/>
    <s v="Morenazas"/>
    <s v="NIVEL 8 (1.5)"/>
    <n v="8"/>
    <s v="PPD"/>
    <n v="1"/>
    <n v="1.5"/>
    <n v="0.3"/>
    <n v="0.7"/>
    <m/>
    <m/>
    <s v=""/>
  </r>
  <r>
    <n v="25452"/>
    <m/>
    <n v="466"/>
    <n v="46602"/>
    <n v="46602"/>
    <x v="40"/>
    <x v="29"/>
    <s v="CVAS"/>
    <x v="4"/>
    <x v="4"/>
    <s v=""/>
    <s v="Music"/>
    <s v=""/>
    <s v="Genexies"/>
    <s v="ACTIVE"/>
    <s v="YES"/>
    <n v="30738"/>
    <s v="Tonos de Humor"/>
    <s v="NIVEL 9 (2 E)"/>
    <n v="9"/>
    <s v="PPD"/>
    <n v="1"/>
    <n v="2"/>
    <n v="0.6"/>
    <n v="0.4"/>
    <m/>
    <m/>
    <s v=""/>
  </r>
  <r>
    <n v="25454"/>
    <m/>
    <n v="306"/>
    <n v="30601"/>
    <n v="30601"/>
    <x v="26"/>
    <x v="0"/>
    <s v="CVAS"/>
    <x v="0"/>
    <x v="0"/>
    <s v="Light Soft"/>
    <s v="Light"/>
    <s v="Light Soft"/>
    <s v="PSM"/>
    <s v="ACTIVE"/>
    <s v="YES"/>
    <n v="30739"/>
    <s v="Mulatas"/>
    <s v="NIVEL 10 (2.5)"/>
    <n v="10"/>
    <s v="PPD"/>
    <n v="1"/>
    <n v="2.5"/>
    <n v="0.3"/>
    <n v="0.7"/>
    <m/>
    <m/>
    <s v=""/>
  </r>
  <r>
    <n v="25456"/>
    <m/>
    <n v="306"/>
    <n v="30602"/>
    <n v="30602"/>
    <x v="26"/>
    <x v="0"/>
    <s v="CVAS"/>
    <x v="0"/>
    <x v="0"/>
    <s v="Light Soft"/>
    <s v="Light"/>
    <s v="Light Soft"/>
    <s v="PSM"/>
    <s v="ACTIVE"/>
    <s v="YES"/>
    <n v="30744"/>
    <s v="Mulatas"/>
    <s v="NIVEL 8 (1.5)"/>
    <n v="8"/>
    <s v="PPD"/>
    <n v="1"/>
    <n v="1.5"/>
    <n v="0.3"/>
    <n v="0.7"/>
    <m/>
    <m/>
    <s v=""/>
  </r>
  <r>
    <n v="25458"/>
    <m/>
    <n v="307"/>
    <n v="30701"/>
    <n v="30701"/>
    <x v="26"/>
    <x v="0"/>
    <s v="CVAS"/>
    <x v="0"/>
    <x v="0"/>
    <s v="Light Soft"/>
    <s v="Light"/>
    <s v="Light Soft"/>
    <s v="PSM"/>
    <s v="ACTIVE"/>
    <s v="YES"/>
    <n v="30745"/>
    <s v="Rubias"/>
    <s v="NIVEL 10 (2.5)"/>
    <n v="10"/>
    <s v="PPD"/>
    <n v="1"/>
    <n v="2.5"/>
    <n v="0.3"/>
    <n v="0.7"/>
    <m/>
    <m/>
    <s v=""/>
  </r>
  <r>
    <n v="25460"/>
    <m/>
    <n v="307"/>
    <n v="30702"/>
    <n v="30702"/>
    <x v="26"/>
    <x v="0"/>
    <s v="CVAS"/>
    <x v="0"/>
    <x v="0"/>
    <s v="Light Soft"/>
    <s v="Light"/>
    <s v="Light Soft"/>
    <s v="PSM"/>
    <s v="ACTIVE"/>
    <s v="YES"/>
    <n v="30746"/>
    <s v="Rubias"/>
    <s v="NIVEL 8 (1.5)"/>
    <n v="8"/>
    <s v="PPD"/>
    <n v="1"/>
    <n v="1.5"/>
    <n v="0.3"/>
    <n v="0.7"/>
    <m/>
    <m/>
    <s v=""/>
  </r>
  <r>
    <n v="25462"/>
    <m/>
    <n v="308"/>
    <n v="30801"/>
    <n v="30801"/>
    <x v="26"/>
    <x v="0"/>
    <s v="CVAS"/>
    <x v="0"/>
    <x v="0"/>
    <s v="Light Soft"/>
    <s v="Light"/>
    <s v="Light Soft"/>
    <s v="PSM"/>
    <s v="ACTIVE"/>
    <s v="YES"/>
    <n v="30747"/>
    <s v="Supertangas"/>
    <s v="NIVEL 10 (2.5)"/>
    <n v="10"/>
    <s v="PPD"/>
    <n v="1"/>
    <n v="2.5"/>
    <n v="0.3"/>
    <n v="0.7"/>
    <m/>
    <m/>
    <s v=""/>
  </r>
  <r>
    <n v="25464"/>
    <m/>
    <n v="308"/>
    <n v="30802"/>
    <n v="30802"/>
    <x v="26"/>
    <x v="0"/>
    <s v="CVAS"/>
    <x v="0"/>
    <x v="0"/>
    <s v="Light Soft"/>
    <s v="Light"/>
    <s v="Light Soft"/>
    <s v="PSM"/>
    <s v="ACTIVE"/>
    <s v="YES"/>
    <n v="30748"/>
    <s v="Supertangas"/>
    <s v="NIVEL 8 (1.5)"/>
    <n v="8"/>
    <s v="PPD"/>
    <n v="1"/>
    <n v="1.5"/>
    <n v="0.3"/>
    <n v="0.7"/>
    <m/>
    <m/>
    <s v=""/>
  </r>
  <r>
    <n v="25609"/>
    <m/>
    <n v="364"/>
    <n v="36401"/>
    <n v="36401"/>
    <x v="41"/>
    <x v="30"/>
    <s v="CVAS"/>
    <x v="1"/>
    <x v="1"/>
    <s v=""/>
    <s v="Others"/>
    <s v="Images"/>
    <s v="AirTouch New Media SL"/>
    <s v="ACTIVE"/>
    <s v="YES"/>
    <n v="30468"/>
    <s v="Susc Fond MB Xhtm"/>
    <s v="NIVEL 22 (4 E)"/>
    <n v="22"/>
    <s v="Monthly subscription"/>
    <n v="25"/>
    <n v="4"/>
    <n v="0.4"/>
    <n v="0.6"/>
    <m/>
    <m/>
    <s v=""/>
  </r>
  <r>
    <n v="25707"/>
    <m/>
    <n v="456"/>
    <n v="45601"/>
    <n v="45601"/>
    <x v="26"/>
    <x v="0"/>
    <s v="CVAS"/>
    <x v="0"/>
    <x v="0"/>
    <s v="Light Soft"/>
    <s v="Light"/>
    <s v="Light Soft"/>
    <s v="Yiam Uno S.L."/>
    <s v="ACTIVE"/>
    <s v="YES"/>
    <n v="30495"/>
    <s v="Jovencitas"/>
    <s v="NIVEL 10 (2.5)"/>
    <n v="10"/>
    <s v="PPD"/>
    <n v="1"/>
    <n v="2.5"/>
    <n v="0.3"/>
    <n v="0.7"/>
    <m/>
    <m/>
    <s v=""/>
  </r>
  <r>
    <n v="25712"/>
    <m/>
    <n v="280"/>
    <n v="28001"/>
    <n v="28001"/>
    <x v="26"/>
    <x v="0"/>
    <s v="CVAS"/>
    <x v="0"/>
    <x v="0"/>
    <s v="Light Soft"/>
    <s v="Light"/>
    <s v="Light Soft"/>
    <s v="Mobiground"/>
    <s v="ACTIVE"/>
    <s v="YES"/>
    <n v="30906"/>
    <s v="Vecinitas"/>
    <s v="NIVEL 10 (2.5)"/>
    <n v="10"/>
    <s v="PPD"/>
    <n v="1"/>
    <n v="2.5"/>
    <n v="0.3"/>
    <n v="0.7"/>
    <m/>
    <m/>
    <s v=""/>
  </r>
  <r>
    <n v="25814"/>
    <m/>
    <n v="254"/>
    <n v="25401"/>
    <n v="25401"/>
    <x v="42"/>
    <x v="31"/>
    <s v="CVAS"/>
    <x v="4"/>
    <x v="4"/>
    <s v=""/>
    <s v="Music"/>
    <s v=""/>
    <s v="Genexies"/>
    <s v="ACTIVE"/>
    <s v="YES"/>
    <n v="31007"/>
    <s v="Tonos Reales"/>
    <s v="NIVEL 60 (3.99 Euros)"/>
    <n v="60"/>
    <s v="Monthly subscription"/>
    <n v="25"/>
    <n v="3.99"/>
    <n v="0.27500000000000002"/>
    <n v="0.19500000000000001"/>
    <n v="0.4"/>
    <n v="0.13"/>
    <s v="TODOS"/>
  </r>
  <r>
    <n v="25828"/>
    <m/>
    <n v="365"/>
    <n v="36501"/>
    <n v="36501"/>
    <x v="43"/>
    <x v="32"/>
    <s v="CVAS"/>
    <x v="1"/>
    <x v="1"/>
    <s v=""/>
    <s v="Others"/>
    <s v="Images"/>
    <s v="AirTouch New Media SL"/>
    <s v="ACTIVE"/>
    <s v="YES"/>
    <n v="31009"/>
    <s v="Fondo Avatares"/>
    <s v="NIVEL 11 (3 E)"/>
    <n v="11"/>
    <s v="Monthly subscription"/>
    <n v="25"/>
    <n v="3"/>
    <n v="0.4"/>
    <n v="0.6"/>
    <m/>
    <m/>
    <s v=""/>
  </r>
  <r>
    <n v="25849"/>
    <m/>
    <n v="605"/>
    <n v="60501"/>
    <n v="60501"/>
    <x v="29"/>
    <x v="0"/>
    <s v="CVAS"/>
    <x v="0"/>
    <x v="0"/>
    <s v="Light Hard"/>
    <s v="Light"/>
    <s v="Light Hard"/>
    <s v="Waat Media"/>
    <s v="ACTIVE"/>
    <s v="YES"/>
    <n v="31025"/>
    <s v="Porno Travieso"/>
    <s v="NIVEL 20 (10 E)"/>
    <n v="20"/>
    <s v="Monthly subscription"/>
    <n v="25"/>
    <n v="10"/>
    <n v="0.3"/>
    <n v="0.7"/>
    <m/>
    <m/>
    <s v=""/>
  </r>
  <r>
    <n v="25855"/>
    <m/>
    <n v="606"/>
    <n v="60601"/>
    <n v="60601"/>
    <x v="29"/>
    <x v="0"/>
    <s v="CVAS"/>
    <x v="0"/>
    <x v="0"/>
    <s v="Light Hard"/>
    <s v="Light"/>
    <s v="Light Hard"/>
    <s v="Waat Media"/>
    <s v="INACTIVE"/>
    <s v="YES"/>
    <n v="31044"/>
    <s v="You Porn XXX/Tu Porno"/>
    <s v="NIVEL 20 (10 E)"/>
    <n v="20"/>
    <s v="Monthly subscription"/>
    <n v="25"/>
    <n v="10"/>
    <n v="0.3"/>
    <n v="0.7"/>
    <m/>
    <m/>
    <s v=""/>
  </r>
  <r>
    <n v="25857"/>
    <m/>
    <n v="466"/>
    <n v="46601"/>
    <n v="46601"/>
    <x v="44"/>
    <x v="33"/>
    <s v="CVAS"/>
    <x v="4"/>
    <x v="4"/>
    <s v=""/>
    <s v="Music"/>
    <s v=""/>
    <s v="Genexies"/>
    <s v="ACTIVE"/>
    <s v="YES"/>
    <n v="31045"/>
    <s v="Tonos de Humor"/>
    <s v="NIVEL 11 (3 E)"/>
    <n v="11"/>
    <s v="Monthly subscription"/>
    <n v="25"/>
    <n v="3"/>
    <n v="0.65"/>
    <n v="0.35"/>
    <m/>
    <m/>
    <s v=""/>
  </r>
  <r>
    <n v="28347"/>
    <m/>
    <n v="358"/>
    <n v="35801"/>
    <n v="35801"/>
    <x v="45"/>
    <x v="34"/>
    <s v="CVAS"/>
    <x v="1"/>
    <x v="1"/>
    <s v=""/>
    <s v="Others"/>
    <s v="Images"/>
    <s v="AirTouch New Media SL"/>
    <s v="ACTIVE"/>
    <s v="YES"/>
    <n v="32026"/>
    <s v="Fondos Dinamicos"/>
    <s v="NIVEL 9 (2 E)"/>
    <n v="9"/>
    <s v="PPD"/>
    <n v="1"/>
    <n v="2"/>
    <n v="0.4"/>
    <n v="0.6"/>
    <m/>
    <m/>
    <s v=""/>
  </r>
  <r>
    <n v="28390"/>
    <m/>
    <m/>
    <m/>
    <m/>
    <x v="46"/>
    <x v="35"/>
    <s v="CVAS"/>
    <x v="0"/>
    <x v="0"/>
    <m/>
    <s v="Others"/>
    <m/>
    <s v="Yiam Uno S.L."/>
    <s v="INACTIVE"/>
    <s v="YES"/>
    <m/>
    <s v="Cheap &amp; Nasty"/>
    <m/>
    <m/>
    <s v="Weekly subscription"/>
    <m/>
    <m/>
    <m/>
    <m/>
    <m/>
    <m/>
    <m/>
  </r>
  <r>
    <n v="28428"/>
    <m/>
    <n v="507"/>
    <n v="50701"/>
    <n v="50701"/>
    <x v="47"/>
    <x v="0"/>
    <s v="CVAS"/>
    <x v="0"/>
    <x v="0"/>
    <s v="Light Hard"/>
    <s v="Light"/>
    <s v="Light Hard"/>
    <s v="Yiam Uno S.L."/>
    <s v="ACTIVE"/>
    <s v="YES"/>
    <n v="32060"/>
    <s v="Playhouse"/>
    <s v="NIVEL 58 (2.99 Euros)"/>
    <n v="58"/>
    <s v="Weekly subscription"/>
    <n v="908"/>
    <n v="2.99"/>
    <n v="0.3"/>
    <n v="0.7"/>
    <m/>
    <m/>
    <s v=""/>
  </r>
  <r>
    <n v="28488"/>
    <m/>
    <n v="298"/>
    <n v="29801"/>
    <n v="29801"/>
    <x v="47"/>
    <x v="0"/>
    <s v="CVAS"/>
    <x v="0"/>
    <x v="0"/>
    <s v="Light Hard"/>
    <s v="Light"/>
    <s v="Light Hard"/>
    <s v="PSM"/>
    <s v="ACTIVE"/>
    <s v="YES"/>
    <n v="32084"/>
    <s v="Video X Porn"/>
    <s v="NIVEL 9 (2 E)"/>
    <n v="9"/>
    <s v="Weekly subscription"/>
    <n v="908"/>
    <n v="2"/>
    <n v="0.3"/>
    <n v="0.7"/>
    <m/>
    <m/>
    <s v=""/>
  </r>
  <r>
    <n v="28622"/>
    <m/>
    <n v="303"/>
    <n v="30301"/>
    <n v="30301"/>
    <x v="47"/>
    <x v="0"/>
    <s v="CVAS"/>
    <x v="0"/>
    <x v="0"/>
    <s v="Light Soft"/>
    <s v="Light"/>
    <s v="Light Soft"/>
    <s v="PSM"/>
    <s v="INACTIVE"/>
    <s v="YES"/>
    <n v="32251"/>
    <s v="Mundo DVD Porno"/>
    <s v="NIVEL 58 (2.99 Euros)"/>
    <n v="58"/>
    <s v="Weekly subscription"/>
    <n v="908"/>
    <n v="2.99"/>
    <n v="0.3"/>
    <n v="0.7"/>
    <m/>
    <m/>
    <s v=""/>
  </r>
  <r>
    <n v="28632"/>
    <m/>
    <n v="302"/>
    <n v="30201"/>
    <n v="30201"/>
    <x v="47"/>
    <x v="0"/>
    <s v="CVAS"/>
    <x v="0"/>
    <x v="0"/>
    <s v="Light Hard"/>
    <s v="Light"/>
    <s v="Light Hard"/>
    <s v="PSM"/>
    <s v="INACTIVE"/>
    <s v="YES"/>
    <n v="32256"/>
    <s v="Mundo DVD Porno Legacy"/>
    <s v="NIVEL 9 (2 E)"/>
    <n v="9"/>
    <s v="Weekly subscription"/>
    <n v="908"/>
    <n v="2"/>
    <n v="0.3"/>
    <n v="0.7"/>
    <m/>
    <m/>
    <s v=""/>
  </r>
  <r>
    <n v="28767"/>
    <m/>
    <n v="458"/>
    <n v="45802"/>
    <n v="45802"/>
    <x v="26"/>
    <x v="0"/>
    <s v="CVAS"/>
    <x v="0"/>
    <x v="0"/>
    <s v="Light Soft"/>
    <s v="Light"/>
    <s v="Light Soft"/>
    <s v="Yiam Uno S.L."/>
    <s v="ACTIVE"/>
    <s v="YES"/>
    <n v="32325"/>
    <s v="Tera Patrick Soft"/>
    <s v="NIVEL 8 (1.5)"/>
    <n v="8"/>
    <s v="PPD"/>
    <n v="1"/>
    <n v="1.5"/>
    <n v="0.3"/>
    <n v="0.7"/>
    <m/>
    <m/>
    <s v=""/>
  </r>
  <r>
    <n v="28769"/>
    <m/>
    <n v="458"/>
    <n v="45801"/>
    <n v="45801"/>
    <x v="26"/>
    <x v="0"/>
    <s v="CVAS"/>
    <x v="0"/>
    <x v="0"/>
    <s v="Light Soft"/>
    <s v="Light"/>
    <s v="Light Soft"/>
    <s v="Yiam Uno S.L."/>
    <s v="ACTIVE"/>
    <s v="YES"/>
    <n v="32344"/>
    <s v="Tera Patrick Soft"/>
    <s v="NIVEL 10 (2.5)"/>
    <n v="10"/>
    <s v="PPD"/>
    <n v="1"/>
    <n v="2.5"/>
    <n v="0.3"/>
    <n v="0.7"/>
    <m/>
    <m/>
    <s v=""/>
  </r>
  <r>
    <n v="28773"/>
    <m/>
    <n v="282"/>
    <n v="28201"/>
    <n v="28201"/>
    <x v="47"/>
    <x v="0"/>
    <s v="CVAS"/>
    <x v="0"/>
    <x v="0"/>
    <s v="Light Hard"/>
    <s v="Light"/>
    <s v="Light Hard"/>
    <s v="Mobiground"/>
    <s v="ACTIVE"/>
    <s v="YES"/>
    <n v="32346"/>
    <s v="excitame"/>
    <s v="NIVEL 7 (1 E)"/>
    <n v="7"/>
    <s v="Weekly subscription"/>
    <n v="908"/>
    <n v="1"/>
    <n v="0.3"/>
    <n v="0.7"/>
    <m/>
    <m/>
    <s v=""/>
  </r>
  <r>
    <n v="28775"/>
    <m/>
    <n v="281"/>
    <n v="28101"/>
    <n v="28101"/>
    <x v="47"/>
    <x v="0"/>
    <s v="CVAS"/>
    <x v="0"/>
    <x v="0"/>
    <s v="Light Hard"/>
    <s v="Light"/>
    <s v="Light Hard"/>
    <s v="Mobiground"/>
    <s v="ACTIVE"/>
    <s v="YES"/>
    <n v="32347"/>
    <s v="excitame"/>
    <s v="NIVEL 9 (2 E)"/>
    <n v="9"/>
    <s v="Weekly subscription"/>
    <n v="908"/>
    <n v="2"/>
    <n v="0.3"/>
    <n v="0.7"/>
    <m/>
    <m/>
    <s v=""/>
  </r>
  <r>
    <n v="29012"/>
    <m/>
    <n v="230"/>
    <n v="88"/>
    <n v="88"/>
    <x v="29"/>
    <x v="0"/>
    <s v="CVAS"/>
    <x v="0"/>
    <x v="0"/>
    <s v="Light Hard"/>
    <s v="Light"/>
    <s v="Light Hard"/>
    <s v="Buongiorno"/>
    <s v="ACTIVE"/>
    <s v="YES"/>
    <n v="32506"/>
    <s v="MoviSexy XXX"/>
    <s v="NIVEL 20 (10 E)"/>
    <n v="20"/>
    <s v="Monthly subscription"/>
    <n v="25"/>
    <n v="10"/>
    <n v="0.3"/>
    <n v="0.7"/>
    <m/>
    <m/>
    <s v=""/>
  </r>
  <r>
    <n v="29032"/>
    <m/>
    <n v="586"/>
    <n v="58601"/>
    <n v="58601"/>
    <x v="48"/>
    <x v="36"/>
    <s v="CVAS"/>
    <x v="0"/>
    <x v="0"/>
    <s v="Light TV"/>
    <s v="Light"/>
    <s v="Light TV"/>
    <s v="Claxson . Contribution"/>
    <s v="INACTIVE"/>
    <s v="YES"/>
    <n v="32526"/>
    <s v="Playboy Tv"/>
    <s v="NIVEL 12 (5 E)"/>
    <n v="12"/>
    <s v="Monthly subscription"/>
    <n v="25"/>
    <n v="5"/>
    <n v="0.3"/>
    <n v="0.7"/>
    <m/>
    <m/>
    <s v=""/>
  </r>
  <r>
    <n v="29148"/>
    <m/>
    <n v="247"/>
    <n v="24702"/>
    <n v="24702"/>
    <x v="26"/>
    <x v="0"/>
    <s v="CVAS"/>
    <x v="0"/>
    <x v="0"/>
    <s v="Light Hard"/>
    <s v="Light"/>
    <s v="Light Hard"/>
    <s v="PSM"/>
    <s v="ACTIVE"/>
    <s v="YES"/>
    <n v="32664"/>
    <s v="En Familia!"/>
    <s v="NIVEL 11 (3 E)"/>
    <n v="11"/>
    <s v="PPD"/>
    <n v="1"/>
    <n v="3"/>
    <n v="0.3"/>
    <n v="0.7"/>
    <m/>
    <m/>
    <s v=""/>
  </r>
  <r>
    <n v="29152"/>
    <m/>
    <n v="248"/>
    <n v="24802"/>
    <n v="24802"/>
    <x v="26"/>
    <x v="0"/>
    <s v="CVAS"/>
    <x v="0"/>
    <x v="0"/>
    <s v="Light Hard"/>
    <s v="Light"/>
    <s v="Light Hard"/>
    <s v="PSM"/>
    <s v="ACTIVE"/>
    <s v="YES"/>
    <n v="32666"/>
    <s v="Grandes Pollas"/>
    <s v="NIVEL 11 (3 E)"/>
    <n v="11"/>
    <s v="PPD"/>
    <n v="1"/>
    <n v="3"/>
    <n v="0.3"/>
    <n v="0.7"/>
    <m/>
    <m/>
    <s v=""/>
  </r>
  <r>
    <n v="29158"/>
    <m/>
    <n v="213"/>
    <n v="69"/>
    <n v="21369"/>
    <x v="49"/>
    <x v="37"/>
    <s v="CVAS"/>
    <x v="3"/>
    <x v="3"/>
    <s v=""/>
    <s v="Games"/>
    <s v=""/>
    <s v="Gameloft"/>
    <s v="ACTIVE"/>
    <s v="YES"/>
    <n v="32669"/>
    <s v="Susc gameloft 3e"/>
    <s v="NIVEL 11 (3 E)"/>
    <n v="11"/>
    <s v="Monthly subscription"/>
    <n v="25"/>
    <n v="3"/>
    <n v="0.5"/>
    <n v="0.5"/>
    <m/>
    <m/>
    <s v=""/>
  </r>
  <r>
    <n v="29247"/>
    <m/>
    <n v="229"/>
    <n v="87"/>
    <n v="87"/>
    <x v="47"/>
    <x v="0"/>
    <s v="CVAS"/>
    <x v="0"/>
    <x v="0"/>
    <s v="Light Hard"/>
    <s v="Light"/>
    <s v="Light Hard"/>
    <s v="Buongiorno"/>
    <s v="ACTIVE"/>
    <s v="YES"/>
    <n v="32506"/>
    <s v="MoviSexy XXX"/>
    <s v="NIVEL 58 (2.99 Euros)"/>
    <n v="58"/>
    <s v="Weekly subscription"/>
    <n v="908"/>
    <n v="2.99"/>
    <n v="0.3"/>
    <n v="0.7"/>
    <m/>
    <m/>
    <s v=""/>
  </r>
  <r>
    <n v="29249"/>
    <m/>
    <n v="232"/>
    <n v="90"/>
    <n v="90"/>
    <x v="47"/>
    <x v="0"/>
    <s v="CVAS"/>
    <x v="0"/>
    <x v="0"/>
    <s v="Light Soft"/>
    <s v="Light"/>
    <s v="Light Soft"/>
    <s v="Buongiorno"/>
    <s v="ACTIVE"/>
    <s v="YES"/>
    <n v="29687"/>
    <s v="MoviSexy"/>
    <s v="NIVEL 56 (1.99 Euros)"/>
    <n v="56"/>
    <s v="Weekly subscription"/>
    <n v="908"/>
    <n v="1.99"/>
    <n v="0.3"/>
    <n v="0.7"/>
    <m/>
    <m/>
    <s v=""/>
  </r>
  <r>
    <n v="29288"/>
    <m/>
    <n v="310"/>
    <n v="31001"/>
    <n v="31001"/>
    <x v="26"/>
    <x v="0"/>
    <s v="CVAS"/>
    <x v="0"/>
    <x v="0"/>
    <s v="Light Soft"/>
    <s v="Light"/>
    <s v="Light Soft"/>
    <s v="PSM"/>
    <s v="ACTIVE"/>
    <s v="YES"/>
    <n v="32744"/>
    <s v="Videoclub X"/>
    <s v="NIVEL 10 (2.5)"/>
    <n v="10"/>
    <s v="PPD"/>
    <n v="1"/>
    <n v="2.5"/>
    <n v="0.3"/>
    <n v="0.7"/>
    <m/>
    <m/>
    <s v=""/>
  </r>
  <r>
    <n v="29290"/>
    <m/>
    <n v="310"/>
    <n v="31002"/>
    <n v="31002"/>
    <x v="26"/>
    <x v="0"/>
    <s v="CVAS"/>
    <x v="0"/>
    <x v="0"/>
    <s v="Light Soft"/>
    <s v="Light"/>
    <s v="Light Soft"/>
    <s v="PSM"/>
    <s v="ACTIVE"/>
    <s v="YES"/>
    <n v="32745"/>
    <s v="Videoclub X"/>
    <s v="NIVEL 22 (4 E)"/>
    <n v="22"/>
    <s v="PPD"/>
    <n v="1"/>
    <n v="4"/>
    <n v="0.3"/>
    <n v="0.7"/>
    <m/>
    <m/>
    <s v=""/>
  </r>
  <r>
    <n v="29748"/>
    <m/>
    <n v="603"/>
    <n v="60301"/>
    <n v="60301"/>
    <x v="47"/>
    <x v="0"/>
    <s v="CVAS"/>
    <x v="0"/>
    <x v="0"/>
    <s v="Light Hard"/>
    <s v="Light"/>
    <s v="Light Hard"/>
    <s v="Private"/>
    <s v="ACTIVE"/>
    <s v="YES"/>
    <n v="33004"/>
    <s v="Private"/>
    <s v="NIVEL 58 (2.99 Euros)"/>
    <n v="58"/>
    <s v="Weekly subscription"/>
    <n v="908"/>
    <n v="2.99"/>
    <n v="0.3"/>
    <n v="0.7"/>
    <m/>
    <m/>
    <s v=""/>
  </r>
  <r>
    <n v="29751"/>
    <m/>
    <n v="602"/>
    <n v="60201"/>
    <n v="60201"/>
    <x v="47"/>
    <x v="0"/>
    <s v="CVAS"/>
    <x v="0"/>
    <x v="0"/>
    <s v="Light Soft"/>
    <s v="Light"/>
    <s v="Light Soft"/>
    <s v="Private"/>
    <s v="INACTIVE"/>
    <s v="YES"/>
    <n v="33005"/>
    <s v="Private"/>
    <s v="NIVEL 58 (2.99 Euros)"/>
    <n v="58"/>
    <s v="Weekly subscription"/>
    <n v="908"/>
    <n v="2.99"/>
    <n v="0.3"/>
    <n v="0.7"/>
    <m/>
    <m/>
    <s v=""/>
  </r>
  <r>
    <n v="30088"/>
    <m/>
    <n v="283"/>
    <n v="28301"/>
    <n v="28301"/>
    <x v="47"/>
    <x v="0"/>
    <s v="CVAS"/>
    <x v="0"/>
    <x v="0"/>
    <s v="Light Hard"/>
    <s v="Light"/>
    <s v="Light Hard"/>
    <s v="Mobiground"/>
    <s v="ACTIVE"/>
    <s v="YES"/>
    <n v="33304"/>
    <s v="Puta Locura / Mr 69"/>
    <s v="NIVEL 58 (2.99 Euros)"/>
    <n v="58"/>
    <s v="Weekly subscription"/>
    <n v="908"/>
    <n v="2.99"/>
    <n v="0.3"/>
    <n v="0.7"/>
    <m/>
    <m/>
    <s v=""/>
  </r>
  <r>
    <n v="30191"/>
    <m/>
    <n v="228"/>
    <n v="86"/>
    <n v="86"/>
    <x v="47"/>
    <x v="0"/>
    <s v="CVAS"/>
    <x v="0"/>
    <x v="0"/>
    <s v="Light Hard"/>
    <s v="Light"/>
    <s v="Light Hard"/>
    <s v="Buongiorno"/>
    <s v="ACTIVE"/>
    <s v="YES"/>
    <n v="33425"/>
    <s v="Megazorrones"/>
    <s v="NIVEL 58 (2.99 Euros)"/>
    <n v="58"/>
    <s v="Weekly subscription"/>
    <n v="908"/>
    <n v="2.99"/>
    <n v="0.3"/>
    <n v="0.7"/>
    <m/>
    <m/>
    <s v=""/>
  </r>
  <r>
    <n v="30193"/>
    <m/>
    <n v="227"/>
    <n v="85"/>
    <n v="85"/>
    <x v="29"/>
    <x v="0"/>
    <s v="CVAS"/>
    <x v="0"/>
    <x v="0"/>
    <s v="Light Hard"/>
    <s v="Light"/>
    <s v="Light Hard"/>
    <s v="Buongiorno"/>
    <s v="ACTIVE"/>
    <s v="YES"/>
    <n v="33425"/>
    <s v="Megazorrones"/>
    <s v="NIVEL 20 (10 E)"/>
    <n v="20"/>
    <s v="Monthly subscription"/>
    <n v="25"/>
    <n v="10"/>
    <n v="0.3"/>
    <n v="0.7"/>
    <m/>
    <m/>
    <s v=""/>
  </r>
  <r>
    <n v="30201"/>
    <m/>
    <n v="488"/>
    <n v="48802"/>
    <n v="48802"/>
    <x v="26"/>
    <x v="0"/>
    <s v="CVAS"/>
    <x v="0"/>
    <x v="0"/>
    <s v="Light Hard"/>
    <s v="Light"/>
    <s v="Light Hard"/>
    <s v="Yiam Uno S.L."/>
    <s v="ACTIVE"/>
    <s v="YES"/>
    <n v="33429"/>
    <s v="Por Culo"/>
    <s v="NIVEL 11 (3 E)"/>
    <n v="11"/>
    <s v="PPD"/>
    <n v="1"/>
    <n v="3"/>
    <n v="0.3"/>
    <n v="0.7"/>
    <m/>
    <m/>
    <s v=""/>
  </r>
  <r>
    <n v="30205"/>
    <m/>
    <n v="479"/>
    <n v="47902"/>
    <n v="47902"/>
    <x v="26"/>
    <x v="0"/>
    <s v="CVAS"/>
    <x v="0"/>
    <x v="0"/>
    <s v="Light Hard"/>
    <s v="Light"/>
    <s v="Light Hard"/>
    <s v="Yiam Uno S.L."/>
    <s v="ACTIVE"/>
    <s v="YES"/>
    <n v="33431"/>
    <s v="Enfermeras"/>
    <s v="NIVEL 11 (3 E)"/>
    <n v="11"/>
    <s v="PPD"/>
    <n v="1"/>
    <n v="3"/>
    <n v="0.3"/>
    <n v="0.7"/>
    <m/>
    <m/>
    <s v=""/>
  </r>
  <r>
    <n v="30230"/>
    <m/>
    <n v="482"/>
    <n v="48203"/>
    <n v="48203"/>
    <x v="26"/>
    <x v="0"/>
    <s v="CVAS"/>
    <x v="0"/>
    <x v="0"/>
    <s v="Light Hard"/>
    <s v="Light"/>
    <s v="Light Hard"/>
    <s v="Yiam Uno S.L."/>
    <s v="ACTIVE"/>
    <s v="YES"/>
    <n v="33445"/>
    <s v="Ex Novias"/>
    <s v="NIVEL 11 (3 E)"/>
    <n v="11"/>
    <s v="PPD"/>
    <n v="1"/>
    <n v="3"/>
    <n v="0.3"/>
    <n v="0.7"/>
    <m/>
    <m/>
    <s v=""/>
  </r>
  <r>
    <n v="30234"/>
    <m/>
    <n v="492"/>
    <n v="49202"/>
    <n v="49202"/>
    <x v="26"/>
    <x v="0"/>
    <s v="CVAS"/>
    <x v="0"/>
    <x v="0"/>
    <s v="Light Hard"/>
    <s v="Light"/>
    <s v="Light Hard"/>
    <s v="Yiam Uno S.L."/>
    <s v="ACTIVE"/>
    <s v="YES"/>
    <n v="33447"/>
    <s v="Sexo de Lujo"/>
    <s v="NIVEL 11 (3 E)"/>
    <n v="11"/>
    <s v="PPD"/>
    <n v="1"/>
    <n v="3"/>
    <n v="0.3"/>
    <n v="0.7"/>
    <m/>
    <m/>
    <s v=""/>
  </r>
  <r>
    <n v="30238"/>
    <m/>
    <n v="494"/>
    <n v="49402"/>
    <n v="49402"/>
    <x v="26"/>
    <x v="0"/>
    <s v="CVAS"/>
    <x v="0"/>
    <x v="0"/>
    <s v="Light Hard"/>
    <s v="Light"/>
    <s v="Light Hard"/>
    <s v="Yiam Uno S.L."/>
    <s v="ACTIVE"/>
    <s v="YES"/>
    <n v="33449"/>
    <s v="Tetonas"/>
    <s v="NIVEL 11 (3 E)"/>
    <n v="11"/>
    <s v="PPD"/>
    <n v="1"/>
    <n v="3"/>
    <n v="0.3"/>
    <n v="0.7"/>
    <m/>
    <m/>
    <s v=""/>
  </r>
  <r>
    <n v="30242"/>
    <m/>
    <n v="498"/>
    <n v="49802"/>
    <n v="49802"/>
    <x v="26"/>
    <x v="0"/>
    <s v="CVAS"/>
    <x v="0"/>
    <x v="0"/>
    <s v="Light Hard"/>
    <s v="Light"/>
    <s v="Light Hard"/>
    <s v="Yiam Uno S.L."/>
    <s v="ACTIVE"/>
    <s v="YES"/>
    <n v="33451"/>
    <s v="Universitarias"/>
    <s v="NIVEL 11 (3 E)"/>
    <n v="11"/>
    <s v="PPD"/>
    <n v="1"/>
    <n v="3"/>
    <n v="0.3"/>
    <n v="0.7"/>
    <m/>
    <m/>
    <s v=""/>
  </r>
  <r>
    <n v="30246"/>
    <m/>
    <n v="486"/>
    <n v="48602"/>
    <n v="48602"/>
    <x v="26"/>
    <x v="0"/>
    <s v="CVAS"/>
    <x v="0"/>
    <x v="0"/>
    <s v="Light Hard"/>
    <s v="Light"/>
    <s v="Light Hard"/>
    <s v="Yiam Uno S.L."/>
    <s v="ACTIVE"/>
    <s v="YES"/>
    <n v="33453"/>
    <s v="Orgias"/>
    <s v="NIVEL 11 (3 E)"/>
    <n v="11"/>
    <s v="PPD"/>
    <n v="1"/>
    <n v="3"/>
    <n v="0.3"/>
    <n v="0.7"/>
    <m/>
    <m/>
    <s v=""/>
  </r>
  <r>
    <n v="30271"/>
    <m/>
    <n v="485"/>
    <n v="48502"/>
    <n v="48502"/>
    <x v="26"/>
    <x v="0"/>
    <s v="CVAS"/>
    <x v="0"/>
    <x v="0"/>
    <s v="Light Hard"/>
    <s v="Light"/>
    <s v="Light Hard"/>
    <s v="Yiam Uno S.L."/>
    <s v="ACTIVE"/>
    <s v="YES"/>
    <n v="33505"/>
    <s v="Orgasmos Femeninos"/>
    <s v="NIVEL 11 (3 E)"/>
    <n v="11"/>
    <s v="PPD"/>
    <n v="1"/>
    <n v="3"/>
    <n v="0.3"/>
    <n v="0.7"/>
    <m/>
    <m/>
    <s v=""/>
  </r>
  <r>
    <n v="30275"/>
    <m/>
    <n v="496"/>
    <n v="49602"/>
    <n v="49602"/>
    <x v="26"/>
    <x v="0"/>
    <s v="CVAS"/>
    <x v="0"/>
    <x v="0"/>
    <s v="Light Hard"/>
    <s v="Light"/>
    <s v="Light Hard"/>
    <s v="Yiam Uno S.L."/>
    <s v="ACTIVE"/>
    <s v="YES"/>
    <n v="33507"/>
    <s v="Travestis"/>
    <s v="NIVEL 11 (3 E)"/>
    <n v="11"/>
    <s v="PPD"/>
    <n v="1"/>
    <n v="3"/>
    <n v="0.3"/>
    <n v="0.7"/>
    <m/>
    <m/>
    <s v=""/>
  </r>
  <r>
    <n v="30279"/>
    <m/>
    <n v="484"/>
    <n v="48402"/>
    <n v="48402"/>
    <x v="26"/>
    <x v="0"/>
    <s v="CVAS"/>
    <x v="0"/>
    <x v="0"/>
    <s v="Light Hard"/>
    <s v="Light"/>
    <s v="Light Hard"/>
    <s v="Yiam Uno S.L."/>
    <s v="ACTIVE"/>
    <s v="YES"/>
    <n v="33509"/>
    <s v="Mulatas"/>
    <s v="NIVEL 11 (3 E)"/>
    <n v="11"/>
    <s v="PPD"/>
    <n v="1"/>
    <n v="3"/>
    <n v="0.3"/>
    <n v="0.7"/>
    <m/>
    <m/>
    <s v=""/>
  </r>
  <r>
    <n v="30283"/>
    <m/>
    <n v="493"/>
    <n v="49302"/>
    <n v="49302"/>
    <x v="26"/>
    <x v="0"/>
    <s v="CVAS"/>
    <x v="0"/>
    <x v="0"/>
    <s v="Light Hard"/>
    <s v="Light"/>
    <s v="Light Hard"/>
    <s v="Yiam Uno S.L."/>
    <s v="ACTIVE"/>
    <s v="YES"/>
    <n v="33511"/>
    <s v="Sexo Oriental"/>
    <s v="NIVEL 11 (3 E)"/>
    <n v="11"/>
    <s v="PPD"/>
    <n v="1"/>
    <n v="3"/>
    <n v="0.3"/>
    <n v="0.7"/>
    <m/>
    <m/>
    <s v=""/>
  </r>
  <r>
    <n v="30287"/>
    <m/>
    <n v="497"/>
    <n v="49702"/>
    <n v="49702"/>
    <x v="26"/>
    <x v="0"/>
    <s v="CVAS"/>
    <x v="0"/>
    <x v="0"/>
    <s v="Light Hard"/>
    <s v="Light"/>
    <s v="Light Hard"/>
    <s v="Yiam Uno S.L."/>
    <s v="ACTIVE"/>
    <s v="YES"/>
    <n v="33513"/>
    <s v="Tríos"/>
    <s v="NIVEL 11 (3 E)"/>
    <n v="11"/>
    <s v="PPD"/>
    <n v="1"/>
    <n v="3"/>
    <n v="0.3"/>
    <n v="0.7"/>
    <m/>
    <m/>
    <s v=""/>
  </r>
  <r>
    <n v="30291"/>
    <m/>
    <n v="483"/>
    <n v="48302"/>
    <n v="48302"/>
    <x v="26"/>
    <x v="0"/>
    <s v="CVAS"/>
    <x v="0"/>
    <x v="0"/>
    <s v="Light Hard"/>
    <s v="Light"/>
    <s v="Light Hard"/>
    <s v="Yiam Uno S.L."/>
    <s v="ACTIVE"/>
    <s v="YES"/>
    <n v="33515"/>
    <s v="Gordas"/>
    <s v="NIVEL 11 (3 E)"/>
    <n v="11"/>
    <s v="PPD"/>
    <n v="1"/>
    <n v="3"/>
    <n v="0.3"/>
    <n v="0.7"/>
    <m/>
    <m/>
    <s v=""/>
  </r>
  <r>
    <n v="30295"/>
    <m/>
    <n v="481"/>
    <n v="48102"/>
    <n v="48102"/>
    <x v="26"/>
    <x v="0"/>
    <s v="CVAS"/>
    <x v="0"/>
    <x v="0"/>
    <s v="Light Hard"/>
    <s v="Light"/>
    <s v="Light Hard"/>
    <s v="Yiam Uno S.L."/>
    <s v="ACTIVE"/>
    <s v="YES"/>
    <n v="33517"/>
    <s v="Especial Coños"/>
    <s v="NIVEL 11 (3 E)"/>
    <n v="11"/>
    <s v="PPD"/>
    <n v="1"/>
    <n v="3"/>
    <n v="0.3"/>
    <n v="0.7"/>
    <m/>
    <m/>
    <s v=""/>
  </r>
  <r>
    <n v="30471"/>
    <m/>
    <n v="478"/>
    <n v="47802"/>
    <n v="47802"/>
    <x v="26"/>
    <x v="0"/>
    <s v="CVAS"/>
    <x v="0"/>
    <x v="0"/>
    <s v="Light Hard"/>
    <s v="Light"/>
    <s v="Light Hard"/>
    <s v="Yiam Uno S.L."/>
    <s v="ACTIVE"/>
    <s v="YES"/>
    <n v="33665"/>
    <s v="Club de Intercambios"/>
    <s v="NIVEL 11 (3 E)"/>
    <n v="11"/>
    <s v="PPD"/>
    <n v="1"/>
    <n v="3"/>
    <n v="0.3"/>
    <n v="0.7"/>
    <m/>
    <m/>
    <s v=""/>
  </r>
  <r>
    <n v="30475"/>
    <m/>
    <n v="490"/>
    <n v="49002"/>
    <n v="49002"/>
    <x v="50"/>
    <x v="0"/>
    <s v="CVAS"/>
    <x v="0"/>
    <x v="0"/>
    <s v="Light Hard"/>
    <s v="Light"/>
    <s v="Light Hard"/>
    <s v="Yiam Uno S.L."/>
    <s v="ACTIVE"/>
    <s v="YES"/>
    <n v="33667"/>
    <s v="Sexo Casero"/>
    <s v="NIVEL 11 (3 E)"/>
    <n v="11"/>
    <s v="PPD"/>
    <n v="1"/>
    <n v="3"/>
    <n v="0.3"/>
    <n v="0.7"/>
    <m/>
    <m/>
    <s v=""/>
  </r>
  <r>
    <n v="30710"/>
    <m/>
    <n v="153"/>
    <n v="27"/>
    <n v="15327"/>
    <x v="51"/>
    <x v="38"/>
    <s v="CVAS"/>
    <x v="3"/>
    <x v="3"/>
    <s v=""/>
    <s v="Games"/>
    <s v=""/>
    <s v="EA"/>
    <s v="ACTIVE"/>
    <s v="YES"/>
    <n v="33905"/>
    <s v="Susc Sem EA 0,99e"/>
    <s v="NIVEL 54 (0.99 Euros)"/>
    <n v="54"/>
    <s v="Weekly subscription"/>
    <n v="908"/>
    <n v="0.99"/>
    <n v="0.5"/>
    <n v="0.5"/>
    <m/>
    <m/>
    <s v=""/>
  </r>
  <r>
    <n v="30714"/>
    <m/>
    <m/>
    <s v="X"/>
    <s v="X"/>
    <x v="52"/>
    <x v="39"/>
    <s v="CVAS"/>
    <x v="3"/>
    <x v="3"/>
    <s v=""/>
    <s v="Games"/>
    <s v=""/>
    <s v="EA"/>
    <s v="ACTIVE"/>
    <s v="YES"/>
    <n v="33907"/>
    <s v="TP Seman EA 0,99e"/>
    <s v="NIVEL 54 (0.99 Euros)"/>
    <n v="54"/>
    <s v="Weekly subscription"/>
    <n v="908"/>
    <n v="0.99"/>
    <n v="0.5"/>
    <n v="0.5"/>
    <m/>
    <m/>
    <s v=""/>
  </r>
  <r>
    <n v="30791"/>
    <m/>
    <n v="243"/>
    <n v="24302"/>
    <n v="24302"/>
    <x v="26"/>
    <x v="0"/>
    <s v="CVAS"/>
    <x v="0"/>
    <x v="0"/>
    <s v="Light Hard"/>
    <s v="Light"/>
    <s v="Light Hard"/>
    <s v="PSM"/>
    <s v="ACTIVE"/>
    <s v="YES"/>
    <n v="33965"/>
    <s v="Aficionados Españoles"/>
    <s v="NIVEL 11 (3 E)"/>
    <n v="11"/>
    <s v="PPD"/>
    <n v="1"/>
    <n v="3"/>
    <n v="0.3"/>
    <n v="0.7"/>
    <m/>
    <m/>
    <s v=""/>
  </r>
  <r>
    <n v="30880"/>
    <m/>
    <n v="294"/>
    <n v="29402"/>
    <n v="29402"/>
    <x v="53"/>
    <x v="40"/>
    <s v="CVAS"/>
    <x v="3"/>
    <x v="3"/>
    <s v=""/>
    <s v="Games"/>
    <s v=""/>
    <s v="Mobiground"/>
    <s v="ACTIVE"/>
    <s v="YES"/>
    <n v="34085"/>
    <s v="Susc Real Network"/>
    <s v="NIVEL 11 (3 E)"/>
    <n v="11"/>
    <s v="Monthly subscription"/>
    <n v="25"/>
    <n v="3"/>
    <n v="0.5"/>
    <n v="0.5"/>
    <m/>
    <m/>
    <s v=""/>
  </r>
  <r>
    <n v="31036"/>
    <m/>
    <n v="474"/>
    <n v="47401"/>
    <n v="47401"/>
    <x v="54"/>
    <x v="41"/>
    <s v="CVAS"/>
    <x v="3"/>
    <x v="3"/>
    <s v=""/>
    <s v="Games"/>
    <s v=""/>
    <s v="Mobiground"/>
    <s v="ACTIVE"/>
    <s v="YES"/>
    <n v="34267"/>
    <s v="Susc Sem Play2Me"/>
    <s v="NIVEL 54 (0.99 Euros)"/>
    <n v="54"/>
    <s v="Weekly subscription"/>
    <n v="908"/>
    <n v="0.99"/>
    <n v="0.5"/>
    <n v="0.5"/>
    <m/>
    <m/>
    <s v=""/>
  </r>
  <r>
    <n v="31039"/>
    <m/>
    <n v="342"/>
    <n v="34204"/>
    <n v="34204"/>
    <x v="55"/>
    <x v="42"/>
    <s v="CVAS"/>
    <x v="3"/>
    <x v="3"/>
    <s v=""/>
    <s v="Games"/>
    <s v=""/>
    <s v="Mobiground"/>
    <s v="ACTIVE"/>
    <s v="YES"/>
    <n v="34268"/>
    <s v="Play2me"/>
    <s v="NIVEL 60 (3.99 Euros)"/>
    <n v="60"/>
    <s v="PPD"/>
    <n v="1"/>
    <n v="3.99"/>
    <n v="0.5"/>
    <n v="0.5"/>
    <m/>
    <m/>
    <s v=""/>
  </r>
  <r>
    <n v="31041"/>
    <m/>
    <n v="342"/>
    <n v="34203"/>
    <n v="34203"/>
    <x v="56"/>
    <x v="43"/>
    <s v="CVAS"/>
    <x v="3"/>
    <x v="3"/>
    <s v=""/>
    <s v="Games"/>
    <s v=""/>
    <s v="Mobiground"/>
    <s v="ACTIVE"/>
    <s v="YES"/>
    <n v="34269"/>
    <s v="Juegos P2M 2,99"/>
    <s v="NIVEL 58 (2.99 Euros)"/>
    <n v="58"/>
    <s v="PPD"/>
    <n v="1"/>
    <n v="2.99"/>
    <n v="0.5"/>
    <n v="0.5"/>
    <m/>
    <m/>
    <s v=""/>
  </r>
  <r>
    <n v="31043"/>
    <m/>
    <n v="342"/>
    <n v="34202"/>
    <n v="34202"/>
    <x v="57"/>
    <x v="44"/>
    <s v="CVAS"/>
    <x v="3"/>
    <x v="3"/>
    <s v=""/>
    <s v="Games"/>
    <s v=""/>
    <s v="Mobiground"/>
    <s v="ACTIVE"/>
    <s v="YES"/>
    <n v="34270"/>
    <s v="Juegos P2M 1,99"/>
    <s v="NIVEL 56 (1.99 Euros)"/>
    <n v="56"/>
    <s v="PPD"/>
    <n v="1"/>
    <n v="1.99"/>
    <n v="0.5"/>
    <n v="0.5"/>
    <m/>
    <m/>
    <s v=""/>
  </r>
  <r>
    <n v="31048"/>
    <m/>
    <n v="383"/>
    <n v="38301"/>
    <n v="38301"/>
    <x v="58"/>
    <x v="45"/>
    <s v="CVAS"/>
    <x v="0"/>
    <x v="0"/>
    <s v="Light Hard"/>
    <s v="Light"/>
    <s v="Light Hard"/>
    <s v="Thagson"/>
    <s v="ACTIVE"/>
    <s v="YES"/>
    <n v="34284"/>
    <s v="La Calle del Sexo"/>
    <s v="NIVEL 58 (2.99 Euros)"/>
    <n v="58"/>
    <s v="Weekly subscription"/>
    <n v="908"/>
    <n v="2.99"/>
    <n v="0.3"/>
    <n v="0.7"/>
    <m/>
    <m/>
    <s v=""/>
  </r>
  <r>
    <n v="31150"/>
    <m/>
    <n v="213"/>
    <n v="70"/>
    <n v="21370"/>
    <x v="59"/>
    <x v="46"/>
    <s v="CVAS"/>
    <x v="3"/>
    <x v="3"/>
    <s v=""/>
    <s v="Games"/>
    <s v=""/>
    <s v="Gameloft"/>
    <s v="ACTIVE"/>
    <s v="YES"/>
    <n v="34385"/>
    <s v="Juegos 2,99 euros"/>
    <s v="NIVEL 58 (2.99 Euros)"/>
    <n v="58"/>
    <s v="PPD"/>
    <n v="1"/>
    <n v="2.99"/>
    <n v="0.5"/>
    <n v="0.5"/>
    <m/>
    <m/>
    <s v=""/>
  </r>
  <r>
    <n v="31192"/>
    <m/>
    <n v="367"/>
    <n v="36701"/>
    <n v="36701"/>
    <x v="60"/>
    <x v="47"/>
    <s v="CVAS"/>
    <x v="1"/>
    <x v="1"/>
    <s v=""/>
    <s v="Others"/>
    <s v="Images"/>
    <s v="AirTouch New Media SL"/>
    <s v="ACTIVE"/>
    <s v="YES"/>
    <n v="34424"/>
    <s v="Tf Plana Videos "/>
    <s v="NIVEL 56 (1.99 Euros)"/>
    <n v="56"/>
    <s v="Weekly subscription"/>
    <n v="908"/>
    <n v="1.99"/>
    <n v="0.4"/>
    <n v="0.6"/>
    <m/>
    <m/>
    <s v=""/>
  </r>
  <r>
    <n v="31208"/>
    <m/>
    <n v="425"/>
    <n v="42501"/>
    <n v="42501"/>
    <x v="47"/>
    <x v="0"/>
    <s v="CVAS"/>
    <x v="4"/>
    <x v="4"/>
    <s v=""/>
    <s v="Music"/>
    <s v=""/>
    <s v="Mister-i"/>
    <s v="INACTIVE"/>
    <s v="YES"/>
    <n v="34444"/>
    <s v="Chat Musica"/>
    <s v="NIVEL 54 (0.99 Euros)"/>
    <n v="54"/>
    <s v="Weekly subscription"/>
    <n v="908"/>
    <n v="0.99"/>
    <n v="0.4"/>
    <n v="0.6"/>
    <m/>
    <m/>
    <s v=""/>
  </r>
  <r>
    <n v="31272"/>
    <m/>
    <n v="240"/>
    <n v="98"/>
    <n v="98"/>
    <x v="29"/>
    <x v="0"/>
    <s v="CVAS"/>
    <x v="0"/>
    <x v="0"/>
    <s v="Light Hard"/>
    <s v="Light"/>
    <s v="Light Hard"/>
    <s v="Buongiorno"/>
    <s v="ACTIVE"/>
    <s v="YES"/>
    <n v="34506"/>
    <s v="Xvideos Club"/>
    <s v="NIVEL 20 (10 E)"/>
    <n v="20"/>
    <s v="Monthly subscription"/>
    <n v="25"/>
    <n v="10"/>
    <n v="0.3"/>
    <n v="0.7"/>
    <m/>
    <m/>
    <s v=""/>
  </r>
  <r>
    <n v="31368"/>
    <m/>
    <n v="446"/>
    <n v="44601"/>
    <n v="44601"/>
    <x v="61"/>
    <x v="0"/>
    <s v="CVAS"/>
    <x v="4"/>
    <x v="4"/>
    <s v=""/>
    <s v="Music"/>
    <s v=""/>
    <s v="Gigigo"/>
    <s v="ACTIVE"/>
    <s v="YES"/>
    <n v="34624"/>
    <s v="Musica x Paises"/>
    <s v="NIVEL 54 (0.99 Euros)"/>
    <n v="54"/>
    <s v="Weekly subscription"/>
    <n v="908"/>
    <n v="0.99"/>
    <n v="0.7"/>
    <n v="0.3"/>
    <m/>
    <m/>
    <s v=""/>
  </r>
  <r>
    <n v="31370"/>
    <m/>
    <n v="436"/>
    <n v="43601"/>
    <n v="43601"/>
    <x v="62"/>
    <x v="0"/>
    <s v="CVAS"/>
    <x v="4"/>
    <x v="4"/>
    <s v=""/>
    <s v="Music"/>
    <s v=""/>
    <s v="Gigigo"/>
    <s v="ACTIVE"/>
    <s v="YES"/>
    <n v="34625"/>
    <s v="Bandas Sonoras"/>
    <s v="NIVEL 54 (0.99 Euros)"/>
    <n v="54"/>
    <s v="Weekly subscription"/>
    <n v="908"/>
    <n v="0.99"/>
    <n v="0.6"/>
    <n v="0.4"/>
    <m/>
    <m/>
    <s v=""/>
  </r>
  <r>
    <n v="31548"/>
    <m/>
    <n v="378"/>
    <n v="37803"/>
    <n v="37803"/>
    <x v="26"/>
    <x v="0"/>
    <s v="CVAS"/>
    <x v="0"/>
    <x v="0"/>
    <s v="Light Hard"/>
    <s v="Light"/>
    <s v="Light Hard"/>
    <s v="G-Mobile Content"/>
    <s v="ACTIVE"/>
    <s v="YES"/>
    <n v="34784"/>
    <s v="GayMobile+18"/>
    <s v="NIVEL 9 (2 E)"/>
    <n v="9"/>
    <s v="PPD"/>
    <n v="1"/>
    <n v="2"/>
    <n v="0.3"/>
    <n v="0.7"/>
    <m/>
    <m/>
    <s v=""/>
  </r>
  <r>
    <n v="31550"/>
    <m/>
    <n v="378"/>
    <n v="37802"/>
    <n v="37802"/>
    <x v="26"/>
    <x v="0"/>
    <s v="CVAS"/>
    <x v="0"/>
    <x v="0"/>
    <s v="Light Hard"/>
    <s v="Light"/>
    <s v="Light Hard"/>
    <s v="G-Mobile Content"/>
    <s v="ACTIVE"/>
    <s v="YES"/>
    <n v="34785"/>
    <s v="GayMobile+18"/>
    <s v="NIVEL 11 (3 E)"/>
    <n v="11"/>
    <s v="PPD"/>
    <n v="1"/>
    <n v="3"/>
    <n v="0.3"/>
    <n v="0.7"/>
    <m/>
    <m/>
    <s v=""/>
  </r>
  <r>
    <n v="31568"/>
    <m/>
    <n v="502"/>
    <n v="50202"/>
    <n v="50202"/>
    <x v="47"/>
    <x v="0"/>
    <s v="CVAS"/>
    <x v="0"/>
    <x v="0"/>
    <s v="Light Hard"/>
    <s v="Light"/>
    <s v="Light Hard"/>
    <s v="Yiam Uno S.L."/>
    <s v="ACTIVE"/>
    <s v="YES"/>
    <n v="34787"/>
    <s v="Digital Sin"/>
    <s v="NIVEL 58 (2.99 Euros)"/>
    <n v="58"/>
    <s v="Weekly subscription"/>
    <n v="908"/>
    <n v="2.99"/>
    <n v="0.3"/>
    <n v="0.7"/>
    <m/>
    <m/>
    <s v=""/>
  </r>
  <r>
    <n v="31570"/>
    <m/>
    <n v="509"/>
    <n v="50901"/>
    <n v="50901"/>
    <x v="47"/>
    <x v="0"/>
    <s v="CVAS"/>
    <x v="0"/>
    <x v="0"/>
    <s v="Light Hard"/>
    <s v="Light"/>
    <s v="Light Hard"/>
    <s v="Yiam Uno S.L."/>
    <s v="INACTIVE"/>
    <s v="YES"/>
    <n v="34788"/>
    <s v="Wicked"/>
    <s v="NIVEL 58 (2.99 Euros)"/>
    <n v="58"/>
    <s v="Weekly subscription"/>
    <n v="908"/>
    <n v="2.99"/>
    <n v="0.3"/>
    <n v="0.7"/>
    <m/>
    <m/>
    <s v=""/>
  </r>
  <r>
    <n v="31572"/>
    <m/>
    <n v="504"/>
    <n v="50401"/>
    <n v="50401"/>
    <x v="47"/>
    <x v="0"/>
    <s v="CVAS"/>
    <x v="0"/>
    <x v="0"/>
    <s v="Light Hard"/>
    <s v="Light"/>
    <s v="Light Hard"/>
    <s v="Yiam Uno S.L."/>
    <s v="INACTIVE"/>
    <s v="YES"/>
    <n v="34789"/>
    <s v="Nectar"/>
    <s v="NIVEL 58 (2.99 Euros)"/>
    <n v="58"/>
    <s v="Weekly subscription"/>
    <n v="908"/>
    <n v="2.99"/>
    <n v="0.3"/>
    <n v="0.7"/>
    <m/>
    <m/>
    <s v=""/>
  </r>
  <r>
    <n v="31574"/>
    <m/>
    <n v="505"/>
    <n v="50501"/>
    <n v="50501"/>
    <x v="47"/>
    <x v="0"/>
    <s v="CVAS"/>
    <x v="0"/>
    <x v="0"/>
    <s v="Light Hard"/>
    <s v="Light"/>
    <s v="Light Hard"/>
    <s v="Yiam Uno S.L."/>
    <s v="INACTIVE"/>
    <s v="YES"/>
    <n v="34790"/>
    <s v="New Sensations"/>
    <s v="NIVEL 58 (2.99 Euros)"/>
    <n v="58"/>
    <s v="Weekly subscription"/>
    <n v="908"/>
    <n v="2.99"/>
    <n v="0.3"/>
    <n v="0.7"/>
    <m/>
    <m/>
    <s v=""/>
  </r>
  <r>
    <n v="31581"/>
    <m/>
    <n v="378"/>
    <n v="37801"/>
    <n v="37801"/>
    <x v="47"/>
    <x v="0"/>
    <s v="CVAS"/>
    <x v="0"/>
    <x v="0"/>
    <s v="Light Hard"/>
    <s v="Light"/>
    <s v="Light Hard"/>
    <s v="G-Mobile Content"/>
    <s v="ACTIVE"/>
    <s v="YES"/>
    <n v="34786"/>
    <s v="GayMobile+18"/>
    <s v="NIVEL 58 (2.99 Euros)"/>
    <n v="58"/>
    <s v="Weekly subscription"/>
    <n v="908"/>
    <n v="2.99"/>
    <n v="0.3"/>
    <n v="0.7"/>
    <m/>
    <m/>
    <s v=""/>
  </r>
  <r>
    <n v="31608"/>
    <m/>
    <n v="500"/>
    <n v="50001"/>
    <n v="50001"/>
    <x v="47"/>
    <x v="0"/>
    <s v="CVAS"/>
    <x v="0"/>
    <x v="0"/>
    <s v="Light Hard"/>
    <s v="Light"/>
    <s v="Light Hard"/>
    <s v="Yiam Uno S.L."/>
    <s v="INACTIVE"/>
    <s v="YES"/>
    <n v="34804"/>
    <s v="Tera Patrick"/>
    <s v="NIVEL 58 (2.99 Euros)"/>
    <n v="58"/>
    <s v="Weekly subscription"/>
    <n v="908"/>
    <n v="2.99"/>
    <n v="0.3"/>
    <n v="0.7"/>
    <m/>
    <m/>
    <s v=""/>
  </r>
  <r>
    <n v="31610"/>
    <m/>
    <n v="584"/>
    <n v="58401"/>
    <n v="58401"/>
    <x v="47"/>
    <x v="0"/>
    <s v="CVAS"/>
    <x v="0"/>
    <x v="0"/>
    <s v="Light TV"/>
    <s v="Light"/>
    <s v="Light TV"/>
    <s v="Addictive Entertainment"/>
    <s v="ACTIVE"/>
    <s v="YES"/>
    <n v="34805"/>
    <s v="Passion HD"/>
    <s v="NIVEL 58 (2.99 Euros)"/>
    <n v="58"/>
    <s v="Weekly subscription"/>
    <n v="908"/>
    <n v="2.99"/>
    <n v="0.3"/>
    <n v="0.7"/>
    <m/>
    <m/>
    <s v=""/>
  </r>
  <r>
    <n v="31612"/>
    <m/>
    <n v="585"/>
    <n v="58501"/>
    <n v="58501"/>
    <x v="47"/>
    <x v="0"/>
    <s v="CVAS"/>
    <x v="0"/>
    <x v="0"/>
    <s v="Light TV"/>
    <s v="Light"/>
    <s v="Light TV"/>
    <s v="Claxson . Contribution"/>
    <s v="INACTIVE"/>
    <s v="YES"/>
    <n v="34806"/>
    <s v="Canal Penthouse"/>
    <s v="NIVEL 58 (2.99 Euros)"/>
    <n v="58"/>
    <s v="Weekly subscription"/>
    <n v="908"/>
    <n v="2.99"/>
    <n v="0.3"/>
    <n v="0.7"/>
    <m/>
    <m/>
    <s v=""/>
  </r>
  <r>
    <n v="31688"/>
    <m/>
    <n v="359"/>
    <n v="35901"/>
    <n v="35901"/>
    <x v="63"/>
    <x v="48"/>
    <s v="CVAS"/>
    <x v="1"/>
    <x v="1"/>
    <s v=""/>
    <s v="Others"/>
    <s v="Images"/>
    <s v="AirTouch New Media SL"/>
    <s v="ACTIVE"/>
    <s v="YES"/>
    <n v="34884"/>
    <s v="Temas Movistar"/>
    <s v="NIVEL 56 (1.99 Euros)"/>
    <n v="56"/>
    <s v="PPD"/>
    <n v="1"/>
    <n v="1.99"/>
    <n v="0.4"/>
    <n v="0.6"/>
    <m/>
    <m/>
    <s v=""/>
  </r>
  <r>
    <n v="31690"/>
    <m/>
    <n v="368"/>
    <n v="36801"/>
    <n v="36801"/>
    <x v="64"/>
    <x v="49"/>
    <s v="CVAS"/>
    <x v="1"/>
    <x v="1"/>
    <s v=""/>
    <s v="Others"/>
    <s v="Images"/>
    <s v="AirTouch New Media SL"/>
    <s v="ACTIVE"/>
    <s v="YES"/>
    <n v="34885"/>
    <s v="TP Fondos Semanal"/>
    <s v="NIVEL 54 (0.99 Euros)"/>
    <n v="54"/>
    <s v="Weekly subscription"/>
    <n v="908"/>
    <n v="0.99"/>
    <n v="0.4"/>
    <n v="0.6"/>
    <m/>
    <m/>
    <s v=""/>
  </r>
  <r>
    <n v="31788"/>
    <m/>
    <n v="220"/>
    <n v="78"/>
    <n v="78"/>
    <x v="29"/>
    <x v="0"/>
    <s v="CVAS"/>
    <x v="0"/>
    <x v="0"/>
    <s v="Light Soft"/>
    <s v="Light"/>
    <s v="Light Soft"/>
    <s v="Buongiorno"/>
    <s v="ACTIVE"/>
    <s v="YES"/>
    <n v="34964"/>
    <s v="Fashion TV"/>
    <s v="NIVEL 12 (5 E)"/>
    <n v="12"/>
    <s v="Monthly subscription"/>
    <n v="25"/>
    <n v="5"/>
    <n v="0.3"/>
    <n v="0.7"/>
    <m/>
    <m/>
    <s v=""/>
  </r>
  <r>
    <n v="31792"/>
    <m/>
    <n v="246"/>
    <n v="24601"/>
    <n v="24601"/>
    <x v="65"/>
    <x v="0"/>
    <s v="CVAS"/>
    <x v="0"/>
    <x v="0"/>
    <s v="Light Hard"/>
    <s v="Light"/>
    <s v="Light Soft"/>
    <s v="PSM"/>
    <s v="INACTIVE"/>
    <s v="YES"/>
    <n v="34967"/>
    <s v="Divinas Mamas"/>
    <s v="NIVEL 58 (2.99 Euros)"/>
    <n v="58"/>
    <s v="Weekly subscription"/>
    <n v="908"/>
    <n v="2.99"/>
    <n v="0.3"/>
    <n v="0.7"/>
    <m/>
    <m/>
    <s v=""/>
  </r>
  <r>
    <n v="31794"/>
    <m/>
    <n v="243"/>
    <n v="24301"/>
    <n v="24301"/>
    <x v="47"/>
    <x v="0"/>
    <s v="CVAS"/>
    <x v="0"/>
    <x v="0"/>
    <s v="Light Soft"/>
    <s v="Light"/>
    <s v="Light Soft"/>
    <s v="PSM"/>
    <s v="INACTIVE"/>
    <s v="YES"/>
    <n v="34984"/>
    <s v="Aficionados Españoles"/>
    <s v="NIVEL 58 (2.99 Euros)"/>
    <n v="58"/>
    <s v="Weekly subscription"/>
    <n v="908"/>
    <n v="2.99"/>
    <n v="0.3"/>
    <n v="0.7"/>
    <m/>
    <m/>
    <s v=""/>
  </r>
  <r>
    <n v="31796"/>
    <m/>
    <n v="245"/>
    <n v="24501"/>
    <n v="24501"/>
    <x v="47"/>
    <x v="0"/>
    <s v="CVAS"/>
    <x v="0"/>
    <x v="0"/>
    <s v="Light Soft"/>
    <s v="Light"/>
    <s v="Light Soft"/>
    <s v="PSM"/>
    <s v="INACTIVE"/>
    <s v="YES"/>
    <n v="34985"/>
    <s v="Corridas"/>
    <s v="NIVEL 58 (2.99 Euros)"/>
    <n v="58"/>
    <s v="Weekly subscription"/>
    <n v="908"/>
    <n v="2.99"/>
    <n v="0.3"/>
    <n v="0.7"/>
    <m/>
    <m/>
    <s v=""/>
  </r>
  <r>
    <n v="31798"/>
    <m/>
    <n v="248"/>
    <n v="24801"/>
    <n v="24801"/>
    <x v="47"/>
    <x v="0"/>
    <s v="CVAS"/>
    <x v="0"/>
    <x v="0"/>
    <s v="Light Hard"/>
    <s v="Light"/>
    <s v="Light Hard"/>
    <s v="PSM"/>
    <s v="INACTIVE"/>
    <s v="YES"/>
    <n v="34986"/>
    <s v="Grandes Pollas"/>
    <s v="NIVEL 58 (2.99 Euros)"/>
    <n v="58"/>
    <s v="Weekly subscription"/>
    <n v="908"/>
    <n v="2.99"/>
    <n v="0.3"/>
    <n v="0.7"/>
    <m/>
    <m/>
    <s v=""/>
  </r>
  <r>
    <n v="31800"/>
    <m/>
    <n v="344"/>
    <n v="34401"/>
    <n v="34401"/>
    <x v="47"/>
    <x v="0"/>
    <s v="CVAS"/>
    <x v="0"/>
    <x v="0"/>
    <s v="Light Hard"/>
    <s v="Light"/>
    <s v="Light Hard"/>
    <s v="PSM"/>
    <s v="INACTIVE"/>
    <s v="YES"/>
    <n v="34987"/>
    <s v="Hardcore"/>
    <s v="NIVEL 58 (2.99 Euros)"/>
    <n v="58"/>
    <s v="Weekly subscription"/>
    <n v="908"/>
    <n v="2.99"/>
    <n v="0.3"/>
    <n v="0.7"/>
    <m/>
    <m/>
    <s v=""/>
  </r>
  <r>
    <n v="31802"/>
    <m/>
    <n v="249"/>
    <n v="24901"/>
    <n v="24901"/>
    <x v="47"/>
    <x v="0"/>
    <s v="CVAS"/>
    <x v="0"/>
    <x v="0"/>
    <s v="Light Soft"/>
    <s v="Light"/>
    <s v="Light Soft"/>
    <s v="PSM"/>
    <s v="INACTIVE"/>
    <s v="YES"/>
    <n v="34988"/>
    <s v="Hentai"/>
    <s v="NIVEL 58 (2.99 Euros)"/>
    <n v="58"/>
    <s v="Weekly subscription"/>
    <n v="908"/>
    <n v="2.99"/>
    <n v="0.3"/>
    <n v="0.7"/>
    <m/>
    <m/>
    <s v=""/>
  </r>
  <r>
    <n v="31804"/>
    <m/>
    <n v="247"/>
    <n v="24701"/>
    <n v="24701"/>
    <x v="47"/>
    <x v="0"/>
    <s v="CVAS"/>
    <x v="0"/>
    <x v="0"/>
    <s v="Light Soft"/>
    <s v="Light"/>
    <s v="Light Soft"/>
    <s v="PSM"/>
    <s v="INACTIVE"/>
    <s v="YES"/>
    <n v="34989"/>
    <s v="En Familia"/>
    <s v="NIVEL 58 (2.99 Euros)"/>
    <n v="58"/>
    <s v="Weekly subscription"/>
    <n v="908"/>
    <n v="2.99"/>
    <n v="0.3"/>
    <n v="0.7"/>
    <m/>
    <m/>
    <s v=""/>
  </r>
  <r>
    <n v="31806"/>
    <m/>
    <n v="250"/>
    <n v="25001"/>
    <n v="25001"/>
    <x v="47"/>
    <x v="0"/>
    <s v="CVAS"/>
    <x v="0"/>
    <x v="0"/>
    <s v="Light Soft"/>
    <s v="Light"/>
    <s v="Light Soft"/>
    <s v="PSM"/>
    <s v="INACTIVE"/>
    <s v="YES"/>
    <n v="34990"/>
    <s v="Lesbianas"/>
    <s v="NIVEL 58 (2.99 Euros)"/>
    <n v="58"/>
    <s v="Weekly subscription"/>
    <n v="908"/>
    <n v="2.99"/>
    <n v="0.3"/>
    <n v="0.7"/>
    <m/>
    <m/>
    <s v=""/>
  </r>
  <r>
    <n v="31808"/>
    <m/>
    <n v="244"/>
    <n v="24401"/>
    <n v="24401"/>
    <x v="47"/>
    <x v="0"/>
    <s v="CVAS"/>
    <x v="0"/>
    <x v="0"/>
    <s v="Light Hard"/>
    <s v="Light"/>
    <s v="Light Hard"/>
    <s v="PSM"/>
    <s v="INACTIVE"/>
    <s v="YES"/>
    <n v="34991"/>
    <s v="Cochinas Latinas"/>
    <s v="NIVEL 58 (2.99 Euros)"/>
    <n v="58"/>
    <s v="Weekly subscription"/>
    <n v="908"/>
    <n v="2.99"/>
    <n v="0.3"/>
    <n v="0.7"/>
    <m/>
    <m/>
    <s v=""/>
  </r>
  <r>
    <n v="31810"/>
    <m/>
    <n v="346"/>
    <n v="34601"/>
    <n v="34601"/>
    <x v="47"/>
    <x v="0"/>
    <s v="CVAS"/>
    <x v="0"/>
    <x v="0"/>
    <s v="Light Hard"/>
    <s v="Light"/>
    <s v="Light Hard"/>
    <s v="PSM"/>
    <s v="INACTIVE"/>
    <s v="YES"/>
    <n v="34992"/>
    <s v="Abuelos Cachondos"/>
    <s v="NIVEL 58 (2.99 Euros)"/>
    <n v="58"/>
    <s v="Weekly subscription"/>
    <n v="908"/>
    <n v="2.99"/>
    <n v="0.3"/>
    <n v="0.7"/>
    <m/>
    <m/>
    <s v=""/>
  </r>
  <r>
    <n v="31812"/>
    <m/>
    <n v="251"/>
    <n v="25101"/>
    <n v="25101"/>
    <x v="47"/>
    <x v="0"/>
    <s v="CVAS"/>
    <x v="0"/>
    <x v="0"/>
    <s v="Light Soft"/>
    <s v="Light"/>
    <s v="Light Soft"/>
    <s v="PSM"/>
    <s v="INACTIVE"/>
    <s v="YES"/>
    <n v="34993"/>
    <s v="Porno Profesional"/>
    <s v="NIVEL 58 (2.99 Euros)"/>
    <n v="58"/>
    <s v="Weekly subscription"/>
    <n v="908"/>
    <n v="2.99"/>
    <n v="0.3"/>
    <n v="0.7"/>
    <m/>
    <m/>
    <s v=""/>
  </r>
  <r>
    <n v="31868"/>
    <m/>
    <n v="493"/>
    <n v="49301"/>
    <n v="49301"/>
    <x v="47"/>
    <x v="0"/>
    <s v="CVAS"/>
    <x v="0"/>
    <x v="0"/>
    <s v="Light Soft"/>
    <s v="Light"/>
    <s v="Light Soft"/>
    <s v="Yiam Uno S.L."/>
    <s v="INACTIVE"/>
    <s v="YES"/>
    <n v="35010"/>
    <s v="Sexo Oriental"/>
    <s v="NIVEL 58 (2.99 Euros)"/>
    <n v="58"/>
    <s v="Weekly subscription"/>
    <n v="908"/>
    <n v="2.99"/>
    <n v="0.3"/>
    <n v="0.7"/>
    <m/>
    <m/>
    <s v=""/>
  </r>
  <r>
    <n v="31872"/>
    <m/>
    <n v="488"/>
    <n v="48801"/>
    <n v="48801"/>
    <x v="47"/>
    <x v="0"/>
    <s v="CVAS"/>
    <x v="0"/>
    <x v="0"/>
    <s v="Light Hard"/>
    <s v="Light"/>
    <s v="Light Hard"/>
    <s v="Yiam Uno S.L."/>
    <s v="INACTIVE"/>
    <s v="YES"/>
    <n v="35012"/>
    <s v="Por Culo"/>
    <s v="NIVEL 58 (2.99 Euros)"/>
    <n v="58"/>
    <s v="Weekly subscription"/>
    <n v="908"/>
    <n v="2.99"/>
    <n v="0.3"/>
    <n v="0.7"/>
    <m/>
    <m/>
    <s v=""/>
  </r>
  <r>
    <n v="31874"/>
    <m/>
    <n v="479"/>
    <n v="47901"/>
    <n v="47901"/>
    <x v="47"/>
    <x v="0"/>
    <s v="CVAS"/>
    <x v="0"/>
    <x v="0"/>
    <s v="Light Hard"/>
    <s v="Light"/>
    <s v="Light Soft"/>
    <s v="Yiam Uno S.L."/>
    <s v="INACTIVE"/>
    <s v="YES"/>
    <n v="35013"/>
    <s v="Enfermeras"/>
    <s v="NIVEL 58 (2.99 Euros)"/>
    <n v="58"/>
    <s v="Weekly subscription"/>
    <n v="908"/>
    <n v="2.99"/>
    <n v="0.3"/>
    <n v="0.7"/>
    <m/>
    <m/>
    <s v=""/>
  </r>
  <r>
    <n v="31876"/>
    <m/>
    <n v="482"/>
    <n v="48202"/>
    <n v="48202"/>
    <x v="47"/>
    <x v="0"/>
    <s v="CVAS"/>
    <x v="0"/>
    <x v="0"/>
    <s v="Light Soft"/>
    <s v="Light"/>
    <s v="Light Soft"/>
    <s v="Yiam Uno S.L."/>
    <s v="INACTIVE"/>
    <s v="YES"/>
    <n v="35014"/>
    <s v="Ex Novias"/>
    <s v="NIVEL 58 (2.99 Euros)"/>
    <n v="58"/>
    <s v="Weekly subscription"/>
    <n v="908"/>
    <n v="2.99"/>
    <n v="0.3"/>
    <n v="0.7"/>
    <m/>
    <m/>
    <s v=""/>
  </r>
  <r>
    <n v="31878"/>
    <m/>
    <n v="483"/>
    <n v="48301"/>
    <n v="48301"/>
    <x v="47"/>
    <x v="0"/>
    <s v="CVAS"/>
    <x v="0"/>
    <x v="0"/>
    <s v="Light Soft"/>
    <s v="Light"/>
    <s v="Light Soft"/>
    <s v="Yiam Uno S.L."/>
    <s v="INACTIVE"/>
    <s v="YES"/>
    <n v="35015"/>
    <s v="Gordas"/>
    <s v="NIVEL 58 (2.99 Euros)"/>
    <n v="58"/>
    <s v="Weekly subscription"/>
    <n v="908"/>
    <n v="2.99"/>
    <n v="0.3"/>
    <n v="0.7"/>
    <m/>
    <m/>
    <s v=""/>
  </r>
  <r>
    <n v="31880"/>
    <m/>
    <n v="478"/>
    <n v="47801"/>
    <n v="47801"/>
    <x v="47"/>
    <x v="0"/>
    <s v="CVAS"/>
    <x v="0"/>
    <x v="0"/>
    <s v="Light Soft"/>
    <s v="Light"/>
    <s v="Light Soft"/>
    <s v="Yiam Uno S.L."/>
    <s v="INACTIVE"/>
    <s v="YES"/>
    <n v="35016"/>
    <s v="Club de Intercambios"/>
    <s v="NIVEL 58 (2.99 Euros)"/>
    <n v="58"/>
    <s v="Weekly subscription"/>
    <n v="908"/>
    <n v="2.99"/>
    <n v="0.3"/>
    <n v="0.7"/>
    <m/>
    <m/>
    <s v=""/>
  </r>
  <r>
    <n v="31882"/>
    <m/>
    <n v="484"/>
    <n v="48401"/>
    <n v="48401"/>
    <x v="47"/>
    <x v="0"/>
    <s v="CVAS"/>
    <x v="0"/>
    <x v="0"/>
    <s v="Light Soft"/>
    <s v="Light"/>
    <s v="Light Soft"/>
    <s v="Yiam Uno S.L."/>
    <s v="INACTIVE"/>
    <s v="YES"/>
    <n v="35017"/>
    <s v="Mulatas"/>
    <s v="NIVEL 58 (2.99 Euros)"/>
    <n v="58"/>
    <s v="Weekly subscription"/>
    <n v="908"/>
    <n v="2.99"/>
    <n v="0.3"/>
    <n v="0.7"/>
    <m/>
    <m/>
    <s v=""/>
  </r>
  <r>
    <n v="31884"/>
    <m/>
    <n v="485"/>
    <n v="48501"/>
    <n v="48501"/>
    <x v="47"/>
    <x v="0"/>
    <s v="CVAS"/>
    <x v="0"/>
    <x v="0"/>
    <s v="Light Hard"/>
    <s v="Light"/>
    <s v="Light Hard"/>
    <s v="Yiam Uno S.L."/>
    <s v="INACTIVE"/>
    <s v="YES"/>
    <n v="35018"/>
    <s v="Orgasmos Femeninos"/>
    <s v="NIVEL 58 (2.99 Euros)"/>
    <n v="58"/>
    <s v="Weekly subscription"/>
    <n v="908"/>
    <n v="2.99"/>
    <n v="0.3"/>
    <n v="0.7"/>
    <m/>
    <m/>
    <s v=""/>
  </r>
  <r>
    <n v="31886"/>
    <m/>
    <n v="486"/>
    <n v="48601"/>
    <n v="48601"/>
    <x v="47"/>
    <x v="0"/>
    <s v="CVAS"/>
    <x v="0"/>
    <x v="0"/>
    <s v="Light Hard"/>
    <s v="Light"/>
    <s v="Light Hard"/>
    <s v="Yiam Uno S.L."/>
    <s v="INACTIVE"/>
    <s v="YES"/>
    <n v="35019"/>
    <s v="Orgias"/>
    <s v="NIVEL 58 (2.99 Euros)"/>
    <n v="58"/>
    <s v="Weekly subscription"/>
    <n v="908"/>
    <n v="2.99"/>
    <n v="0.3"/>
    <n v="0.7"/>
    <m/>
    <m/>
    <s v=""/>
  </r>
  <r>
    <n v="31888"/>
    <m/>
    <n v="481"/>
    <n v="48101"/>
    <n v="48101"/>
    <x v="47"/>
    <x v="0"/>
    <s v="CVAS"/>
    <x v="0"/>
    <x v="0"/>
    <s v="Light Soft"/>
    <s v="Light"/>
    <s v="Light Soft"/>
    <s v="Yiam Uno S.L."/>
    <s v="INACTIVE"/>
    <s v="YES"/>
    <n v="35020"/>
    <s v="Especial Coños"/>
    <s v="NIVEL 58 (2.99 Euros)"/>
    <n v="58"/>
    <s v="Weekly subscription"/>
    <n v="908"/>
    <n v="2.99"/>
    <n v="0.3"/>
    <n v="0.7"/>
    <m/>
    <m/>
    <s v=""/>
  </r>
  <r>
    <n v="31890"/>
    <m/>
    <n v="490"/>
    <n v="49001"/>
    <n v="49001"/>
    <x v="47"/>
    <x v="0"/>
    <s v="CVAS"/>
    <x v="0"/>
    <x v="0"/>
    <s v="Light Hard"/>
    <s v="Light"/>
    <s v="Light Hard"/>
    <s v="Yiam Uno S.L."/>
    <s v="ACTIVE"/>
    <s v="YES"/>
    <n v="35021"/>
    <s v="Amateur"/>
    <s v="NIVEL 58 (2.99 Euros)"/>
    <n v="58"/>
    <s v="Weekly subscription"/>
    <n v="908"/>
    <n v="2.99"/>
    <n v="0.3"/>
    <n v="0.7"/>
    <m/>
    <m/>
    <s v=""/>
  </r>
  <r>
    <n v="31892"/>
    <m/>
    <n v="494"/>
    <n v="49401"/>
    <n v="49401"/>
    <x v="47"/>
    <x v="0"/>
    <s v="CVAS"/>
    <x v="0"/>
    <x v="0"/>
    <s v="Light Hard"/>
    <s v="Light"/>
    <s v="Light Hard"/>
    <s v="Yiam Uno S.L."/>
    <s v="INACTIVE"/>
    <s v="YES"/>
    <n v="35022"/>
    <s v="Tetonas"/>
    <s v="NIVEL 58 (2.99 Euros)"/>
    <n v="58"/>
    <s v="Weekly subscription"/>
    <n v="908"/>
    <n v="2.99"/>
    <n v="0.3"/>
    <n v="0.7"/>
    <m/>
    <m/>
    <s v=""/>
  </r>
  <r>
    <n v="31894"/>
    <m/>
    <n v="496"/>
    <n v="49601"/>
    <n v="49601"/>
    <x v="47"/>
    <x v="0"/>
    <s v="CVAS"/>
    <x v="0"/>
    <x v="0"/>
    <s v="Light Soft"/>
    <s v="Light"/>
    <s v="Light Soft"/>
    <s v="Yiam Uno S.L."/>
    <s v="INACTIVE"/>
    <s v="YES"/>
    <n v="35023"/>
    <s v="Travestis"/>
    <s v="NIVEL 58 (2.99 Euros)"/>
    <n v="58"/>
    <s v="Weekly subscription"/>
    <n v="908"/>
    <n v="2.99"/>
    <n v="0.3"/>
    <n v="0.7"/>
    <m/>
    <m/>
    <s v=""/>
  </r>
  <r>
    <n v="31896"/>
    <m/>
    <n v="497"/>
    <n v="49701"/>
    <n v="49701"/>
    <x v="47"/>
    <x v="0"/>
    <s v="CVAS"/>
    <x v="0"/>
    <x v="0"/>
    <s v="Light Soft"/>
    <s v="Light"/>
    <s v="Light Soft"/>
    <s v="Yiam Uno S.L."/>
    <s v="INACTIVE"/>
    <s v="YES"/>
    <n v="35024"/>
    <s v="Tríos"/>
    <s v="NIVEL 58 (2.99 Euros)"/>
    <n v="58"/>
    <s v="Weekly subscription"/>
    <n v="908"/>
    <n v="2.99"/>
    <n v="0.3"/>
    <n v="0.7"/>
    <m/>
    <m/>
    <s v=""/>
  </r>
  <r>
    <n v="31898"/>
    <m/>
    <n v="498"/>
    <n v="49801"/>
    <n v="49801"/>
    <x v="47"/>
    <x v="0"/>
    <s v="CVAS"/>
    <x v="0"/>
    <x v="0"/>
    <s v="Light Hard"/>
    <s v="Light"/>
    <s v="Light Hard"/>
    <s v="Yiam Uno S.L."/>
    <s v="INACTIVE"/>
    <s v="YES"/>
    <n v="35025"/>
    <s v="Universitarias"/>
    <s v="NIVEL 58 (2.99 Euros)"/>
    <n v="58"/>
    <s v="Weekly subscription"/>
    <n v="908"/>
    <n v="2.99"/>
    <n v="0.3"/>
    <n v="0.7"/>
    <m/>
    <m/>
    <s v=""/>
  </r>
  <r>
    <n v="31900"/>
    <m/>
    <n v="492"/>
    <n v="49201"/>
    <n v="49201"/>
    <x v="47"/>
    <x v="0"/>
    <s v="CVAS"/>
    <x v="0"/>
    <x v="0"/>
    <s v="Light Hard"/>
    <s v="Light"/>
    <s v="Light Hard"/>
    <s v="Yiam Uno S.L."/>
    <s v="INACTIVE"/>
    <s v="YES"/>
    <n v="35026"/>
    <s v="Sexo de Lujo"/>
    <s v="NIVEL 58 (2.99 Euros)"/>
    <n v="58"/>
    <s v="Weekly subscription"/>
    <n v="908"/>
    <n v="2.99"/>
    <n v="0.3"/>
    <n v="0.7"/>
    <m/>
    <m/>
    <s v=""/>
  </r>
  <r>
    <n v="31902"/>
    <m/>
    <n v="272"/>
    <n v="27201"/>
    <n v="27201"/>
    <x v="47"/>
    <x v="0"/>
    <s v="CVAS"/>
    <x v="0"/>
    <x v="0"/>
    <s v="Light Hard"/>
    <s v="Light"/>
    <s v="Light Hard"/>
    <s v="Mobiground"/>
    <s v="INACTIVE"/>
    <s v="YES"/>
    <n v="35027"/>
    <s v="Follamigos"/>
    <s v="NIVEL 58 (2.99 Euros)"/>
    <n v="58"/>
    <s v="Weekly subscription"/>
    <n v="908"/>
    <n v="2.99"/>
    <n v="0.3"/>
    <n v="0.7"/>
    <m/>
    <m/>
    <s v=""/>
  </r>
  <r>
    <n v="31906"/>
    <m/>
    <n v="271"/>
    <n v="27101"/>
    <n v="27101"/>
    <x v="47"/>
    <x v="0"/>
    <s v="CVAS"/>
    <x v="0"/>
    <x v="0"/>
    <s v="Light Hard"/>
    <s v="Light"/>
    <s v="Light Hard"/>
    <s v="Mobiground"/>
    <s v="INACTIVE"/>
    <s v="YES"/>
    <n v="35029"/>
    <s v="Casadas"/>
    <s v="NIVEL 58 (2.99 Euros)"/>
    <n v="58"/>
    <s v="Weekly subscription"/>
    <n v="908"/>
    <n v="2.99"/>
    <n v="0.3"/>
    <n v="0.7"/>
    <m/>
    <m/>
    <s v=""/>
  </r>
  <r>
    <n v="31908"/>
    <m/>
    <n v="275"/>
    <n v="27501"/>
    <n v="27501"/>
    <x v="47"/>
    <x v="0"/>
    <s v="CVAS"/>
    <x v="0"/>
    <x v="0"/>
    <s v="Light Soft"/>
    <s v="Light"/>
    <s v="Light Soft"/>
    <s v="Mobiground"/>
    <s v="INACTIVE"/>
    <s v="YES"/>
    <n v="35030"/>
    <s v="Jovencitas"/>
    <s v="NIVEL 58 (2.99 Euros)"/>
    <n v="58"/>
    <s v="Weekly subscription"/>
    <n v="908"/>
    <n v="2.99"/>
    <n v="0.3"/>
    <n v="0.7"/>
    <m/>
    <m/>
    <s v=""/>
  </r>
  <r>
    <n v="31910"/>
    <m/>
    <n v="278"/>
    <n v="27801"/>
    <n v="27801"/>
    <x v="47"/>
    <x v="0"/>
    <s v="CVAS"/>
    <x v="0"/>
    <x v="0"/>
    <s v="Light Soft"/>
    <s v="Light"/>
    <s v="Light Hard"/>
    <s v="Mobiground"/>
    <s v="INACTIVE"/>
    <s v="YES"/>
    <n v="35031"/>
    <s v="Maduras"/>
    <s v="NIVEL 58 (2.99 Euros)"/>
    <n v="58"/>
    <s v="Weekly subscription"/>
    <n v="908"/>
    <n v="2.99"/>
    <n v="0.3"/>
    <n v="0.7"/>
    <m/>
    <m/>
    <s v=""/>
  </r>
  <r>
    <n v="31912"/>
    <m/>
    <n v="279"/>
    <n v="27901"/>
    <n v="27901"/>
    <x v="47"/>
    <x v="0"/>
    <s v="CVAS"/>
    <x v="0"/>
    <x v="0"/>
    <s v="Light Hard"/>
    <s v="Light"/>
    <s v="Light Hard"/>
    <s v="Mobiground"/>
    <s v="INACTIVE"/>
    <s v="YES"/>
    <n v="35032"/>
    <s v="Mamadas"/>
    <s v="NIVEL 58 (2.99 Euros)"/>
    <n v="58"/>
    <s v="Weekly subscription"/>
    <n v="908"/>
    <n v="2.99"/>
    <n v="0.3"/>
    <n v="0.7"/>
    <m/>
    <m/>
    <s v=""/>
  </r>
  <r>
    <n v="31916"/>
    <m/>
    <n v="273"/>
    <n v="27301"/>
    <n v="27301"/>
    <x v="47"/>
    <x v="0"/>
    <s v="CVAS"/>
    <x v="0"/>
    <x v="0"/>
    <s v="Light Hard"/>
    <s v="Light"/>
    <s v="Light Hard"/>
    <s v="Mobiground"/>
    <s v="INACTIVE"/>
    <s v="YES"/>
    <n v="35034"/>
    <s v="Gay"/>
    <s v="NIVEL 58 (2.99 Euros)"/>
    <n v="58"/>
    <s v="Weekly subscription"/>
    <n v="908"/>
    <n v="2.99"/>
    <n v="0.3"/>
    <n v="0.7"/>
    <m/>
    <m/>
    <s v=""/>
  </r>
  <r>
    <n v="31918"/>
    <m/>
    <n v="274"/>
    <n v="27401"/>
    <n v="27401"/>
    <x v="47"/>
    <x v="0"/>
    <s v="CVAS"/>
    <x v="0"/>
    <x v="0"/>
    <s v="Light Hard"/>
    <s v="Light"/>
    <s v="Light Hard"/>
    <s v="Mobiground"/>
    <s v="INACTIVE"/>
    <s v="YES"/>
    <n v="35035"/>
    <s v="PornStars"/>
    <s v="NIVEL 58 (2.99 Euros)"/>
    <n v="58"/>
    <s v="Weekly subscription"/>
    <n v="908"/>
    <n v="2.99"/>
    <n v="0.3"/>
    <n v="0.7"/>
    <m/>
    <m/>
    <s v=""/>
  </r>
  <r>
    <n v="32053"/>
    <m/>
    <m/>
    <m/>
    <m/>
    <x v="66"/>
    <x v="50"/>
    <s v="CVAS"/>
    <x v="0"/>
    <x v="0"/>
    <m/>
    <s v="Others"/>
    <m/>
    <s v="Buongiorno"/>
    <s v="INACTIVE"/>
    <s v="YES"/>
    <m/>
    <s v="Worldsex"/>
    <m/>
    <m/>
    <s v="Weekly subscription"/>
    <m/>
    <m/>
    <m/>
    <m/>
    <m/>
    <m/>
    <m/>
  </r>
  <r>
    <n v="32067"/>
    <m/>
    <n v="221"/>
    <n v="79"/>
    <n v="79"/>
    <x v="47"/>
    <x v="0"/>
    <s v="CVAS"/>
    <x v="5"/>
    <x v="2"/>
    <s v=""/>
    <s v="Others"/>
    <s v="Free Time"/>
    <s v="Buongiorno"/>
    <s v="ACTIVE"/>
    <s v="YES"/>
    <n v="34964"/>
    <s v="Fashion TV"/>
    <s v="NIVEL 56 (1.99 Euros)"/>
    <n v="56"/>
    <s v="Weekly subscription"/>
    <n v="908"/>
    <n v="1.99"/>
    <n v="0.6"/>
    <n v="0.4"/>
    <m/>
    <m/>
    <s v=""/>
  </r>
  <r>
    <n v="32487"/>
    <m/>
    <n v="606"/>
    <n v="60602"/>
    <n v="60602"/>
    <x v="67"/>
    <x v="0"/>
    <s v="CVAS"/>
    <x v="0"/>
    <x v="0"/>
    <s v="Light Hard"/>
    <s v="Light"/>
    <s v="Light Hard"/>
    <s v="Waat Media"/>
    <s v="ACTIVE"/>
    <s v="YES"/>
    <n v="31044"/>
    <s v="Tu Porno"/>
    <s v="NIVEL 58 (2.99 Euros)"/>
    <n v="58"/>
    <s v="Weekly subscription"/>
    <n v="908"/>
    <n v="2.99"/>
    <n v="0.3"/>
    <n v="0.7"/>
    <m/>
    <m/>
    <s v=""/>
  </r>
  <r>
    <n v="32668"/>
    <m/>
    <n v="476"/>
    <n v="47603"/>
    <n v="47603"/>
    <x v="68"/>
    <x v="51"/>
    <s v="CVAS"/>
    <x v="3"/>
    <x v="3"/>
    <s v=""/>
    <s v="Games"/>
    <s v=""/>
    <s v="Connect2media"/>
    <s v="ACTIVE"/>
    <s v="YES"/>
    <n v="35704"/>
    <s v="Descarga 0,99 eur"/>
    <s v="NIVEL 54 (0.99 Euros)"/>
    <n v="54"/>
    <s v="PPD"/>
    <n v="1"/>
    <n v="0.99"/>
    <n v="0.5"/>
    <n v="0.5"/>
    <m/>
    <m/>
    <s v=""/>
  </r>
  <r>
    <n v="32670"/>
    <m/>
    <n v="476"/>
    <n v="47604"/>
    <n v="47604"/>
    <x v="69"/>
    <x v="52"/>
    <s v="CVAS"/>
    <x v="3"/>
    <x v="3"/>
    <s v=""/>
    <s v="Games"/>
    <s v=""/>
    <s v="Connect2media"/>
    <s v="ACTIVE"/>
    <s v="YES"/>
    <n v="35705"/>
    <s v="Descarga 1,49 eur"/>
    <s v="NIVEL 55 (1.49 Euros)"/>
    <n v="55"/>
    <s v="PPD"/>
    <n v="1"/>
    <n v="1.49"/>
    <n v="0.5"/>
    <n v="0.5"/>
    <m/>
    <m/>
    <s v=""/>
  </r>
  <r>
    <n v="32672"/>
    <m/>
    <n v="476"/>
    <n v="47605"/>
    <n v="47605"/>
    <x v="70"/>
    <x v="53"/>
    <s v="CVAS"/>
    <x v="3"/>
    <x v="3"/>
    <s v=""/>
    <s v="Games"/>
    <s v=""/>
    <s v="Connect2media"/>
    <s v="ACTIVE"/>
    <s v="YES"/>
    <n v="35706"/>
    <s v="Descarga 1,99 eur"/>
    <s v="NIVEL 56 (1.99 Euros)"/>
    <n v="56"/>
    <s v="PPD"/>
    <n v="1"/>
    <n v="1.99"/>
    <n v="0.5"/>
    <n v="0.5"/>
    <m/>
    <m/>
    <s v=""/>
  </r>
  <r>
    <n v="32674"/>
    <m/>
    <n v="476"/>
    <n v="47606"/>
    <n v="47606"/>
    <x v="71"/>
    <x v="54"/>
    <s v="CVAS"/>
    <x v="3"/>
    <x v="3"/>
    <s v=""/>
    <s v="Games"/>
    <s v=""/>
    <s v="Connect2media"/>
    <s v="ACTIVE"/>
    <s v="YES"/>
    <n v="35707"/>
    <s v="Descarga 2,99 eur"/>
    <s v="NIVEL 58 (2.99 Euros)"/>
    <n v="58"/>
    <s v="PPD"/>
    <n v="1"/>
    <n v="2.99"/>
    <n v="0.5"/>
    <n v="0.5"/>
    <m/>
    <m/>
    <s v=""/>
  </r>
  <r>
    <n v="32676"/>
    <m/>
    <n v="476"/>
    <n v="47607"/>
    <n v="47607"/>
    <x v="72"/>
    <x v="55"/>
    <s v="CVAS"/>
    <x v="3"/>
    <x v="3"/>
    <s v=""/>
    <s v="Games"/>
    <s v=""/>
    <s v="Connect2media"/>
    <s v="ACTIVE"/>
    <s v="YES"/>
    <n v="35708"/>
    <s v="Descarga 3,99 eur"/>
    <s v="NIVEL 60 (3.99 Euros)"/>
    <n v="60"/>
    <s v="PPD"/>
    <n v="1"/>
    <n v="3.99"/>
    <n v="0.5"/>
    <n v="0.5"/>
    <m/>
    <m/>
    <s v=""/>
  </r>
  <r>
    <n v="32680"/>
    <m/>
    <n v="477"/>
    <n v="47702"/>
    <n v="47702"/>
    <x v="73"/>
    <x v="56"/>
    <s v="CVAS"/>
    <x v="3"/>
    <x v="3"/>
    <s v=""/>
    <s v="Games"/>
    <s v=""/>
    <s v="Connect2media"/>
    <s v="ACTIVE"/>
    <s v="YES"/>
    <n v="35710"/>
    <s v="Amigo Games"/>
    <s v="NIVEL 54 (0.99 Euros)"/>
    <n v="54"/>
    <s v="Weekly subscription"/>
    <n v="908"/>
    <n v="0.99"/>
    <n v="0.5"/>
    <n v="0.5"/>
    <m/>
    <m/>
    <s v=""/>
  </r>
  <r>
    <n v="32848"/>
    <m/>
    <n v="293"/>
    <n v="29302"/>
    <n v="29302"/>
    <x v="74"/>
    <x v="57"/>
    <s v="CVAS"/>
    <x v="3"/>
    <x v="3"/>
    <s v=""/>
    <s v="Games"/>
    <s v=""/>
    <s v="Mobiground"/>
    <s v="ACTIVE"/>
    <s v="YES"/>
    <n v="35824"/>
    <s v="Susc Juegos Sexy"/>
    <s v="NIVEL 54 (0.99 Euros)"/>
    <n v="54"/>
    <s v="Weekly subscription"/>
    <n v="908"/>
    <n v="0.99"/>
    <n v="0.5"/>
    <n v="0.5"/>
    <m/>
    <m/>
    <s v=""/>
  </r>
  <r>
    <n v="33109"/>
    <m/>
    <n v="293"/>
    <n v="29303"/>
    <n v="29303"/>
    <x v="75"/>
    <x v="58"/>
    <s v="CVAS"/>
    <x v="3"/>
    <x v="3"/>
    <s v=""/>
    <s v="Games"/>
    <s v=""/>
    <s v="Mobiground"/>
    <s v="ACTIVE"/>
    <s v="YES"/>
    <n v="36045"/>
    <s v="Juegos Sexy"/>
    <s v="NIVEL 54 (0.99 Euros)"/>
    <n v="54"/>
    <s v="PPD"/>
    <n v="1"/>
    <n v="0.99"/>
    <n v="0.5"/>
    <n v="0.5"/>
    <m/>
    <m/>
    <s v=""/>
  </r>
  <r>
    <n v="33115"/>
    <m/>
    <n v="293"/>
    <n v="29304"/>
    <n v="29304"/>
    <x v="76"/>
    <x v="59"/>
    <s v="CVAS"/>
    <x v="3"/>
    <x v="3"/>
    <s v=""/>
    <s v="Games"/>
    <s v=""/>
    <s v="Mobiground"/>
    <s v="ACTIVE"/>
    <s v="YES"/>
    <n v="36048"/>
    <s v="Juegos Sexy 3,99"/>
    <s v="NIVEL 60 (3.99 Euros)"/>
    <n v="60"/>
    <s v="PPD"/>
    <n v="1"/>
    <n v="3.99"/>
    <n v="0.5"/>
    <n v="0.5"/>
    <m/>
    <m/>
    <s v=""/>
  </r>
  <r>
    <n v="33289"/>
    <m/>
    <n v="473"/>
    <n v="47306"/>
    <n v="47306"/>
    <x v="77"/>
    <x v="60"/>
    <s v="CVAS"/>
    <x v="3"/>
    <x v="3"/>
    <s v=""/>
    <s v="Games"/>
    <s v=""/>
    <s v="Mobiground"/>
    <s v="ACTIVE"/>
    <s v="YES"/>
    <n v="36205"/>
    <s v="Juegos HD Android"/>
    <s v="NIVEL 62 (4.99 Euros)"/>
    <n v="62"/>
    <s v="PPD"/>
    <n v="1"/>
    <n v="4.99"/>
    <m/>
    <m/>
    <m/>
    <m/>
    <s v=""/>
  </r>
  <r>
    <n v="33310"/>
    <m/>
    <n v="217"/>
    <n v="75"/>
    <n v="75"/>
    <x v="78"/>
    <x v="0"/>
    <s v="CVAS"/>
    <x v="0"/>
    <x v="0"/>
    <s v="Light Soft"/>
    <s v="Light"/>
    <s v="Light Soft"/>
    <s v="Buongiorno"/>
    <s v="ACTIVE"/>
    <s v="YES"/>
    <n v="36225"/>
    <s v="Club Sexy"/>
    <s v="NIVEL 58 (2.99 Euros)"/>
    <n v="58"/>
    <s v="Weekly subscription"/>
    <n v="908"/>
    <n v="2.99"/>
    <n v="0.3"/>
    <n v="0.7"/>
    <m/>
    <m/>
    <s v=""/>
  </r>
  <r>
    <n v="33752"/>
    <m/>
    <m/>
    <m/>
    <m/>
    <x v="66"/>
    <x v="50"/>
    <s v="CVAS"/>
    <x v="6"/>
    <x v="2"/>
    <m/>
    <s v="Others"/>
    <m/>
    <s v="Buongiorno"/>
    <s v="INACTIVE"/>
    <s v="YES"/>
    <m/>
    <s v="Susc Cam Oculta "/>
    <m/>
    <m/>
    <s v="Weekly subscription"/>
    <m/>
    <m/>
    <m/>
    <m/>
    <m/>
    <m/>
    <m/>
  </r>
  <r>
    <n v="34311"/>
    <m/>
    <n v="254"/>
    <n v="25406"/>
    <n v="25406"/>
    <x v="79"/>
    <x v="61"/>
    <s v="CVAS"/>
    <x v="4"/>
    <x v="4"/>
    <s v=""/>
    <s v="Music"/>
    <s v=""/>
    <s v="Genexies"/>
    <s v="ACTIVE"/>
    <s v="YES"/>
    <n v="37085"/>
    <s v="GNTRalt199"/>
    <s v="NIVEL 56 (1.99 Euros)"/>
    <n v="56"/>
    <s v="PPD"/>
    <n v="1"/>
    <n v="1.99"/>
    <n v="0.245"/>
    <n v="0.22500000000000001"/>
    <n v="0.4"/>
    <n v="0.13"/>
    <s v="ALTAFONTE"/>
  </r>
  <r>
    <n v="34313"/>
    <m/>
    <n v="254"/>
    <n v="25407"/>
    <n v="25407"/>
    <x v="80"/>
    <x v="62"/>
    <s v="CVAS"/>
    <x v="4"/>
    <x v="4"/>
    <s v=""/>
    <s v="Music"/>
    <s v=""/>
    <s v="Genexies"/>
    <s v="ACTIVE"/>
    <s v="YES"/>
    <n v="37086"/>
    <s v="GNTTorc199"/>
    <s v="NIVEL 56 (1.99 Euros)"/>
    <n v="56"/>
    <s v="PPD"/>
    <n v="1"/>
    <n v="1.99"/>
    <n v="0.245"/>
    <n v="0.22500000000000001"/>
    <n v="0.4"/>
    <n v="0.13"/>
    <s v="THE ORCHARD"/>
  </r>
  <r>
    <n v="34328"/>
    <m/>
    <n v="467"/>
    <n v="46714"/>
    <n v="46714"/>
    <x v="81"/>
    <x v="63"/>
    <s v="CVAS"/>
    <x v="4"/>
    <x v="4"/>
    <s v=""/>
    <s v="Music"/>
    <s v=""/>
    <s v="Genexies"/>
    <s v="ACTIVE"/>
    <s v="YES"/>
    <n v="37104"/>
    <s v="GNFTwar149"/>
    <s v="NIVEL 55 (1.49 Euros)"/>
    <n v="55"/>
    <s v="PPD"/>
    <n v="1"/>
    <n v="1.49"/>
    <n v="0.19329999999999997"/>
    <n v="0.17329999999999998"/>
    <n v="0.50340000000000007"/>
    <n v="0.13"/>
    <s v="WARNER"/>
  </r>
  <r>
    <n v="34330"/>
    <m/>
    <n v="463"/>
    <n v="46306"/>
    <n v="46306"/>
    <x v="82"/>
    <x v="64"/>
    <s v="CVAS"/>
    <x v="4"/>
    <x v="4"/>
    <s v=""/>
    <s v="Music"/>
    <s v=""/>
    <s v="Genexies"/>
    <s v="ACTIVE"/>
    <s v="YES"/>
    <n v="37105"/>
    <s v="Musica.MP3.war99"/>
    <s v="NIVEL 54 (0.99 Euros)"/>
    <n v="54"/>
    <s v="PPD"/>
    <n v="1"/>
    <n v="0.99"/>
    <n v="0.1925"/>
    <n v="0.17249999999999999"/>
    <n v="0.50509999999999999"/>
    <n v="0.13"/>
    <s v="WARNER"/>
  </r>
  <r>
    <n v="34332"/>
    <m/>
    <n v="467"/>
    <n v="46712"/>
    <n v="46712"/>
    <x v="83"/>
    <x v="65"/>
    <s v="CVAS"/>
    <x v="4"/>
    <x v="4"/>
    <s v=""/>
    <s v="Music"/>
    <s v=""/>
    <s v="Genexies"/>
    <s v="ACTIVE"/>
    <s v="YES"/>
    <n v="37106"/>
    <s v="GNFTson149"/>
    <s v="NIVEL 55 (1.49 Euros)"/>
    <n v="55"/>
    <s v="PPD"/>
    <n v="1"/>
    <n v="1.49"/>
    <n v="0.17660000000000001"/>
    <n v="0.15659999999999999"/>
    <n v="0.53689999999999993"/>
    <n v="0.13"/>
    <s v="SONY"/>
  </r>
  <r>
    <n v="34334"/>
    <m/>
    <n v="463"/>
    <n v="46303"/>
    <n v="46303"/>
    <x v="84"/>
    <x v="66"/>
    <s v="CVAS"/>
    <x v="4"/>
    <x v="4"/>
    <s v=""/>
    <s v="Music"/>
    <s v=""/>
    <s v="Genexies"/>
    <s v="ACTIVE"/>
    <s v="YES"/>
    <n v="37107"/>
    <s v="GNFTson99"/>
    <s v="NIVEL 54 (0.99 Euros)"/>
    <n v="54"/>
    <s v="PPD"/>
    <n v="1"/>
    <n v="0.99"/>
    <n v="0.16719999999999999"/>
    <n v="0.1472"/>
    <n v="0.55559999999999998"/>
    <n v="0.13"/>
    <s v="SONY"/>
  </r>
  <r>
    <n v="34336"/>
    <m/>
    <n v="467"/>
    <n v="46713"/>
    <n v="46713"/>
    <x v="85"/>
    <x v="67"/>
    <s v="CVAS"/>
    <x v="4"/>
    <x v="4"/>
    <s v=""/>
    <s v="Music"/>
    <s v=""/>
    <s v="Genexies"/>
    <s v="ACTIVE"/>
    <s v="YES"/>
    <n v="37108"/>
    <s v="GNFTuni149"/>
    <s v="NIVEL 55 (1.49 Euros)"/>
    <n v="55"/>
    <s v="PPD"/>
    <n v="1"/>
    <n v="1.49"/>
    <n v="0.17660000000000001"/>
    <n v="0.15659999999999999"/>
    <n v="0.53689999999999993"/>
    <n v="0.13"/>
    <s v="UNIVERSAL"/>
  </r>
  <r>
    <n v="34338"/>
    <m/>
    <n v="463"/>
    <n v="46304"/>
    <n v="46304"/>
    <x v="86"/>
    <x v="68"/>
    <s v="CVAS"/>
    <x v="4"/>
    <x v="4"/>
    <s v=""/>
    <s v="Music"/>
    <s v=""/>
    <s v="Genexies"/>
    <s v="ACTIVE"/>
    <s v="YES"/>
    <n v="37109"/>
    <s v="GNFTuni99"/>
    <s v="NIVEL 54 (0.99 Euros)"/>
    <n v="54"/>
    <s v="PPD"/>
    <n v="1"/>
    <n v="0.99"/>
    <n v="0.16719999999999999"/>
    <n v="0.1472"/>
    <n v="0.55559999999999998"/>
    <n v="0.13"/>
    <s v="UNIVERSAL"/>
  </r>
  <r>
    <n v="34344"/>
    <m/>
    <n v="467"/>
    <n v="46711"/>
    <n v="46711"/>
    <x v="87"/>
    <x v="69"/>
    <s v="CVAS"/>
    <x v="4"/>
    <x v="4"/>
    <s v=""/>
    <s v="Music"/>
    <s v=""/>
    <s v="Genexies"/>
    <s v="ACTIVE"/>
    <s v="YES"/>
    <n v="37112"/>
    <s v="GNFTorc149"/>
    <s v="NIVEL 55 (1.49 Euros)"/>
    <n v="55"/>
    <s v="PPD"/>
    <n v="1"/>
    <n v="1.49"/>
    <n v="0.19500000000000001"/>
    <n v="0.17499999999999999"/>
    <n v="0.5"/>
    <n v="0.13"/>
    <s v="THE ORCHARD"/>
  </r>
  <r>
    <n v="34346"/>
    <m/>
    <n v="463"/>
    <n v="46305"/>
    <n v="46305"/>
    <x v="88"/>
    <x v="70"/>
    <s v="CVAS"/>
    <x v="4"/>
    <x v="4"/>
    <s v=""/>
    <s v="Music"/>
    <s v=""/>
    <s v="Genexies"/>
    <s v="ACTIVE"/>
    <s v="YES"/>
    <n v="37113"/>
    <s v="GNFTorc099"/>
    <s v="NIVEL 54 (0.99 Euros)"/>
    <n v="54"/>
    <s v="PPD"/>
    <n v="1"/>
    <n v="0.99"/>
    <n v="0.14499999999999999"/>
    <n v="0.22500000000000001"/>
    <n v="0.5"/>
    <n v="0.13"/>
    <s v="THE ORCHARD"/>
  </r>
  <r>
    <n v="34348"/>
    <m/>
    <n v="467"/>
    <n v="46709"/>
    <n v="46709"/>
    <x v="89"/>
    <x v="71"/>
    <s v="CVAS"/>
    <x v="4"/>
    <x v="4"/>
    <s v=""/>
    <s v="Music"/>
    <s v=""/>
    <s v="Genexies"/>
    <s v="ACTIVE"/>
    <s v="YES"/>
    <n v="37114"/>
    <s v="GNFTalt149"/>
    <s v="NIVEL 55 (1.49 Euros)"/>
    <n v="55"/>
    <s v="PPD"/>
    <n v="1"/>
    <n v="1.49"/>
    <n v="0.19500000000000001"/>
    <n v="0.17499999999999999"/>
    <n v="0.5"/>
    <n v="0.13"/>
    <s v="ALTAFONTE"/>
  </r>
  <r>
    <n v="34350"/>
    <m/>
    <n v="463"/>
    <n v="46301"/>
    <n v="46301"/>
    <x v="90"/>
    <x v="72"/>
    <s v="CVAS"/>
    <x v="4"/>
    <x v="4"/>
    <s v=""/>
    <s v="Music"/>
    <s v=""/>
    <s v="Genexies"/>
    <s v="ACTIVE"/>
    <s v="YES"/>
    <n v="37115"/>
    <s v="GNFTalt99"/>
    <s v="NIVEL 54 (0.99 Euros)"/>
    <n v="54"/>
    <s v="PPD"/>
    <n v="1"/>
    <n v="0.99"/>
    <n v="0.19500000000000001"/>
    <n v="0.17499999999999999"/>
    <n v="0.5"/>
    <n v="0.13"/>
    <s v="ALTAFONTE"/>
  </r>
  <r>
    <n v="34352"/>
    <m/>
    <n v="467"/>
    <n v="46710"/>
    <n v="46710"/>
    <x v="91"/>
    <x v="73"/>
    <s v="CVAS"/>
    <x v="4"/>
    <x v="4"/>
    <s v=""/>
    <s v="Music"/>
    <s v=""/>
    <s v="Genexies"/>
    <s v="ACTIVE"/>
    <s v="YES"/>
    <n v="37116"/>
    <s v="GNFTgen149"/>
    <s v="NIVEL 55 (1.49 Euros)"/>
    <n v="55"/>
    <s v="PPD"/>
    <n v="1"/>
    <n v="1.49"/>
    <n v="0.245"/>
    <n v="0.22500000000000001"/>
    <n v="0.4"/>
    <n v="0.13"/>
    <s v="GENEXIES"/>
  </r>
  <r>
    <n v="34354"/>
    <m/>
    <n v="463"/>
    <n v="46302"/>
    <n v="46302"/>
    <x v="92"/>
    <x v="74"/>
    <s v="CVAS"/>
    <x v="4"/>
    <x v="4"/>
    <s v=""/>
    <s v="Music"/>
    <s v=""/>
    <s v="Genexies"/>
    <s v="ACTIVE"/>
    <s v="YES"/>
    <n v="37117"/>
    <s v="GNFTgen99"/>
    <s v="NIVEL 54 (0.99 Euros)"/>
    <n v="54"/>
    <s v="PPD"/>
    <n v="1"/>
    <n v="0.99"/>
    <n v="0.245"/>
    <n v="0.22500000000000001"/>
    <n v="0.4"/>
    <n v="0.13"/>
    <s v="GENEXIES"/>
  </r>
  <r>
    <n v="34356"/>
    <m/>
    <n v="465"/>
    <n v="46504"/>
    <n v="46504"/>
    <x v="93"/>
    <x v="75"/>
    <s v="CVAS"/>
    <x v="4"/>
    <x v="4"/>
    <s v=""/>
    <s v="Music"/>
    <s v=""/>
    <s v="Genexies"/>
    <s v="ACTIVE"/>
    <s v="YES"/>
    <n v="37118"/>
    <s v="GNFVwar199"/>
    <s v="NIVEL 56 (1.99 Euros)"/>
    <n v="56"/>
    <s v="PPD"/>
    <n v="1"/>
    <n v="1.99"/>
    <n v="0.24399999999999999"/>
    <n v="0.22399999999999998"/>
    <n v="0.40200000000000002"/>
    <n v="0.13"/>
    <s v="WARNER"/>
  </r>
  <r>
    <n v="34358"/>
    <m/>
    <n v="465"/>
    <n v="46502"/>
    <n v="46502"/>
    <x v="94"/>
    <x v="76"/>
    <s v="CVAS"/>
    <x v="4"/>
    <x v="4"/>
    <s v=""/>
    <s v="Music"/>
    <s v=""/>
    <s v="Genexies"/>
    <s v="ACTIVE"/>
    <s v="YES"/>
    <n v="37119"/>
    <s v="GNFVson199"/>
    <s v="NIVEL 56 (1.99 Euros)"/>
    <n v="56"/>
    <s v="PPD"/>
    <n v="1"/>
    <n v="1.99"/>
    <n v="0.24399999999999999"/>
    <n v="0.22399999999999998"/>
    <n v="0.40200000000000002"/>
    <n v="0.13"/>
    <s v="SONY"/>
  </r>
  <r>
    <n v="34361"/>
    <m/>
    <n v="465"/>
    <n v="46503"/>
    <n v="46503"/>
    <x v="95"/>
    <x v="77"/>
    <s v="CVAS"/>
    <x v="4"/>
    <x v="4"/>
    <s v=""/>
    <s v="Music"/>
    <s v=""/>
    <s v="Genexies"/>
    <s v="ACTIVE"/>
    <s v="YES"/>
    <n v="37120"/>
    <s v="GNFVuni199"/>
    <s v="NIVEL 56 (1.99 Euros)"/>
    <n v="56"/>
    <s v="PPD"/>
    <n v="1"/>
    <n v="1.99"/>
    <n v="0.20379999999999998"/>
    <n v="0.18379999999999999"/>
    <n v="0.4824"/>
    <n v="0.13"/>
    <s v="UNIVERSAL"/>
  </r>
  <r>
    <n v="34365"/>
    <m/>
    <n v="465"/>
    <n v="46505"/>
    <n v="46505"/>
    <x v="96"/>
    <x v="78"/>
    <s v="CVAS"/>
    <x v="4"/>
    <x v="4"/>
    <s v=""/>
    <s v="Music"/>
    <s v=""/>
    <s v="Genexies"/>
    <s v="ACTIVE"/>
    <s v="YES"/>
    <n v="37122"/>
    <s v="GNFVorc199"/>
    <s v="NIVEL 56 (1.99 Euros)"/>
    <n v="56"/>
    <s v="PPD"/>
    <n v="1"/>
    <n v="1.99"/>
    <n v="0.29499999999999998"/>
    <n v="0.17499999999999999"/>
    <n v="0.4"/>
    <n v="0.13"/>
    <s v="THE ORCHARD"/>
  </r>
  <r>
    <n v="34367"/>
    <m/>
    <n v="465"/>
    <n v="46506"/>
    <n v="46506"/>
    <x v="97"/>
    <x v="79"/>
    <s v="CVAS"/>
    <x v="4"/>
    <x v="4"/>
    <s v=""/>
    <s v="Music"/>
    <s v=""/>
    <s v="Genexies"/>
    <s v="ACTIVE"/>
    <s v="YES"/>
    <n v="37123"/>
    <s v="GNFValt199"/>
    <s v="NIVEL 56 (1.99 Euros)"/>
    <n v="56"/>
    <s v="PPD"/>
    <n v="1"/>
    <n v="1.99"/>
    <n v="0.29499999999999998"/>
    <n v="0.17499999999999999"/>
    <n v="0.4"/>
    <n v="0.13"/>
    <s v="ALTAFONTE"/>
  </r>
  <r>
    <n v="34369"/>
    <m/>
    <n v="465"/>
    <n v="46501"/>
    <n v="46501"/>
    <x v="98"/>
    <x v="80"/>
    <s v="CVAS"/>
    <x v="4"/>
    <x v="4"/>
    <s v=""/>
    <s v="Music"/>
    <s v=""/>
    <s v="Genexies"/>
    <s v="ACTIVE"/>
    <s v="YES"/>
    <n v="37124"/>
    <s v="GNFVgen199"/>
    <s v="NIVEL 56 (1.99 Euros)"/>
    <n v="56"/>
    <s v="PPD"/>
    <n v="1"/>
    <n v="1.99"/>
    <n v="0.19500000000000001"/>
    <n v="0.17499999999999999"/>
    <n v="0.5"/>
    <n v="0.13"/>
    <s v="GENEXIES"/>
  </r>
  <r>
    <n v="34371"/>
    <m/>
    <n v="467"/>
    <n v="46707"/>
    <n v="46707"/>
    <x v="99"/>
    <x v="27"/>
    <s v="CVAS"/>
    <x v="4"/>
    <x v="4"/>
    <s v=""/>
    <s v="Music"/>
    <s v=""/>
    <s v="Genexies"/>
    <s v="ACTIVE"/>
    <s v="YES"/>
    <n v="37125"/>
    <s v="GNTRwar199"/>
    <s v="NIVEL 56 (1.99 Euros)"/>
    <n v="56"/>
    <s v="PPD"/>
    <n v="1"/>
    <n v="1.99"/>
    <n v="0.25659999999999999"/>
    <n v="0.2366"/>
    <n v="0.37689999999999996"/>
    <n v="0.13"/>
    <s v="WARNER"/>
  </r>
  <r>
    <n v="34373"/>
    <m/>
    <n v="467"/>
    <n v="46705"/>
    <n v="46705"/>
    <x v="100"/>
    <x v="26"/>
    <s v="CVAS"/>
    <x v="4"/>
    <x v="4"/>
    <s v=""/>
    <s v="Music"/>
    <s v=""/>
    <s v="Genexies"/>
    <s v="ACTIVE"/>
    <s v="YES"/>
    <n v="37126"/>
    <s v="GNTRson199"/>
    <s v="NIVEL 56 (1.99 Euros)"/>
    <n v="56"/>
    <s v="PPD"/>
    <n v="1"/>
    <n v="1.99"/>
    <n v="0.24399999999999999"/>
    <n v="0.22399999999999998"/>
    <n v="0.40200000000000002"/>
    <n v="0.13"/>
    <s v="SONY"/>
  </r>
  <r>
    <n v="34375"/>
    <m/>
    <n v="467"/>
    <n v="46706"/>
    <n v="46706"/>
    <x v="101"/>
    <x v="25"/>
    <s v="CVAS"/>
    <x v="4"/>
    <x v="4"/>
    <s v=""/>
    <s v="Music"/>
    <s v=""/>
    <s v="Genexies"/>
    <s v="ACTIVE"/>
    <s v="YES"/>
    <n v="37127"/>
    <s v="GNTRuni199"/>
    <s v="NIVEL 56 (1.99 Euros)"/>
    <n v="56"/>
    <s v="PPD"/>
    <n v="1"/>
    <n v="1.99"/>
    <n v="0.26910000000000001"/>
    <n v="0.24909999999999999"/>
    <n v="0.3518"/>
    <n v="0.13"/>
    <s v="UNIVERSAL"/>
  </r>
  <r>
    <n v="34379"/>
    <m/>
    <n v="467"/>
    <n v="46704"/>
    <n v="46704"/>
    <x v="102"/>
    <x v="62"/>
    <s v="CVAS"/>
    <x v="4"/>
    <x v="4"/>
    <s v=""/>
    <s v="Music"/>
    <s v=""/>
    <s v="Genexies"/>
    <s v="ACTIVE"/>
    <s v="YES"/>
    <n v="37129"/>
    <s v="GNTRorc199"/>
    <s v="NIVEL 56 (1.99 Euros)"/>
    <n v="56"/>
    <s v="PPD"/>
    <n v="1"/>
    <n v="1.99"/>
    <n v="0.245"/>
    <n v="0.22500000000000001"/>
    <n v="0.4"/>
    <n v="0.13"/>
    <s v="THE ORCHARD"/>
  </r>
  <r>
    <n v="34381"/>
    <m/>
    <n v="467"/>
    <n v="46702"/>
    <n v="46702"/>
    <x v="79"/>
    <x v="61"/>
    <s v="CVAS"/>
    <x v="4"/>
    <x v="4"/>
    <s v=""/>
    <s v="Music"/>
    <s v=""/>
    <s v="Genexies"/>
    <s v="ACTIVE"/>
    <s v="YES"/>
    <n v="37130"/>
    <s v="GNTRalt199"/>
    <s v="NIVEL 56 (1.99 Euros)"/>
    <n v="56"/>
    <s v="PPD"/>
    <n v="1"/>
    <n v="1.99"/>
    <n v="0.245"/>
    <n v="0.22500000000000001"/>
    <n v="0.4"/>
    <n v="0.13"/>
    <s v="ALTAFONTE"/>
  </r>
  <r>
    <n v="34383"/>
    <m/>
    <n v="467"/>
    <n v="46703"/>
    <n v="46703"/>
    <x v="103"/>
    <x v="28"/>
    <s v="CVAS"/>
    <x v="4"/>
    <x v="4"/>
    <s v=""/>
    <s v="Music"/>
    <s v=""/>
    <s v="Genexies"/>
    <s v="ACTIVE"/>
    <s v="YES"/>
    <n v="37131"/>
    <s v="GNTRgen199"/>
    <s v="NIVEL 56 (1.99 Euros)"/>
    <n v="56"/>
    <s v="PPD"/>
    <n v="1"/>
    <n v="1.99"/>
    <n v="0.245"/>
    <n v="0.22500000000000001"/>
    <n v="0.4"/>
    <n v="0.13"/>
    <s v="GENEXIES"/>
  </r>
  <r>
    <n v="34394"/>
    <m/>
    <n v="440"/>
    <n v="44001"/>
    <n v="44001"/>
    <x v="104"/>
    <x v="81"/>
    <s v="CVAS"/>
    <x v="7"/>
    <x v="5"/>
    <s v=""/>
    <s v="Others"/>
    <s v="Sports"/>
    <s v="OnMobile Global Spain, S.L."/>
    <s v="ACTIVE"/>
    <s v="YES"/>
    <n v="37139"/>
    <s v="Deportes emocion"/>
    <s v="NIVEL 54 (0.99 Euros)"/>
    <n v="54"/>
    <s v="Weekly subscription"/>
    <n v="908"/>
    <n v="0.99"/>
    <n v="0.5"/>
    <n v="0.5"/>
    <m/>
    <m/>
    <s v=""/>
  </r>
  <r>
    <n v="34409"/>
    <m/>
    <n v="464"/>
    <n v="46402"/>
    <n v="46402"/>
    <x v="105"/>
    <x v="82"/>
    <s v="CVAS"/>
    <x v="4"/>
    <x v="4"/>
    <s v=""/>
    <s v="Music"/>
    <s v=""/>
    <s v="Genexies"/>
    <s v="ACTIVE"/>
    <s v="YES"/>
    <n v="37144"/>
    <s v="Tarifa Plana Musica"/>
    <s v="NIVEL 105 (1,48 Euros)"/>
    <n v="105"/>
    <s v="Weekly subscription"/>
    <n v="908"/>
    <n v="1.48"/>
    <n v="0.22500000000000001"/>
    <n v="0.14499999999999999"/>
    <n v="0.5"/>
    <n v="0.13"/>
    <s v="TODOS"/>
  </r>
  <r>
    <n v="34410"/>
    <n v="34409"/>
    <n v="464"/>
    <n v="46401"/>
    <n v="46401"/>
    <x v="106"/>
    <x v="82"/>
    <s v="CVAS"/>
    <x v="4"/>
    <x v="4"/>
    <s v=""/>
    <s v="Music"/>
    <s v=""/>
    <s v="Genexies"/>
    <s v="ACTIVE"/>
    <s v="YES"/>
    <n v="37144"/>
    <s v="Tarifa Plana Musica"/>
    <s v="NIVEL 0 (0 E)"/>
    <n v="0"/>
    <s v="Weekly subscription"/>
    <n v="641"/>
    <n v="0"/>
    <m/>
    <m/>
    <m/>
    <m/>
    <s v=""/>
  </r>
  <r>
    <n v="34668"/>
    <m/>
    <n v="429"/>
    <n v="42901"/>
    <n v="42901"/>
    <x v="107"/>
    <x v="83"/>
    <s v="CVAS"/>
    <x v="4"/>
    <x v="4"/>
    <s v=""/>
    <s v="Music"/>
    <s v=""/>
    <s v="Mister-i"/>
    <s v="INACTIVE"/>
    <s v="YES"/>
    <n v="37344"/>
    <s v="Novedades"/>
    <s v="NIVEL 55 (1.49 Euros)"/>
    <n v="55"/>
    <s v="Weekly subscription"/>
    <n v="908"/>
    <n v="1.49"/>
    <n v="0.6"/>
    <n v="0.4"/>
    <m/>
    <m/>
    <s v=""/>
  </r>
  <r>
    <n v="34828"/>
    <m/>
    <n v="590"/>
    <n v="59001"/>
    <n v="59001"/>
    <x v="108"/>
    <x v="0"/>
    <s v="CVAS"/>
    <x v="0"/>
    <x v="0"/>
    <s v="Light TV"/>
    <s v="Light"/>
    <s v="Light TV"/>
    <s v="PSM"/>
    <s v="ACTIVE"/>
    <s v="YES"/>
    <n v="37484"/>
    <s v="Pack Taquillas X"/>
    <s v="NIVEL 58 (2.99 Euros)"/>
    <n v="58"/>
    <s v="Weekly subscription"/>
    <n v="908"/>
    <n v="2.99"/>
    <n v="0.35"/>
    <n v="0.65"/>
    <m/>
    <m/>
    <s v=""/>
  </r>
  <r>
    <n v="35008"/>
    <m/>
    <n v="469"/>
    <n v="46901"/>
    <n v="46901"/>
    <x v="109"/>
    <x v="84"/>
    <s v="CVAS"/>
    <x v="4"/>
    <x v="4"/>
    <s v=""/>
    <s v="Music"/>
    <s v=""/>
    <s v="Genexies"/>
    <s v="ACTIVE"/>
    <s v="YES"/>
    <n v="37604"/>
    <s v="Musica Dance"/>
    <s v="NIVEL 54 (0.99 Euros)"/>
    <n v="54"/>
    <s v="Weekly subscription"/>
    <n v="908"/>
    <n v="0.99"/>
    <n v="0.8"/>
    <n v="0.2"/>
    <m/>
    <m/>
    <s v=""/>
  </r>
  <r>
    <n v="35014"/>
    <m/>
    <n v="471"/>
    <n v="47101"/>
    <n v="47101"/>
    <x v="110"/>
    <x v="85"/>
    <s v="CVAS"/>
    <x v="4"/>
    <x v="4"/>
    <s v=""/>
    <s v="Music"/>
    <s v=""/>
    <s v="Genexies"/>
    <s v="ACTIVE"/>
    <s v="YES"/>
    <n v="37607"/>
    <s v="Musica Flamenca"/>
    <s v="NIVEL 54 (0.99 Euros)"/>
    <n v="54"/>
    <s v="Weekly subscription"/>
    <n v="908"/>
    <n v="0.99"/>
    <n v="0.8"/>
    <n v="0.2"/>
    <m/>
    <m/>
    <s v=""/>
  </r>
  <r>
    <n v="35020"/>
    <m/>
    <n v="470"/>
    <n v="47001"/>
    <n v="47001"/>
    <x v="111"/>
    <x v="86"/>
    <s v="CVAS"/>
    <x v="4"/>
    <x v="4"/>
    <s v=""/>
    <s v="Music"/>
    <s v=""/>
    <s v="Genexies"/>
    <s v="ACTIVE"/>
    <s v="YES"/>
    <n v="37610"/>
    <s v="Musica Española"/>
    <s v="NIVEL 54 (0.99 Euros)"/>
    <n v="54"/>
    <s v="Weekly subscription"/>
    <n v="908"/>
    <n v="0.99"/>
    <n v="0.8"/>
    <n v="0.2"/>
    <m/>
    <m/>
    <s v=""/>
  </r>
  <r>
    <n v="35031"/>
    <m/>
    <n v="591"/>
    <n v="59101"/>
    <n v="59101"/>
    <x v="47"/>
    <x v="0"/>
    <s v="CVAS"/>
    <x v="0"/>
    <x v="0"/>
    <s v="Light TV"/>
    <s v="Light"/>
    <s v="Light TV"/>
    <s v="PSM"/>
    <s v="INACTIVE"/>
    <s v="YES"/>
    <n v="37627"/>
    <s v="Taquilla X2"/>
    <s v="NIVEL 58 (2.99 Euros)"/>
    <n v="58"/>
    <s v="Weekly subscription"/>
    <n v="908"/>
    <n v="2.99"/>
    <n v="0.3"/>
    <n v="0.7"/>
    <m/>
    <m/>
    <s v=""/>
  </r>
  <r>
    <n v="35035"/>
    <m/>
    <n v="593"/>
    <n v="59301"/>
    <n v="59301"/>
    <x v="47"/>
    <x v="0"/>
    <s v="CVAS"/>
    <x v="0"/>
    <x v="0"/>
    <s v="Light TV"/>
    <s v="Light"/>
    <s v="Light TV"/>
    <s v="PSM"/>
    <s v="INACTIVE"/>
    <s v="YES"/>
    <n v="37629"/>
    <s v="Taquilla X4"/>
    <s v="NIVEL 58 (2.99 Euros)"/>
    <n v="58"/>
    <s v="Weekly subscription"/>
    <n v="908"/>
    <n v="2.99"/>
    <n v="0.3"/>
    <n v="0.7"/>
    <m/>
    <m/>
    <s v=""/>
  </r>
  <r>
    <n v="35037"/>
    <m/>
    <n v="594"/>
    <n v="59401"/>
    <n v="59401"/>
    <x v="47"/>
    <x v="0"/>
    <s v="CVAS"/>
    <x v="0"/>
    <x v="0"/>
    <s v="Light TV"/>
    <s v="Light"/>
    <s v="Light TV"/>
    <s v="PSM"/>
    <s v="INACTIVE"/>
    <s v="YES"/>
    <n v="37630"/>
    <s v="Taquilla X5"/>
    <s v="NIVEL 58 (2.99 Euros)"/>
    <n v="58"/>
    <s v="Weekly subscription"/>
    <n v="908"/>
    <n v="2.99"/>
    <n v="0.3"/>
    <n v="0.7"/>
    <m/>
    <m/>
    <s v=""/>
  </r>
  <r>
    <n v="35039"/>
    <m/>
    <n v="595"/>
    <n v="59501"/>
    <n v="59501"/>
    <x v="47"/>
    <x v="0"/>
    <s v="CVAS"/>
    <x v="0"/>
    <x v="0"/>
    <s v="Light TV"/>
    <s v="Light"/>
    <s v="Light TV"/>
    <s v="PSM"/>
    <s v="INACTIVE"/>
    <s v="YES"/>
    <n v="37631"/>
    <s v="Taquilla X6"/>
    <s v="NIVEL 58 (2.99 Euros)"/>
    <n v="58"/>
    <s v="Weekly subscription"/>
    <n v="908"/>
    <n v="2.99"/>
    <n v="0.3"/>
    <n v="0.7"/>
    <m/>
    <m/>
    <s v=""/>
  </r>
  <r>
    <n v="35041"/>
    <m/>
    <n v="596"/>
    <n v="59601"/>
    <n v="59601"/>
    <x v="47"/>
    <x v="0"/>
    <s v="CVAS"/>
    <x v="0"/>
    <x v="0"/>
    <s v="Light TV"/>
    <s v="Light"/>
    <s v="Light TV"/>
    <s v="PSM"/>
    <s v="INACTIVE"/>
    <s v="YES"/>
    <n v="37632"/>
    <s v="Taquilla X7"/>
    <s v="NIVEL 58 (2.99 Euros)"/>
    <n v="58"/>
    <s v="Weekly subscription"/>
    <n v="908"/>
    <n v="2.99"/>
    <n v="0.3"/>
    <n v="0.7"/>
    <m/>
    <m/>
    <s v=""/>
  </r>
  <r>
    <n v="35043"/>
    <m/>
    <n v="592"/>
    <n v="59201"/>
    <n v="59201"/>
    <x v="47"/>
    <x v="0"/>
    <s v="CVAS"/>
    <x v="0"/>
    <x v="0"/>
    <s v="Light TV"/>
    <s v="Light"/>
    <s v="Light TV"/>
    <s v="PSM"/>
    <s v="INACTIVE"/>
    <s v="YES"/>
    <n v="37633"/>
    <s v="Taquilla X3"/>
    <s v="NIVEL 58 (2.99 Euros)"/>
    <n v="58"/>
    <s v="Weekly subscription"/>
    <n v="908"/>
    <n v="2.99"/>
    <n v="0.3"/>
    <n v="0.7"/>
    <m/>
    <m/>
    <s v=""/>
  </r>
  <r>
    <n v="35293"/>
    <m/>
    <n v="294"/>
    <n v="29401"/>
    <n v="29401"/>
    <x v="112"/>
    <x v="40"/>
    <s v="CVAS"/>
    <x v="3"/>
    <x v="3"/>
    <s v=""/>
    <s v="Games"/>
    <s v=""/>
    <s v="Mobiground"/>
    <s v="ACTIVE"/>
    <s v="YES"/>
    <n v="34085"/>
    <s v="Susc Real Network"/>
    <s v="NIVEL 0 (0 E)"/>
    <n v="0"/>
    <s v="Monthly subscription"/>
    <n v="424"/>
    <n v="0"/>
    <m/>
    <m/>
    <m/>
    <m/>
    <s v=""/>
  </r>
  <r>
    <n v="35298"/>
    <n v="32680"/>
    <n v="477"/>
    <n v="47701"/>
    <n v="47701"/>
    <x v="113"/>
    <x v="56"/>
    <s v="CVAS"/>
    <x v="3"/>
    <x v="3"/>
    <s v=""/>
    <s v="Games"/>
    <s v=""/>
    <s v="Connect2media"/>
    <s v="ACTIVE"/>
    <s v="YES"/>
    <n v="35710"/>
    <s v="Amigo Games"/>
    <s v="NIVEL 0 (0 Euros)"/>
    <n v="0"/>
    <s v="Weekly subscription"/>
    <n v="641"/>
    <n v="0"/>
    <m/>
    <m/>
    <m/>
    <m/>
    <s v=""/>
  </r>
  <r>
    <n v="35299"/>
    <m/>
    <n v="293"/>
    <n v="29301"/>
    <n v="29301"/>
    <x v="114"/>
    <x v="57"/>
    <s v="CVAS"/>
    <x v="3"/>
    <x v="3"/>
    <s v=""/>
    <s v="Games"/>
    <s v=""/>
    <s v="Mobiground"/>
    <s v="ACTIVE"/>
    <s v="YES"/>
    <n v="35824"/>
    <s v="Susc Juegos Sexy"/>
    <s v="NIVEL 0 (0 Euros)"/>
    <n v="0"/>
    <s v="Weekly subscription"/>
    <n v="641"/>
    <n v="0"/>
    <m/>
    <m/>
    <m/>
    <m/>
    <s v=""/>
  </r>
  <r>
    <n v="35308"/>
    <m/>
    <n v="258"/>
    <n v="25801"/>
    <n v="25801"/>
    <x v="115"/>
    <x v="87"/>
    <s v="CVAS"/>
    <x v="3"/>
    <x v="3"/>
    <s v=""/>
    <s v="Games"/>
    <s v=""/>
    <s v="Gameloft"/>
    <s v="ACTIVE"/>
    <s v="YES"/>
    <n v="37824"/>
    <s v="Extra Juego Gloft"/>
    <s v="NIVEL 54 (0.99 Euros)"/>
    <n v="54"/>
    <s v="PPD"/>
    <n v="1"/>
    <n v="0.99"/>
    <n v="0.5"/>
    <n v="0.5"/>
    <m/>
    <m/>
    <s v=""/>
  </r>
  <r>
    <n v="35313"/>
    <m/>
    <n v="258"/>
    <n v="25802"/>
    <n v="25802"/>
    <x v="116"/>
    <x v="87"/>
    <s v="CVAS"/>
    <x v="3"/>
    <x v="3"/>
    <s v=""/>
    <s v="Games"/>
    <s v=""/>
    <s v="Gameloft"/>
    <s v="ACTIVE"/>
    <s v="YES"/>
    <n v="37825"/>
    <s v="Extra Juego Gloft"/>
    <s v="NIVEL 56 (1.99 Euros)"/>
    <n v="56"/>
    <s v="PPD"/>
    <n v="1"/>
    <n v="1.99"/>
    <n v="0.5"/>
    <n v="0.5"/>
    <m/>
    <m/>
    <s v=""/>
  </r>
  <r>
    <n v="35315"/>
    <m/>
    <n v="258"/>
    <n v="25803"/>
    <n v="25803"/>
    <x v="116"/>
    <x v="87"/>
    <s v="CVAS"/>
    <x v="3"/>
    <x v="3"/>
    <s v=""/>
    <s v="Games"/>
    <s v=""/>
    <s v="Gameloft"/>
    <s v="ACTIVE"/>
    <s v="YES"/>
    <n v="37826"/>
    <s v="Extra Juego Gloft"/>
    <s v="NIVEL 58 (2.99 Euros)"/>
    <n v="58"/>
    <s v="PPD"/>
    <n v="1"/>
    <n v="2.99"/>
    <n v="0.5"/>
    <n v="0.5"/>
    <m/>
    <m/>
    <s v=""/>
  </r>
  <r>
    <n v="35317"/>
    <m/>
    <n v="258"/>
    <n v="25804"/>
    <n v="25804"/>
    <x v="116"/>
    <x v="87"/>
    <s v="CVAS"/>
    <x v="3"/>
    <x v="3"/>
    <s v=""/>
    <s v="Games"/>
    <s v=""/>
    <s v="Gameloft"/>
    <s v="ACTIVE"/>
    <s v="YES"/>
    <n v="37827"/>
    <s v="Extra Juego Gloft"/>
    <s v="NIVEL 62 (4.99 Euros)"/>
    <n v="62"/>
    <s v="PPD"/>
    <n v="1"/>
    <n v="4.99"/>
    <n v="0.5"/>
    <n v="0.5"/>
    <m/>
    <m/>
    <s v=""/>
  </r>
  <r>
    <n v="35357"/>
    <m/>
    <n v="253"/>
    <n v="25302"/>
    <n v="25302"/>
    <x v="117"/>
    <x v="88"/>
    <s v="CVAS"/>
    <x v="4"/>
    <x v="4"/>
    <s v=""/>
    <s v="Music"/>
    <s v=""/>
    <s v="Genexies"/>
    <s v="ACTIVE"/>
    <s v="YES"/>
    <n v="37869"/>
    <s v="Musica Latina"/>
    <s v="NIVEL 54 (0.99 Euros)"/>
    <n v="54"/>
    <s v="Weekly subscription"/>
    <n v="908"/>
    <n v="0.99"/>
    <n v="0.8"/>
    <n v="0.2"/>
    <m/>
    <m/>
    <s v=""/>
  </r>
  <r>
    <n v="35551"/>
    <m/>
    <n v="351"/>
    <n v="35101"/>
    <n v="35101"/>
    <x v="47"/>
    <x v="0"/>
    <s v="CVAS"/>
    <x v="0"/>
    <x v="0"/>
    <s v="Light Hard"/>
    <s v="Light"/>
    <s v="Light Hard"/>
    <s v="Thagson"/>
    <s v="ACTIVE"/>
    <s v="YES"/>
    <n v="38024"/>
    <s v="Porno Callejeros"/>
    <s v="NIVEL 58 (2.99 Euros)"/>
    <n v="58"/>
    <s v="Weekly subscription"/>
    <n v="908"/>
    <n v="2.99"/>
    <n v="0.3"/>
    <n v="0.7"/>
    <m/>
    <m/>
    <s v=""/>
  </r>
  <r>
    <n v="35869"/>
    <n v="35008"/>
    <n v="469"/>
    <n v="46902"/>
    <n v="46902"/>
    <x v="118"/>
    <x v="84"/>
    <s v="CVAS"/>
    <x v="4"/>
    <x v="4"/>
    <s v=""/>
    <s v="Music"/>
    <s v=""/>
    <s v="Genexies"/>
    <s v="ACTIVE"/>
    <s v="YES"/>
    <n v="37604"/>
    <s v="Musica Dance"/>
    <s v="NIVEL 0 (0 E)"/>
    <n v="0"/>
    <s v="Weekly subscription"/>
    <n v="641"/>
    <n v="0"/>
    <m/>
    <m/>
    <m/>
    <m/>
    <s v=""/>
  </r>
  <r>
    <n v="35870"/>
    <n v="35014"/>
    <n v="471"/>
    <n v="47102"/>
    <n v="47102"/>
    <x v="119"/>
    <x v="85"/>
    <s v="CVAS"/>
    <x v="4"/>
    <x v="4"/>
    <s v=""/>
    <s v="Music"/>
    <s v=""/>
    <s v="Genexies"/>
    <s v="ACTIVE"/>
    <s v="YES"/>
    <n v="37607"/>
    <s v="Musica Flamenca"/>
    <s v="NIVEL 0 (0 E)"/>
    <n v="0"/>
    <s v="Weekly subscription"/>
    <n v="641"/>
    <n v="0"/>
    <m/>
    <m/>
    <m/>
    <m/>
    <s v=""/>
  </r>
  <r>
    <n v="35871"/>
    <n v="35020"/>
    <n v="470"/>
    <n v="47002"/>
    <n v="47002"/>
    <x v="120"/>
    <x v="86"/>
    <s v="CVAS"/>
    <x v="4"/>
    <x v="4"/>
    <s v=""/>
    <s v="Music"/>
    <s v=""/>
    <s v="Genexies"/>
    <s v="ACTIVE"/>
    <s v="YES"/>
    <n v="37610"/>
    <s v="Musica Española"/>
    <s v="NIVEL 0 (0 E)"/>
    <n v="0"/>
    <s v="Weekly subscription"/>
    <n v="641"/>
    <n v="0"/>
    <m/>
    <m/>
    <m/>
    <m/>
    <s v=""/>
  </r>
  <r>
    <n v="35872"/>
    <n v="35357"/>
    <n v="253"/>
    <n v="25301"/>
    <n v="25301"/>
    <x v="121"/>
    <x v="88"/>
    <s v="CVAS"/>
    <x v="4"/>
    <x v="4"/>
    <s v=""/>
    <s v="Music"/>
    <s v=""/>
    <s v="Genexies"/>
    <s v="ACTIVE"/>
    <s v="YES"/>
    <n v="37869"/>
    <s v="Musica Latina"/>
    <s v="NIVEL 0 (0 E)"/>
    <n v="0"/>
    <s v="Weekly subscription"/>
    <n v="641"/>
    <n v="0"/>
    <m/>
    <m/>
    <m/>
    <m/>
    <s v=""/>
  </r>
  <r>
    <n v="35887"/>
    <m/>
    <n v="588"/>
    <n v="58801"/>
    <n v="58801"/>
    <x v="47"/>
    <x v="0"/>
    <s v="CVAS"/>
    <x v="0"/>
    <x v="0"/>
    <s v="Light TV"/>
    <s v="Light"/>
    <s v="Light TV"/>
    <s v="Thagson"/>
    <s v="ACTIVE"/>
    <s v="YES"/>
    <n v="38184"/>
    <s v="Superescenas XXX"/>
    <s v="NIVEL 12 (5 E)"/>
    <n v="12"/>
    <s v="Weekly subscription"/>
    <n v="908"/>
    <n v="5"/>
    <n v="0.3"/>
    <n v="0.7"/>
    <m/>
    <m/>
    <s v=""/>
  </r>
  <r>
    <n v="36211"/>
    <m/>
    <n v="342"/>
    <n v="34201"/>
    <n v="34201"/>
    <x v="122"/>
    <x v="41"/>
    <s v="CVAS"/>
    <x v="3"/>
    <x v="3"/>
    <s v=""/>
    <s v="Games"/>
    <s v=""/>
    <s v="Mobiground"/>
    <s v="ACTIVE"/>
    <s v="YES"/>
    <n v="38548"/>
    <s v="Susc Sem Play2Me"/>
    <s v="NIVEL 58 (2.99 Euros)"/>
    <n v="58"/>
    <s v="Weekly subscription"/>
    <n v="908"/>
    <n v="2.99"/>
    <n v="0.5"/>
    <n v="0.5"/>
    <m/>
    <m/>
    <s v=""/>
  </r>
  <r>
    <n v="36251"/>
    <m/>
    <n v="437"/>
    <n v="43701"/>
    <n v="43701"/>
    <x v="123"/>
    <x v="89"/>
    <s v="CVAS"/>
    <x v="4"/>
    <x v="4"/>
    <s v=""/>
    <s v="Music"/>
    <s v=""/>
    <s v="Gigigo"/>
    <s v="ACTIVE"/>
    <s v="YES"/>
    <n v="38586"/>
    <s v="Musica Infantil"/>
    <s v="NIVEL 55 (1.49 Euros)"/>
    <n v="55"/>
    <s v="Weekly subscription"/>
    <n v="908"/>
    <n v="1.49"/>
    <n v="0.7"/>
    <n v="0.3"/>
    <m/>
    <m/>
    <s v=""/>
  </r>
  <r>
    <n v="36268"/>
    <m/>
    <n v="384"/>
    <n v="38401"/>
    <n v="38401"/>
    <x v="47"/>
    <x v="0"/>
    <s v="CVAS"/>
    <x v="0"/>
    <x v="0"/>
    <s v="Light Hard"/>
    <s v="Light"/>
    <s v="Light Hard"/>
    <s v="Thagson"/>
    <s v="ACTIVE"/>
    <s v="YES"/>
    <n v="38604"/>
    <s v="Mansion de Nacho Vidal"/>
    <s v="NIVEL 58 (2.99 Euros)"/>
    <n v="58"/>
    <s v="Weekly subscription"/>
    <n v="908"/>
    <n v="2.99"/>
    <n v="0.4"/>
    <n v="0.6"/>
    <m/>
    <m/>
    <s v=""/>
  </r>
  <r>
    <n v="36308"/>
    <m/>
    <n v="449"/>
    <n v="44901"/>
    <n v="44901"/>
    <x v="124"/>
    <x v="0"/>
    <s v="CVAS"/>
    <x v="0"/>
    <x v="0"/>
    <s v="Light Hard"/>
    <s v="Light"/>
    <s v="Light Hard"/>
    <s v="Claxson . Contribution"/>
    <s v="INACTIVE"/>
    <s v="YES"/>
    <n v="38624"/>
    <s v="Playboy"/>
    <s v="NIVEL 58 (2.99 Euros)"/>
    <n v="58"/>
    <s v="Weekly subscription"/>
    <n v="908"/>
    <n v="2.99"/>
    <n v="0.3"/>
    <n v="0.7"/>
    <m/>
    <m/>
    <s v=""/>
  </r>
  <r>
    <n v="36310"/>
    <m/>
    <n v="449"/>
    <n v="44902"/>
    <n v="44902"/>
    <x v="26"/>
    <x v="0"/>
    <s v="CVAS"/>
    <x v="0"/>
    <x v="0"/>
    <s v="Light Hard"/>
    <s v="Light"/>
    <s v="Light Hard"/>
    <s v="Claxson . Contribution"/>
    <s v="ACTIVE"/>
    <s v="YES"/>
    <n v="38625"/>
    <s v="Playboy"/>
    <s v="NIVEL 11 (3 E)"/>
    <n v="11"/>
    <s v="PPD"/>
    <n v="1"/>
    <n v="3"/>
    <n v="0.3"/>
    <n v="0.7"/>
    <m/>
    <m/>
    <s v=""/>
  </r>
  <r>
    <n v="36394"/>
    <m/>
    <n v="447"/>
    <n v="44701"/>
    <n v="44701"/>
    <x v="47"/>
    <x v="0"/>
    <s v="CVAS"/>
    <x v="0"/>
    <x v="0"/>
    <s v="Light Hard"/>
    <s v="Light"/>
    <s v="Light Hard"/>
    <s v="Claxson . Contribution"/>
    <s v="ACTIVE"/>
    <s v="YES"/>
    <n v="38686"/>
    <s v="Penthouse"/>
    <s v="NIVEL 58 (2.99 Euros)"/>
    <n v="58"/>
    <s v="Weekly subscription"/>
    <n v="908"/>
    <n v="2.99"/>
    <n v="0.3"/>
    <n v="0.7"/>
    <m/>
    <m/>
    <s v=""/>
  </r>
  <r>
    <n v="36396"/>
    <m/>
    <n v="447"/>
    <n v="44702"/>
    <n v="44702"/>
    <x v="26"/>
    <x v="0"/>
    <s v="CVAS"/>
    <x v="0"/>
    <x v="0"/>
    <s v="Light Hard"/>
    <s v="Light"/>
    <s v="Light Hard"/>
    <s v="Claxson . Contribution"/>
    <s v="ACTIVE"/>
    <s v="YES"/>
    <n v="38687"/>
    <s v="Penthouse"/>
    <s v="NIVEL 11 (3 E)"/>
    <n v="11"/>
    <s v="PPD"/>
    <n v="1"/>
    <n v="3"/>
    <n v="0.3"/>
    <n v="0.7"/>
    <m/>
    <m/>
    <s v=""/>
  </r>
  <r>
    <n v="36432"/>
    <m/>
    <n v="467"/>
    <n v="46715"/>
    <n v="46715"/>
    <x v="125"/>
    <x v="90"/>
    <s v="CVAS"/>
    <x v="4"/>
    <x v="4"/>
    <s v=""/>
    <s v="Music"/>
    <s v=""/>
    <s v="Genexies"/>
    <s v="ACTIVE"/>
    <s v="YES"/>
    <n v="38707"/>
    <s v="GNFTwar199"/>
    <s v="NIVEL 56 (1.99 Euros)"/>
    <n v="56"/>
    <s v="PPD"/>
    <n v="1"/>
    <n v="1.99"/>
    <n v="0.21390000000000001"/>
    <n v="0.19390000000000002"/>
    <n v="0.46229999999999999"/>
    <n v="0.13"/>
    <s v="WARNER"/>
  </r>
  <r>
    <n v="36649"/>
    <m/>
    <n v="444"/>
    <n v="44401"/>
    <n v="44401"/>
    <x v="126"/>
    <x v="91"/>
    <s v="CVAS"/>
    <x v="8"/>
    <x v="6"/>
    <s v=""/>
    <s v="Others"/>
    <s v="News"/>
    <s v="OnMobile Global Spain, S.L."/>
    <s v="ACTIVE"/>
    <s v="YES"/>
    <n v="38824"/>
    <s v="Noticias Emocion"/>
    <s v="NIVEL 54 (0.99 Euros)"/>
    <n v="54"/>
    <s v="Weekly subscription"/>
    <n v="908"/>
    <n v="0.99"/>
    <n v="0.5"/>
    <n v="0.5"/>
    <m/>
    <m/>
    <s v=""/>
  </r>
  <r>
    <n v="36827"/>
    <m/>
    <n v="292"/>
    <n v="29201"/>
    <n v="29201"/>
    <x v="127"/>
    <x v="92"/>
    <s v="CVAS"/>
    <x v="3"/>
    <x v="3"/>
    <s v=""/>
    <s v="Games"/>
    <s v=""/>
    <s v="Mobiground"/>
    <s v="ACTIVE"/>
    <s v="YES"/>
    <n v="38904"/>
    <s v="Juegos en tu movil"/>
    <s v="NIVEL 58 (2.99 Euros)"/>
    <n v="58"/>
    <s v="Weekly subscription"/>
    <n v="908"/>
    <n v="2.99"/>
    <n v="0.5"/>
    <n v="0.5"/>
    <m/>
    <m/>
    <s v=""/>
  </r>
  <r>
    <n v="36894"/>
    <m/>
    <n v="473"/>
    <n v="47301"/>
    <n v="47301"/>
    <x v="128"/>
    <x v="93"/>
    <s v="CVAS"/>
    <x v="3"/>
    <x v="3"/>
    <s v=""/>
    <s v="Games"/>
    <s v=""/>
    <s v="Mobiground"/>
    <s v="ACTIVE"/>
    <s v="YES"/>
    <n v="38927"/>
    <s v="JuegoCompletoXHTML0.99"/>
    <s v="NIVEL 54 (0.99 Euros)"/>
    <n v="54"/>
    <s v="PPD"/>
    <n v="1"/>
    <n v="0.99"/>
    <n v="0.5"/>
    <n v="0.5"/>
    <m/>
    <m/>
    <s v=""/>
  </r>
  <r>
    <n v="36896"/>
    <m/>
    <n v="473"/>
    <n v="47302"/>
    <n v="47302"/>
    <x v="129"/>
    <x v="94"/>
    <s v="CVAS"/>
    <x v="3"/>
    <x v="3"/>
    <s v=""/>
    <s v="Games"/>
    <s v=""/>
    <s v="Mobiground"/>
    <s v="ACTIVE"/>
    <s v="YES"/>
    <n v="38928"/>
    <s v="Juego Play2me"/>
    <s v="NIVEL 56 (1.99 Euros)"/>
    <n v="56"/>
    <s v="PPD"/>
    <n v="1"/>
    <n v="1.99"/>
    <m/>
    <m/>
    <m/>
    <m/>
    <s v=""/>
  </r>
  <r>
    <n v="36898"/>
    <m/>
    <n v="473"/>
    <n v="47303"/>
    <n v="47303"/>
    <x v="130"/>
    <x v="95"/>
    <s v="CVAS"/>
    <x v="3"/>
    <x v="3"/>
    <s v=""/>
    <s v="Games"/>
    <s v=""/>
    <s v="Mobiground"/>
    <s v="ACTIVE"/>
    <s v="YES"/>
    <n v="38929"/>
    <s v="JuegoCompletoXHTML2.99"/>
    <s v="NIVEL 58 (2.99 Euros)"/>
    <n v="58"/>
    <s v="PPD"/>
    <n v="1"/>
    <n v="2.99"/>
    <n v="0.5"/>
    <n v="0.5"/>
    <m/>
    <m/>
    <s v=""/>
  </r>
  <r>
    <n v="36900"/>
    <m/>
    <n v="473"/>
    <n v="47304"/>
    <n v="47304"/>
    <x v="131"/>
    <x v="96"/>
    <s v="CVAS"/>
    <x v="3"/>
    <x v="3"/>
    <s v=""/>
    <s v="Games"/>
    <s v=""/>
    <s v="Mobiground"/>
    <s v="ACTIVE"/>
    <s v="YES"/>
    <n v="38930"/>
    <s v="Juego Play2me"/>
    <s v="NIVEL 60 (3.99 Euros)"/>
    <n v="60"/>
    <s v="PPD"/>
    <n v="1"/>
    <n v="3.99"/>
    <n v="0.5"/>
    <n v="0.5"/>
    <m/>
    <m/>
    <s v=""/>
  </r>
  <r>
    <n v="37195"/>
    <n v="31876"/>
    <n v="482"/>
    <n v="48201"/>
    <n v="48201"/>
    <x v="132"/>
    <x v="0"/>
    <s v="CVAS"/>
    <x v="0"/>
    <x v="0"/>
    <s v="Light Soft"/>
    <s v="Light"/>
    <s v="Light Soft"/>
    <s v="Yiam Uno S.L."/>
    <s v="ACTIVE"/>
    <s v="YES"/>
    <n v="35014"/>
    <s v="Ex Novias"/>
    <s v="NIVEL 0 (0 Euros)"/>
    <n v="0"/>
    <s v="Weekly subscription"/>
    <n v="641"/>
    <n v="0"/>
    <m/>
    <m/>
    <m/>
    <m/>
    <s v=""/>
  </r>
  <r>
    <n v="37212"/>
    <n v="31568"/>
    <n v="502"/>
    <n v="50201"/>
    <n v="50201"/>
    <x v="133"/>
    <x v="0"/>
    <s v="CVAS"/>
    <x v="0"/>
    <x v="0"/>
    <s v="Light Hard"/>
    <s v="Light"/>
    <s v="Light Hard"/>
    <s v="Yiam Uno S.L."/>
    <s v="ACTIVE"/>
    <s v="YES"/>
    <n v="34787"/>
    <s v="Digital Sin"/>
    <s v="NIVEL 0 (0 Euros)"/>
    <n v="0"/>
    <s v="Weekly subscription"/>
    <n v="641"/>
    <n v="0"/>
    <m/>
    <m/>
    <m/>
    <m/>
    <s v=""/>
  </r>
  <r>
    <n v="37288"/>
    <m/>
    <n v="258"/>
    <n v="25805"/>
    <n v="25805"/>
    <x v="134"/>
    <x v="87"/>
    <s v="CVAS"/>
    <x v="3"/>
    <x v="3"/>
    <s v=""/>
    <s v="Games"/>
    <s v=""/>
    <s v="Gameloft"/>
    <s v="ACTIVE"/>
    <s v="YES"/>
    <n v="39024"/>
    <s v="Extra Juego Gloft"/>
    <s v="NIVEL 72 (9.99 Euros)"/>
    <n v="72"/>
    <s v="PPD"/>
    <n v="1"/>
    <n v="9.99"/>
    <n v="0.5"/>
    <n v="0.5"/>
    <m/>
    <m/>
    <s v=""/>
  </r>
  <r>
    <n v="37290"/>
    <m/>
    <n v="258"/>
    <n v="25806"/>
    <n v="25806"/>
    <x v="134"/>
    <x v="87"/>
    <s v="CVAS"/>
    <x v="3"/>
    <x v="3"/>
    <s v=""/>
    <s v="Games"/>
    <s v=""/>
    <s v="Gameloft"/>
    <s v="ACTIVE"/>
    <s v="YES"/>
    <n v="39025"/>
    <s v="Extra Juego Gloft"/>
    <s v="NIVEL 82 (14.99 Euros)"/>
    <n v="82"/>
    <s v="PPD"/>
    <n v="1"/>
    <n v="14.99"/>
    <n v="0.5"/>
    <n v="0.5"/>
    <m/>
    <m/>
    <s v=""/>
  </r>
  <r>
    <n v="37448"/>
    <m/>
    <n v="213"/>
    <n v="67"/>
    <n v="21367"/>
    <x v="135"/>
    <x v="97"/>
    <s v="CVAS"/>
    <x v="3"/>
    <x v="3"/>
    <s v=""/>
    <s v="Games"/>
    <s v=""/>
    <s v="Gameloft"/>
    <s v="ACTIVE"/>
    <s v="YES"/>
    <n v="39124"/>
    <s v="Juegos Gameloft "/>
    <s v="NIVEL 55 (1.49 Euros)"/>
    <n v="55"/>
    <s v="Weekly subscription"/>
    <n v="908"/>
    <n v="1.49"/>
    <n v="0.5"/>
    <n v="0.5"/>
    <m/>
    <m/>
    <s v=""/>
  </r>
  <r>
    <n v="37449"/>
    <n v="37448"/>
    <n v="213"/>
    <n v="68"/>
    <n v="21368"/>
    <x v="136"/>
    <x v="97"/>
    <s v="CVAS"/>
    <x v="3"/>
    <x v="3"/>
    <s v=""/>
    <s v="Games"/>
    <s v=""/>
    <s v="Gameloft"/>
    <s v="ACTIVE"/>
    <s v="YES"/>
    <n v="39124"/>
    <s v="Juegos Gameloft "/>
    <s v="NIVEL 0 (0 Euros)"/>
    <n v="0"/>
    <s v="Weekly subscription"/>
    <n v="641"/>
    <m/>
    <m/>
    <m/>
    <m/>
    <m/>
    <s v=""/>
  </r>
  <r>
    <n v="37508"/>
    <m/>
    <n v="597"/>
    <n v="59701"/>
    <n v="59701"/>
    <x v="47"/>
    <x v="0"/>
    <s v="CVAS"/>
    <x v="0"/>
    <x v="0"/>
    <s v="Light TV"/>
    <s v="Light"/>
    <s v="Light TV"/>
    <s v="Thagson"/>
    <s v="INACTIVE"/>
    <s v="YES"/>
    <n v="39164"/>
    <s v="Taquilla X8"/>
    <s v="NIVEL 58 (2.99 Euros)"/>
    <n v="58"/>
    <s v="Weekly subscription"/>
    <n v="908"/>
    <n v="2.99"/>
    <n v="0.3"/>
    <n v="0.7"/>
    <m/>
    <m/>
    <s v=""/>
  </r>
  <r>
    <n v="37512"/>
    <m/>
    <n v="598"/>
    <n v="59801"/>
    <n v="59801"/>
    <x v="47"/>
    <x v="0"/>
    <s v="CVAS"/>
    <x v="0"/>
    <x v="0"/>
    <s v="Light TV"/>
    <s v="Light"/>
    <s v="Light TV"/>
    <s v="Thagson"/>
    <s v="INACTIVE"/>
    <s v="YES"/>
    <n v="39165"/>
    <s v="Taquilla X9"/>
    <s v="NIVEL 12 (5 E)"/>
    <n v="12"/>
    <s v="Weekly subscription"/>
    <n v="908"/>
    <n v="5"/>
    <n v="0.3"/>
    <n v="0.7"/>
    <m/>
    <m/>
    <s v=""/>
  </r>
  <r>
    <n v="37516"/>
    <m/>
    <n v="589"/>
    <n v="58901"/>
    <n v="58901"/>
    <x v="47"/>
    <x v="0"/>
    <s v="CVAS"/>
    <x v="0"/>
    <x v="0"/>
    <s v="Light TV"/>
    <s v="Light"/>
    <s v="Light TV"/>
    <s v="Thagson"/>
    <s v="INACTIVE"/>
    <s v="YES"/>
    <n v="39166"/>
    <s v="Taquilla X10"/>
    <s v="NIVEL 58 (2.99 Euros)"/>
    <n v="58"/>
    <s v="Weekly subscription"/>
    <n v="908"/>
    <n v="2.99"/>
    <n v="0.3"/>
    <n v="0.7"/>
    <m/>
    <m/>
    <s v=""/>
  </r>
  <r>
    <n v="37841"/>
    <m/>
    <n v="236"/>
    <n v="94"/>
    <n v="94"/>
    <x v="137"/>
    <x v="98"/>
    <s v="CVAS"/>
    <x v="3"/>
    <x v="3"/>
    <s v=""/>
    <s v="Games"/>
    <s v=""/>
    <s v="Buongiorno"/>
    <s v="ACTIVE"/>
    <s v="YES"/>
    <n v="39369"/>
    <s v="Tap to fun"/>
    <s v="NIVEL 58 (2.99 Euros)"/>
    <n v="58"/>
    <s v="Weekly subscription"/>
    <n v="908"/>
    <n v="2.99"/>
    <n v="0.55000000000000004"/>
    <n v="0.45"/>
    <m/>
    <m/>
    <s v=""/>
  </r>
  <r>
    <n v="37843"/>
    <m/>
    <n v="233"/>
    <n v="91"/>
    <n v="91"/>
    <x v="137"/>
    <x v="99"/>
    <s v="CVAS"/>
    <x v="9"/>
    <x v="2"/>
    <s v=""/>
    <s v="Others"/>
    <s v="Free Time"/>
    <s v="Buongiorno"/>
    <s v="ACTIVE"/>
    <s v="YES"/>
    <n v="39370"/>
    <s v="Tap the stars"/>
    <s v="NIVEL 56 (1.99 Euros)"/>
    <n v="56"/>
    <s v="Weekly subscription"/>
    <n v="908"/>
    <n v="1.99"/>
    <n v="0.5"/>
    <n v="0.5"/>
    <m/>
    <m/>
    <s v=""/>
  </r>
  <r>
    <n v="37863"/>
    <m/>
    <n v="573"/>
    <n v="57301"/>
    <n v="57301"/>
    <x v="137"/>
    <x v="0"/>
    <s v="CVAS"/>
    <x v="0"/>
    <x v="0"/>
    <s v="Light Hard"/>
    <s v="Light"/>
    <s v="Light Hard"/>
    <s v="JET MULTIMEDIA "/>
    <s v="ACTIVE"/>
    <s v="YES"/>
    <n v="39390"/>
    <s v="Xtreme Movies"/>
    <s v="NIVEL 58 (2.99 Euros)"/>
    <n v="58"/>
    <s v="Weekly subscription"/>
    <n v="908"/>
    <n v="2.99"/>
    <n v="0.3"/>
    <n v="0.7"/>
    <m/>
    <m/>
    <s v=""/>
  </r>
  <r>
    <n v="37922"/>
    <m/>
    <n v="360"/>
    <n v="3601"/>
    <n v="3601"/>
    <x v="138"/>
    <x v="100"/>
    <s v="CVAS"/>
    <x v="3"/>
    <x v="3"/>
    <s v=""/>
    <s v="Games"/>
    <s v=""/>
    <s v="Mobiground"/>
    <s v="ACTIVE"/>
    <s v="YES"/>
    <n v="39450"/>
    <s v="Go Play"/>
    <s v="NIVEL 15 (0.75)"/>
    <n v="15"/>
    <s v="PPD"/>
    <n v="1"/>
    <n v="0.75"/>
    <n v="0.5"/>
    <n v="0.5"/>
    <m/>
    <m/>
    <s v=""/>
  </r>
  <r>
    <n v="37924"/>
    <m/>
    <n v="360"/>
    <n v="3602"/>
    <n v="3602"/>
    <x v="139"/>
    <x v="101"/>
    <s v="CVAS"/>
    <x v="3"/>
    <x v="3"/>
    <s v=""/>
    <s v="Games"/>
    <s v=""/>
    <s v="Mobiground"/>
    <s v="ACTIVE"/>
    <s v="YES"/>
    <n v="39451"/>
    <s v="Go Play"/>
    <s v="NIVEL 54 (0.99 Euros)"/>
    <n v="54"/>
    <s v="PPD"/>
    <n v="1"/>
    <n v="0.99"/>
    <n v="0.5"/>
    <n v="0.5"/>
    <m/>
    <m/>
    <s v=""/>
  </r>
  <r>
    <n v="37941"/>
    <m/>
    <n v="360"/>
    <n v="3603"/>
    <n v="3603"/>
    <x v="140"/>
    <x v="102"/>
    <s v="CVAS"/>
    <x v="3"/>
    <x v="3"/>
    <s v=""/>
    <s v="Games"/>
    <s v=""/>
    <s v="Mobiground"/>
    <s v="ACTIVE"/>
    <s v="YES"/>
    <n v="39469"/>
    <s v="Go Play"/>
    <s v="NIVEL 56 (1.99 Euros)"/>
    <n v="56"/>
    <s v="PPD"/>
    <n v="1"/>
    <n v="1.99"/>
    <n v="0.5"/>
    <n v="0.5"/>
    <m/>
    <m/>
    <s v=""/>
  </r>
  <r>
    <n v="37943"/>
    <m/>
    <n v="360"/>
    <n v="3604"/>
    <n v="3604"/>
    <x v="141"/>
    <x v="103"/>
    <s v="CVAS"/>
    <x v="3"/>
    <x v="3"/>
    <s v=""/>
    <s v="Games"/>
    <s v=""/>
    <s v="Mobiground"/>
    <s v="ACTIVE"/>
    <s v="YES"/>
    <n v="39470"/>
    <s v="Go Play"/>
    <s v="NIVEL 57 (2.49 Euros)"/>
    <n v="57"/>
    <s v="PPD"/>
    <n v="1"/>
    <n v="2.4900000000000002"/>
    <m/>
    <m/>
    <m/>
    <m/>
    <s v=""/>
  </r>
  <r>
    <n v="37945"/>
    <m/>
    <n v="360"/>
    <n v="3605"/>
    <n v="3605"/>
    <x v="142"/>
    <x v="104"/>
    <s v="CVAS"/>
    <x v="3"/>
    <x v="3"/>
    <s v=""/>
    <s v="Games"/>
    <s v=""/>
    <s v="Mobiground"/>
    <s v="ACTIVE"/>
    <s v="YES"/>
    <n v="39471"/>
    <s v="Go Play"/>
    <s v="NIVEL 58 (2.99 Euros)"/>
    <n v="58"/>
    <s v="PPD"/>
    <n v="1"/>
    <n v="2.99"/>
    <n v="0.5"/>
    <n v="0.5"/>
    <m/>
    <m/>
    <s v=""/>
  </r>
  <r>
    <n v="37947"/>
    <m/>
    <n v="362"/>
    <n v="36202"/>
    <n v="36202"/>
    <x v="143"/>
    <x v="105"/>
    <s v="CVAS"/>
    <x v="3"/>
    <x v="3"/>
    <s v=""/>
    <s v="Games"/>
    <s v=""/>
    <s v="Mobiground"/>
    <s v="ACTIVE"/>
    <s v="YES"/>
    <n v="37472"/>
    <s v="Juegos Go Play"/>
    <s v="NIVEL 55 (1.49 Euros)"/>
    <n v="55"/>
    <s v="Weekly subscription"/>
    <n v="908"/>
    <n v="1.49"/>
    <n v="0.5"/>
    <n v="0.5"/>
    <m/>
    <m/>
    <s v=""/>
  </r>
  <r>
    <n v="37951"/>
    <m/>
    <n v="360"/>
    <n v="3607"/>
    <n v="3607"/>
    <x v="144"/>
    <x v="106"/>
    <s v="CVAS"/>
    <x v="3"/>
    <x v="3"/>
    <s v=""/>
    <s v="Games"/>
    <s v=""/>
    <s v="Mobiground"/>
    <s v="ACTIVE"/>
    <s v="YES"/>
    <n v="39473"/>
    <s v="Go Play"/>
    <s v="NIVEL 60 (3.99 Euros)"/>
    <n v="60"/>
    <s v="PPD"/>
    <n v="1"/>
    <n v="3.99"/>
    <n v="0.5"/>
    <n v="0.5"/>
    <m/>
    <m/>
    <s v=""/>
  </r>
  <r>
    <n v="38661"/>
    <m/>
    <n v="259"/>
    <n v="25901"/>
    <n v="25901"/>
    <x v="145"/>
    <x v="107"/>
    <s v="CVAS"/>
    <x v="3"/>
    <x v="3"/>
    <s v=""/>
    <s v="Games"/>
    <s v=""/>
    <s v="Gameloft"/>
    <s v="ACTIVE"/>
    <s v="YES"/>
    <n v="39749"/>
    <s v="Extra juegos"/>
    <s v="NIVEL 15 (0.75)"/>
    <n v="15"/>
    <s v="PPD"/>
    <n v="1"/>
    <n v="0.75"/>
    <n v="0.5"/>
    <n v="0.5"/>
    <m/>
    <m/>
    <s v=""/>
  </r>
  <r>
    <n v="38663"/>
    <m/>
    <n v="259"/>
    <n v="25902"/>
    <n v="25902"/>
    <x v="146"/>
    <x v="107"/>
    <s v="CVAS"/>
    <x v="3"/>
    <x v="3"/>
    <s v=""/>
    <s v="Games"/>
    <s v=""/>
    <s v="Gameloft"/>
    <s v="ACTIVE"/>
    <s v="YES"/>
    <n v="39750"/>
    <s v="Extra juegos"/>
    <s v="NIVEL 54 (0.99 Euros)"/>
    <n v="54"/>
    <s v="PPD"/>
    <n v="1"/>
    <n v="0.99"/>
    <m/>
    <m/>
    <m/>
    <m/>
    <s v=""/>
  </r>
  <r>
    <n v="38665"/>
    <m/>
    <n v="259"/>
    <n v="25903"/>
    <n v="25903"/>
    <x v="147"/>
    <x v="107"/>
    <s v="CVAS"/>
    <x v="3"/>
    <x v="3"/>
    <s v=""/>
    <s v="Games"/>
    <s v=""/>
    <s v="Gameloft"/>
    <s v="ACTIVE"/>
    <s v="YES"/>
    <n v="39751"/>
    <s v="Extra juegos"/>
    <s v="NIVEL 56 (1.99 Euros)"/>
    <n v="56"/>
    <s v="PPD"/>
    <n v="1"/>
    <n v="1.99"/>
    <n v="0.5"/>
    <n v="0.5"/>
    <m/>
    <m/>
    <s v=""/>
  </r>
  <r>
    <n v="38667"/>
    <m/>
    <n v="259"/>
    <n v="25904"/>
    <n v="25904"/>
    <x v="148"/>
    <x v="107"/>
    <s v="CVAS"/>
    <x v="3"/>
    <x v="3"/>
    <s v=""/>
    <s v="Games"/>
    <s v=""/>
    <s v="Gameloft"/>
    <s v="ACTIVE"/>
    <s v="YES"/>
    <n v="39752"/>
    <s v="Extra juegos"/>
    <s v="NIVEL 60 (3.99 Euros)"/>
    <n v="60"/>
    <s v="PPD"/>
    <n v="1"/>
    <n v="3.99"/>
    <n v="0.5"/>
    <n v="0.5"/>
    <m/>
    <m/>
    <s v=""/>
  </r>
  <r>
    <n v="38681"/>
    <m/>
    <n v="259"/>
    <n v="25905"/>
    <n v="25905"/>
    <x v="149"/>
    <x v="107"/>
    <s v="CVAS"/>
    <x v="3"/>
    <x v="3"/>
    <s v=""/>
    <s v="Games"/>
    <s v=""/>
    <s v="Gameloft"/>
    <s v="ACTIVE"/>
    <s v="YES"/>
    <n v="39769"/>
    <s v="Extra juegos"/>
    <s v="NIVEL 66 (6.99 Euros)"/>
    <n v="66"/>
    <s v="PPD"/>
    <n v="1"/>
    <n v="6.99"/>
    <n v="0.5"/>
    <n v="0.5"/>
    <m/>
    <m/>
    <s v=""/>
  </r>
  <r>
    <n v="38683"/>
    <m/>
    <n v="259"/>
    <n v="25906"/>
    <n v="25906"/>
    <x v="150"/>
    <x v="107"/>
    <s v="CVAS"/>
    <x v="3"/>
    <x v="3"/>
    <s v=""/>
    <s v="Games"/>
    <s v=""/>
    <s v="Gameloft"/>
    <s v="ACTIVE"/>
    <s v="YES"/>
    <n v="39770"/>
    <s v="Extra juegos"/>
    <s v="NIVEL 68 (7.99 Euros)"/>
    <n v="68"/>
    <s v="PPD"/>
    <n v="1"/>
    <n v="7.99"/>
    <m/>
    <m/>
    <m/>
    <m/>
    <s v=""/>
  </r>
  <r>
    <n v="38685"/>
    <m/>
    <n v="259"/>
    <n v="25907"/>
    <n v="25907"/>
    <x v="151"/>
    <x v="107"/>
    <s v="CVAS"/>
    <x v="3"/>
    <x v="3"/>
    <s v=""/>
    <s v="Games"/>
    <s v=""/>
    <s v="Gameloft"/>
    <s v="ACTIVE"/>
    <s v="YES"/>
    <n v="39771"/>
    <s v="Extra juegos"/>
    <s v="NIVEL 72 (9.99 Euros)"/>
    <n v="72"/>
    <s v="PPD"/>
    <n v="1"/>
    <n v="9.99"/>
    <m/>
    <m/>
    <m/>
    <m/>
    <s v=""/>
  </r>
  <r>
    <n v="38687"/>
    <m/>
    <n v="259"/>
    <n v="25908"/>
    <n v="25908"/>
    <x v="152"/>
    <x v="107"/>
    <s v="CVAS"/>
    <x v="3"/>
    <x v="3"/>
    <s v=""/>
    <s v="Games"/>
    <s v=""/>
    <s v="Gameloft"/>
    <s v="ACTIVE"/>
    <s v="YES"/>
    <n v="39772"/>
    <s v="Extra juegos"/>
    <s v="NIVEL 82 (14.99 Euros)"/>
    <n v="82"/>
    <s v="PPD"/>
    <n v="1"/>
    <n v="14.99"/>
    <n v="0.5"/>
    <n v="0.5"/>
    <m/>
    <m/>
    <s v=""/>
  </r>
  <r>
    <n v="38903"/>
    <m/>
    <n v="235"/>
    <n v="93"/>
    <n v="93"/>
    <x v="153"/>
    <x v="108"/>
    <s v="CVAS"/>
    <x v="3"/>
    <x v="3"/>
    <s v=""/>
    <s v="Games"/>
    <s v=""/>
    <s v="Buongiorno"/>
    <s v="ACTIVE"/>
    <s v="YES"/>
    <n v="39870"/>
    <s v="Tap To Fun Promo"/>
    <s v="NIVEL 56 (1.99 Euros)"/>
    <n v="56"/>
    <s v="Weekly subscription"/>
    <n v="908"/>
    <n v="1.99"/>
    <n v="0.55000000000000004"/>
    <n v="0.45"/>
    <m/>
    <m/>
    <s v=""/>
  </r>
  <r>
    <n v="38904"/>
    <m/>
    <n v="234"/>
    <n v="92"/>
    <n v="92"/>
    <x v="154"/>
    <x v="109"/>
    <s v="CVAS"/>
    <x v="3"/>
    <x v="3"/>
    <s v=""/>
    <s v="Games"/>
    <s v=""/>
    <s v="Buongiorno"/>
    <s v="ACTIVE"/>
    <s v="YES"/>
    <n v="39869"/>
    <s v="Tap To Fun Basic"/>
    <s v="NIVEL 56 (1.99 Euros)"/>
    <n v="56"/>
    <s v="Weekly subscription"/>
    <n v="908"/>
    <n v="1.99"/>
    <n v="0.55000000000000004"/>
    <n v="0.45"/>
    <m/>
    <m/>
    <s v=""/>
  </r>
  <r>
    <n v="38941"/>
    <m/>
    <n v="577"/>
    <n v="57701"/>
    <n v="57701"/>
    <x v="155"/>
    <x v="110"/>
    <s v="CVAS"/>
    <x v="0"/>
    <x v="0"/>
    <s v=""/>
    <s v="Light"/>
    <s v="Light Soft"/>
    <s v="OnMobile Global Spain, S.L."/>
    <s v="ACTIVE"/>
    <s v="YES"/>
    <n v="39889"/>
    <s v="Rincon Prohibido"/>
    <s v="NIVEL 135 (1.23 Euros)"/>
    <n v="135"/>
    <s v="Weekly subscription"/>
    <n v="908"/>
    <n v="1.23"/>
    <n v="0.4"/>
    <n v="0.6"/>
    <m/>
    <m/>
    <s v=""/>
  </r>
  <r>
    <n v="38967"/>
    <m/>
    <n v="565"/>
    <n v="56501"/>
    <n v="56501"/>
    <x v="156"/>
    <x v="111"/>
    <s v="CVAS"/>
    <x v="10"/>
    <x v="2"/>
    <s v=""/>
    <s v="Others"/>
    <s v="Free Time"/>
    <s v="JET MULTIMEDIA"/>
    <s v="ACTIVE"/>
    <s v="YES"/>
    <n v="39910"/>
    <s v="EnglishPills"/>
    <s v="NIVEL 128 (1.64 Euros)"/>
    <n v="128"/>
    <s v="Weekly subscription"/>
    <n v="908"/>
    <n v="1.64"/>
    <n v="0.5"/>
    <n v="0.5"/>
    <m/>
    <m/>
    <s v=""/>
  </r>
  <r>
    <n v="38971"/>
    <m/>
    <n v="567"/>
    <n v="56701"/>
    <n v="56701"/>
    <x v="157"/>
    <x v="112"/>
    <s v="CVAS"/>
    <x v="10"/>
    <x v="7"/>
    <s v=""/>
    <s v="Others"/>
    <s v="Beauty and Health"/>
    <s v="JET MULTIMEDIA"/>
    <s v="ACTIVE"/>
    <s v="YES"/>
    <n v="39911"/>
    <s v="Eurosalud"/>
    <s v="NIVEL 135 (1.23 Euros)"/>
    <n v="135"/>
    <s v="Weekly subscription"/>
    <n v="908"/>
    <n v="1.23"/>
    <n v="0.45"/>
    <n v="0.55000000000000004"/>
    <m/>
    <m/>
    <s v=""/>
  </r>
  <r>
    <n v="38972"/>
    <n v="38971"/>
    <n v="567"/>
    <n v="56702"/>
    <n v="56702"/>
    <x v="158"/>
    <x v="112"/>
    <s v="CVAS"/>
    <x v="10"/>
    <x v="7"/>
    <s v=""/>
    <s v="Others"/>
    <s v="Beauty and Health"/>
    <s v="JET MULTIMEDIA"/>
    <s v="ACTIVE"/>
    <s v="YES"/>
    <n v="39911"/>
    <s v="Eurosalud"/>
    <s v="NIVEL 0 (0 Euros)"/>
    <n v="0"/>
    <s v="Weekly subscription"/>
    <n v="641"/>
    <n v="0"/>
    <m/>
    <m/>
    <m/>
    <m/>
    <s v=""/>
  </r>
  <r>
    <n v="39015"/>
    <m/>
    <n v="571"/>
    <n v="57101"/>
    <n v="57101"/>
    <x v="159"/>
    <x v="113"/>
    <s v="CVAS"/>
    <x v="10"/>
    <x v="2"/>
    <s v=""/>
    <s v="Others"/>
    <s v="Free Time"/>
    <s v="JET MULTIMEDIA"/>
    <s v="ACTIVE"/>
    <s v="YES"/>
    <n v="39931"/>
    <s v="Taromancia"/>
    <s v="NIVEL 128 (1.64 Euros)"/>
    <n v="128"/>
    <s v="Weekly subscription"/>
    <n v="908"/>
    <n v="1.64"/>
    <n v="0.5"/>
    <n v="0.5"/>
    <m/>
    <m/>
    <s v=""/>
  </r>
  <r>
    <n v="39016"/>
    <n v="39015"/>
    <n v="571"/>
    <n v="57102"/>
    <n v="57102"/>
    <x v="160"/>
    <x v="113"/>
    <s v="CVAS"/>
    <x v="10"/>
    <x v="2"/>
    <s v=""/>
    <s v="Others"/>
    <s v="Free Time"/>
    <s v="JET MULTIMEDIA"/>
    <s v="ACTIVE"/>
    <s v="YES"/>
    <n v="39931"/>
    <s v="Taromancia"/>
    <s v="NIVEL 0 (0 Euros)"/>
    <n v="0"/>
    <s v="Weekly subscription"/>
    <n v="641"/>
    <n v="0"/>
    <m/>
    <m/>
    <m/>
    <m/>
    <s v=""/>
  </r>
  <r>
    <n v="39041"/>
    <m/>
    <n v="286"/>
    <n v="28601"/>
    <n v="28601"/>
    <x v="161"/>
    <x v="0"/>
    <s v="CVAS"/>
    <x v="0"/>
    <x v="0"/>
    <s v="Light Hard"/>
    <s v="Light"/>
    <s v="Light Hard"/>
    <s v="Mobiground"/>
    <s v="INACTIVE"/>
    <s v="YES"/>
    <n v="39969"/>
    <s v="Orgasmatron"/>
    <s v="NIVEL 58 (2.99 Euros)"/>
    <n v="58"/>
    <s v="Weekly subscription"/>
    <n v="908"/>
    <n v="2.99"/>
    <n v="0.3"/>
    <n v="0.7"/>
    <m/>
    <m/>
    <s v=""/>
  </r>
  <r>
    <n v="39071"/>
    <m/>
    <m/>
    <m/>
    <m/>
    <x v="162"/>
    <x v="114"/>
    <s v="CVAS"/>
    <x v="5"/>
    <x v="8"/>
    <m/>
    <s v="Others"/>
    <m/>
    <s v="NEOMOBILE"/>
    <s v="INACTIVE"/>
    <s v="YES"/>
    <m/>
    <s v="Teledibujitos"/>
    <m/>
    <m/>
    <s v="Weekly subscription"/>
    <m/>
    <m/>
    <m/>
    <m/>
    <m/>
    <m/>
    <m/>
  </r>
  <r>
    <n v="39161"/>
    <m/>
    <n v="311"/>
    <n v="31101"/>
    <n v="31101"/>
    <x v="163"/>
    <x v="0"/>
    <s v="CVAS"/>
    <x v="0"/>
    <x v="0"/>
    <s v="Light Hard"/>
    <s v="Light"/>
    <s v="Light Hard"/>
    <s v="PSM"/>
    <s v="INACTIVE"/>
    <s v="YES"/>
    <n v="40009"/>
    <s v="Mi Sex Video"/>
    <s v="NIVEL 58 (2.99 Euros)"/>
    <n v="58"/>
    <s v="Weekly subscription"/>
    <n v="908"/>
    <n v="2.99"/>
    <n v="0.3"/>
    <n v="0.7"/>
    <m/>
    <m/>
    <s v=""/>
  </r>
  <r>
    <n v="39181"/>
    <m/>
    <n v="311"/>
    <n v="31102"/>
    <n v="31102"/>
    <x v="164"/>
    <x v="0"/>
    <s v="CVAS"/>
    <x v="0"/>
    <x v="0"/>
    <s v="Light Hard"/>
    <s v="Light"/>
    <s v="Light Hard"/>
    <s v="PSM"/>
    <s v="ACTIVE"/>
    <s v="YES"/>
    <n v="40029"/>
    <s v="Mi Sex Video"/>
    <s v="NIVEL 58 (2.99 Euros)"/>
    <n v="58"/>
    <s v="PPD"/>
    <n v="1"/>
    <n v="2.99"/>
    <n v="0.3"/>
    <n v="0.7"/>
    <m/>
    <m/>
    <s v=""/>
  </r>
  <r>
    <n v="39301"/>
    <m/>
    <n v="439"/>
    <n v="43902"/>
    <n v="43902"/>
    <x v="165"/>
    <x v="115"/>
    <s v="CVAS"/>
    <x v="10"/>
    <x v="7"/>
    <s v=""/>
    <s v="Others"/>
    <s v="Beauty and Health"/>
    <s v="OnMobile Global Spain, S.L."/>
    <s v="ACTIVE"/>
    <s v="YES"/>
    <n v="40129"/>
    <s v="Yo Mujer y +"/>
    <s v="NIVEL 130 (0.82 Euros)"/>
    <n v="130"/>
    <s v="Weekly subscription"/>
    <n v="908"/>
    <n v="0.82"/>
    <n v="0.5"/>
    <n v="0.5"/>
    <m/>
    <m/>
    <s v=""/>
  </r>
  <r>
    <n v="39302"/>
    <n v="39301"/>
    <n v="439"/>
    <n v="43901"/>
    <n v="43901"/>
    <x v="166"/>
    <x v="115"/>
    <s v="CVAS"/>
    <x v="10"/>
    <x v="7"/>
    <s v=""/>
    <s v="Others"/>
    <s v="Beauty and Health"/>
    <s v="OnMobile Global Spain, S.L."/>
    <s v="ACTIVE"/>
    <s v="YES"/>
    <n v="40129"/>
    <s v="Yo Mujer y +"/>
    <s v="NIVEL 0 (0 Euros)"/>
    <n v="0"/>
    <s v="Weekly subscription"/>
    <n v="641"/>
    <n v="0"/>
    <m/>
    <m/>
    <m/>
    <m/>
    <s v=""/>
  </r>
  <r>
    <n v="39321"/>
    <m/>
    <n v="438"/>
    <n v="43802"/>
    <n v="43802"/>
    <x v="167"/>
    <x v="116"/>
    <s v="CVAS"/>
    <x v="10"/>
    <x v="7"/>
    <s v=""/>
    <s v="Others"/>
    <s v="Beauty and Health"/>
    <s v="OnMobile Global Spain, S.L."/>
    <s v="ACTIVE"/>
    <s v="YES"/>
    <n v="40149"/>
    <s v="Cuidate Mejor"/>
    <s v="NIVEL 130 (0,82 Euros)"/>
    <n v="130"/>
    <s v="Weekly subscription"/>
    <n v="908"/>
    <n v="0.82"/>
    <n v="0.5"/>
    <n v="0.5"/>
    <m/>
    <m/>
    <s v=""/>
  </r>
  <r>
    <n v="39322"/>
    <n v="39321"/>
    <n v="438"/>
    <n v="43801"/>
    <n v="43801"/>
    <x v="168"/>
    <x v="116"/>
    <s v="CVAS"/>
    <x v="10"/>
    <x v="7"/>
    <s v=""/>
    <s v="Others"/>
    <s v="Beauty and Health"/>
    <s v="OnMobile Global Spain, S.L."/>
    <s v="ACTIVE"/>
    <s v="YES"/>
    <n v="40149"/>
    <s v="Cuidate Mejor"/>
    <s v="NIVEL 0 (0 Euros)"/>
    <n v="0"/>
    <s v="Weekly subscription"/>
    <n v="641"/>
    <n v="0"/>
    <m/>
    <m/>
    <m/>
    <m/>
    <s v=""/>
  </r>
  <r>
    <n v="39361"/>
    <m/>
    <n v="300"/>
    <n v="30001"/>
    <n v="30001"/>
    <x v="169"/>
    <x v="0"/>
    <s v="CVAS"/>
    <x v="0"/>
    <x v="0"/>
    <s v="Light Hard"/>
    <s v="Light"/>
    <s v="Light Hard"/>
    <s v="PSM"/>
    <s v="INACTIVE"/>
    <s v="YES"/>
    <n v="40189"/>
    <s v="Cam Girls"/>
    <s v="NIVEL 12 (5 Euros)"/>
    <n v="12"/>
    <s v="Weekly subscription"/>
    <n v="908"/>
    <n v="5"/>
    <n v="0.3"/>
    <n v="0.7"/>
    <m/>
    <m/>
    <s v=""/>
  </r>
  <r>
    <n v="39480"/>
    <m/>
    <n v="445"/>
    <n v="44501"/>
    <n v="44501"/>
    <x v="170"/>
    <x v="0"/>
    <s v="CVAS"/>
    <x v="0"/>
    <x v="0"/>
    <s v="Light Hard"/>
    <s v="Light"/>
    <s v="Light Hard"/>
    <s v="2dayuk"/>
    <s v="ACTIVE"/>
    <s v="YES"/>
    <n v="40209"/>
    <s v="Relatos XXX"/>
    <s v="NIVEL 137 (2.47 Euros)"/>
    <n v="137"/>
    <s v="Weekly subscription"/>
    <n v="908"/>
    <n v="2.4700000000000002"/>
    <n v="0.3"/>
    <n v="0.7"/>
    <m/>
    <m/>
    <s v=""/>
  </r>
  <r>
    <n v="39561"/>
    <m/>
    <n v="288"/>
    <n v="28801"/>
    <n v="28801"/>
    <x v="171"/>
    <x v="0"/>
    <s v="CVAS"/>
    <x v="0"/>
    <x v="0"/>
    <s v="Light Hard"/>
    <s v="Light"/>
    <s v="Light Hard"/>
    <s v="Mobiground"/>
    <s v="ACTIVE"/>
    <s v="YES"/>
    <n v="40269"/>
    <s v="Vicious Cam"/>
    <s v="NIVEL 59 (3.49 Euros)"/>
    <n v="59"/>
    <s v="Weekly subscription"/>
    <n v="908"/>
    <n v="3.49"/>
    <n v="0.3"/>
    <n v="0.7"/>
    <m/>
    <m/>
    <s v=""/>
  </r>
  <r>
    <n v="39581"/>
    <m/>
    <n v="468"/>
    <n v="46801"/>
    <n v="46801"/>
    <x v="172"/>
    <x v="117"/>
    <s v="CVAS"/>
    <x v="4"/>
    <x v="4"/>
    <s v=""/>
    <s v="Music"/>
    <s v=""/>
    <s v="Genexies"/>
    <s v="ACTIVE"/>
    <s v="YES"/>
    <n v="40289"/>
    <s v="Musica Clasica y Jazz"/>
    <s v="NIVEL 54 (0.99 Euros)"/>
    <n v="54"/>
    <s v="Weekly subscription"/>
    <n v="908"/>
    <n v="0.99"/>
    <n v="0.8"/>
    <n v="0.2"/>
    <m/>
    <m/>
    <s v=""/>
  </r>
  <r>
    <n v="39582"/>
    <n v="39581"/>
    <n v="468"/>
    <n v="46802"/>
    <n v="46802"/>
    <x v="173"/>
    <x v="117"/>
    <s v="CVAS"/>
    <x v="4"/>
    <x v="4"/>
    <s v=""/>
    <s v="Music"/>
    <s v=""/>
    <s v="Genexies"/>
    <s v="ACTIVE"/>
    <s v="YES"/>
    <n v="40289"/>
    <s v="Musica Clasica y Jazz"/>
    <s v="NIVEL 0 (0 Euros)"/>
    <n v="0"/>
    <s v="Weekly subscription"/>
    <n v="641"/>
    <n v="0"/>
    <m/>
    <m/>
    <m/>
    <m/>
    <s v=""/>
  </r>
  <r>
    <n v="39621"/>
    <m/>
    <n v="385"/>
    <n v="38501"/>
    <n v="38501"/>
    <x v="174"/>
    <x v="0"/>
    <s v="CVAS"/>
    <x v="0"/>
    <x v="0"/>
    <s v="Light Hard"/>
    <s v="Light"/>
    <s v="Light Hard"/>
    <s v="Thagson"/>
    <s v="ACTIVE"/>
    <s v="YES"/>
    <n v="40309"/>
    <s v="Porno Gafas"/>
    <s v="NIVEL 58 (2.99 Euros)"/>
    <n v="58"/>
    <s v="Weekly subscription"/>
    <n v="908"/>
    <n v="2.99"/>
    <n v="0.4"/>
    <n v="0.6"/>
    <m/>
    <m/>
    <s v=""/>
  </r>
  <r>
    <n v="39681"/>
    <m/>
    <n v="362"/>
    <n v="36203"/>
    <n v="36203"/>
    <x v="175"/>
    <x v="118"/>
    <s v="CVAS"/>
    <x v="3"/>
    <x v="3"/>
    <s v=""/>
    <s v="Games"/>
    <s v=""/>
    <s v="Mobiground"/>
    <s v="ACTIVE"/>
    <s v="YES"/>
    <n v="40329"/>
    <s v="Juegos GoPlay"/>
    <s v="NIVEL 128 (1.64 Euros)"/>
    <n v="128"/>
    <s v="Weekly subscription"/>
    <n v="908"/>
    <n v="1.64"/>
    <n v="0.5"/>
    <n v="0.5"/>
    <m/>
    <m/>
    <s v=""/>
  </r>
  <r>
    <n v="39682"/>
    <n v="39681"/>
    <n v="362"/>
    <n v="36201"/>
    <n v="36201"/>
    <x v="176"/>
    <x v="118"/>
    <s v="CVAS"/>
    <x v="3"/>
    <x v="3"/>
    <s v=""/>
    <s v="Games"/>
    <s v=""/>
    <s v="Mobiground"/>
    <s v="ACTIVE"/>
    <s v="YES"/>
    <n v="40329"/>
    <s v="Juegos GoPlay"/>
    <s v="NIVEL 0 (0 Euros)"/>
    <n v="0"/>
    <s v="Weekly subscription"/>
    <n v="641"/>
    <n v="0"/>
    <m/>
    <m/>
    <m/>
    <m/>
    <s v=""/>
  </r>
  <r>
    <n v="39721"/>
    <m/>
    <n v="349"/>
    <n v="34901"/>
    <n v="34901"/>
    <x v="177"/>
    <x v="119"/>
    <s v="CVAS"/>
    <x v="3"/>
    <x v="3"/>
    <s v=""/>
    <s v="Games"/>
    <s v=""/>
    <s v="Buongiorno"/>
    <s v="ACTIVE"/>
    <s v="YES"/>
    <n v="40349"/>
    <s v="Game Shaker"/>
    <s v="NIVEL 128 (1.64 Euros)"/>
    <n v="128"/>
    <s v="Weekly subscription"/>
    <n v="908"/>
    <n v="1.64"/>
    <n v="0.45"/>
    <n v="0.55000000000000004"/>
    <m/>
    <m/>
    <s v=""/>
  </r>
  <r>
    <n v="39923"/>
    <m/>
    <n v="241"/>
    <n v="24101"/>
    <n v="24101"/>
    <x v="178"/>
    <x v="120"/>
    <s v="CVAS"/>
    <x v="5"/>
    <x v="2"/>
    <s v=""/>
    <s v="Others"/>
    <s v="Free Time"/>
    <s v="Buongiorno"/>
    <s v="ACTIVE"/>
    <s v="YES"/>
    <n v="40469"/>
    <s v="Znack Video"/>
    <s v="NIVEL 135 (1.23 Euros)"/>
    <n v="135"/>
    <s v="Weekly subscription"/>
    <n v="908"/>
    <n v="1.23"/>
    <n v="0.45"/>
    <n v="0.55000000000000004"/>
    <m/>
    <m/>
    <s v=""/>
  </r>
  <r>
    <n v="40021"/>
    <m/>
    <n v="473"/>
    <n v="47305"/>
    <n v="47305"/>
    <x v="179"/>
    <x v="121"/>
    <s v="CVAS"/>
    <x v="3"/>
    <x v="3"/>
    <s v=""/>
    <s v="Games"/>
    <s v=""/>
    <s v="Mobiground"/>
    <s v="ACTIVE"/>
    <s v="YES"/>
    <n v="40509"/>
    <s v="Extra Juego Play2Me"/>
    <s v="NIVEL 62 (4.99 Euros)"/>
    <n v="62"/>
    <s v="PPD"/>
    <n v="1"/>
    <n v="4.99"/>
    <n v="0.5"/>
    <n v="0.5"/>
    <m/>
    <m/>
    <s v=""/>
  </r>
  <r>
    <n v="40061"/>
    <m/>
    <n v="434"/>
    <n v="43402"/>
    <n v="43402"/>
    <x v="180"/>
    <x v="122"/>
    <s v="CVAS"/>
    <x v="10"/>
    <x v="7"/>
    <s v=""/>
    <s v="Others"/>
    <s v="Beauty and Health"/>
    <s v="Genexies"/>
    <s v="ACTIVE"/>
    <s v="YES"/>
    <n v="40529"/>
    <s v="Fashion Bip"/>
    <s v="NIVEL 135 (1.23 Euros)"/>
    <n v="135"/>
    <s v="Weekly subscription"/>
    <n v="908"/>
    <n v="1.23"/>
    <n v="0.6"/>
    <n v="0.4"/>
    <m/>
    <m/>
    <s v=""/>
  </r>
  <r>
    <n v="40062"/>
    <n v="40061"/>
    <n v="434"/>
    <n v="43401"/>
    <n v="43401"/>
    <x v="181"/>
    <x v="122"/>
    <s v="CVAS"/>
    <x v="10"/>
    <x v="7"/>
    <s v=""/>
    <s v="Others"/>
    <s v="Beauty and Health"/>
    <s v="Genexies"/>
    <s v="ACTIVE"/>
    <s v="YES"/>
    <n v="40529"/>
    <s v="Fashion Bip"/>
    <s v="NIVEL 0 (0 Euros)"/>
    <n v="0"/>
    <s v="Weekly subscription"/>
    <n v="641"/>
    <n v="0"/>
    <m/>
    <m/>
    <m/>
    <m/>
    <s v=""/>
  </r>
  <r>
    <n v="40101"/>
    <m/>
    <n v="256"/>
    <n v="25601"/>
    <n v="25601"/>
    <x v="182"/>
    <x v="123"/>
    <s v="CVAS"/>
    <x v="3"/>
    <x v="3"/>
    <s v=""/>
    <s v="Games"/>
    <s v=""/>
    <s v="Gameloft"/>
    <s v="ACTIVE"/>
    <s v="YES"/>
    <n v="40549"/>
    <s v="Funatic Games"/>
    <s v="NIVEL 137 (2.47 Euros)"/>
    <n v="137"/>
    <s v="Weekly subscription"/>
    <n v="908"/>
    <n v="2.4700000000000002"/>
    <n v="0.5"/>
    <n v="0.5"/>
    <m/>
    <m/>
    <s v=""/>
  </r>
  <r>
    <n v="40161"/>
    <m/>
    <n v="226"/>
    <n v="22602"/>
    <n v="22602"/>
    <x v="183"/>
    <x v="124"/>
    <s v="CVAS"/>
    <x v="10"/>
    <x v="8"/>
    <s v=""/>
    <s v="Others"/>
    <s v="Kids"/>
    <s v="Buongiorno"/>
    <s v="ACTIVE"/>
    <s v="YES"/>
    <n v="40589"/>
    <s v="Little Smart Planet"/>
    <s v="NIVEL 130 (0.82 Euros)"/>
    <n v="130"/>
    <s v="Weekly subscription"/>
    <n v="908"/>
    <n v="0.82"/>
    <n v="0.5"/>
    <n v="0.5"/>
    <m/>
    <m/>
    <s v=""/>
  </r>
  <r>
    <n v="40162"/>
    <n v="40161"/>
    <n v="226"/>
    <n v="22601"/>
    <n v="22601"/>
    <x v="184"/>
    <x v="124"/>
    <s v="CVAS"/>
    <x v="10"/>
    <x v="8"/>
    <s v=""/>
    <s v="Others"/>
    <s v="Kids"/>
    <s v="Buongiorno"/>
    <s v="ACTIVE"/>
    <s v="YES"/>
    <n v="40589"/>
    <s v="Little Smart Planet"/>
    <s v="NIVEL 0 (0 Euros)"/>
    <n v="0"/>
    <s v="Weekly subscription"/>
    <n v="641"/>
    <n v="0"/>
    <m/>
    <m/>
    <m/>
    <m/>
    <s v=""/>
  </r>
  <r>
    <n v="40221"/>
    <m/>
    <n v="299"/>
    <n v="29901"/>
    <n v="29901"/>
    <x v="185"/>
    <x v="125"/>
    <s v="CVAS"/>
    <x v="5"/>
    <x v="2"/>
    <s v=""/>
    <s v="Others"/>
    <s v="Free Time"/>
    <s v="PSM"/>
    <s v="ACTIVE"/>
    <s v="YES"/>
    <n v="40609"/>
    <s v="Video Horoscopo"/>
    <s v="NIVEL 136 (2.06 Euros)"/>
    <n v="136"/>
    <s v="Weekly subscription"/>
    <n v="908"/>
    <n v="2.06"/>
    <n v="0.45"/>
    <n v="0.55000000000000004"/>
    <m/>
    <m/>
    <s v=""/>
  </r>
  <r>
    <n v="40261"/>
    <m/>
    <n v="569"/>
    <n v="56901"/>
    <n v="56901"/>
    <x v="186"/>
    <x v="126"/>
    <s v="CVAS"/>
    <x v="3"/>
    <x v="3"/>
    <s v=""/>
    <s v="Games"/>
    <s v=""/>
    <s v="JET MULTIMEDIA"/>
    <s v="ACTIVE"/>
    <s v="YES"/>
    <n v="40629"/>
    <s v="Games Club"/>
    <s v="NIVEL 137 (2.47 Euros)"/>
    <n v="137"/>
    <s v="Weekly subscription"/>
    <n v="908"/>
    <n v="2.4700000000000002"/>
    <n v="0.5"/>
    <n v="0.5"/>
    <m/>
    <m/>
    <s v=""/>
  </r>
  <r>
    <n v="40341"/>
    <m/>
    <n v="353"/>
    <n v="35302"/>
    <n v="35302"/>
    <x v="187"/>
    <x v="127"/>
    <s v="CVAS"/>
    <x v="5"/>
    <x v="2"/>
    <s v=""/>
    <s v="Others"/>
    <s v="Free Time"/>
    <s v="AirTouch New Media SL"/>
    <s v="ACTIVE"/>
    <s v="YES"/>
    <n v="40651"/>
    <s v="Golazos"/>
    <s v="NIVEL 135 (1.23 Euros)"/>
    <n v="135"/>
    <s v="Weekly subscription"/>
    <n v="908"/>
    <n v="1.23"/>
    <n v="0.45"/>
    <n v="0.55000000000000004"/>
    <m/>
    <m/>
    <s v=""/>
  </r>
  <r>
    <n v="40342"/>
    <n v="40341"/>
    <n v="353"/>
    <n v="35301"/>
    <n v="35301"/>
    <x v="188"/>
    <x v="127"/>
    <s v="CVAS"/>
    <x v="5"/>
    <x v="2"/>
    <s v=""/>
    <s v="Others"/>
    <s v="Free Time"/>
    <s v="AirTouch New Media SL"/>
    <s v="ACTIVE"/>
    <s v="YES"/>
    <n v="40651"/>
    <s v="Golazos"/>
    <s v="NIVEL 0 (0 Euros)"/>
    <n v="0"/>
    <s v="Weekly subscription"/>
    <n v="641"/>
    <n v="0"/>
    <m/>
    <m/>
    <m/>
    <m/>
    <s v=""/>
  </r>
  <r>
    <n v="40402"/>
    <m/>
    <n v="443"/>
    <n v="44301"/>
    <n v="44301"/>
    <x v="189"/>
    <x v="0"/>
    <s v="CVAS"/>
    <x v="0"/>
    <x v="0"/>
    <s v="Light Hard"/>
    <s v="Light"/>
    <s v="Light Hard"/>
    <s v="2dayuk"/>
    <s v="ACTIVE"/>
    <s v="YES"/>
    <n v="40670"/>
    <s v="21Naturals"/>
    <s v="NIVEL 58 (2.99 Euros)"/>
    <n v="58"/>
    <s v="Weekly subscription"/>
    <n v="908"/>
    <n v="2.99"/>
    <n v="0.3"/>
    <n v="0.7"/>
    <m/>
    <m/>
    <s v=""/>
  </r>
  <r>
    <n v="40545"/>
    <m/>
    <n v="441"/>
    <n v="44101"/>
    <n v="44101"/>
    <x v="190"/>
    <x v="0"/>
    <s v="CVAS"/>
    <x v="0"/>
    <x v="0"/>
    <s v="Light Hard"/>
    <s v="Light"/>
    <s v="Light Hard"/>
    <s v="2dayuk"/>
    <s v="ACTIVE"/>
    <s v="YES"/>
    <n v="40691"/>
    <s v="Viciosas XXX"/>
    <s v="NIVEL 137 (2.47 Euros)"/>
    <n v="137"/>
    <s v="Weekly subscription"/>
    <n v="908"/>
    <n v="2.4700000000000002"/>
    <n v="0.3"/>
    <n v="0.7"/>
    <m/>
    <m/>
    <s v=""/>
  </r>
  <r>
    <n v="40562"/>
    <m/>
    <n v="472"/>
    <n v="47201"/>
    <n v="47201"/>
    <x v="191"/>
    <x v="128"/>
    <s v="CVAS"/>
    <x v="4"/>
    <x v="4"/>
    <s v=""/>
    <s v="Music"/>
    <s v=""/>
    <s v="Genexies"/>
    <s v="ACTIVE"/>
    <s v="YES"/>
    <n v="40693"/>
    <s v="Musica x Generos"/>
    <s v="NIVEL 105 (1,48 Euros)"/>
    <n v="105"/>
    <s v="Weekly subscription"/>
    <n v="908"/>
    <n v="1.48"/>
    <n v="0.8"/>
    <n v="0.2"/>
    <m/>
    <m/>
    <s v=""/>
  </r>
  <r>
    <n v="40563"/>
    <n v="40562"/>
    <n v="472"/>
    <n v="47202"/>
    <n v="47202"/>
    <x v="192"/>
    <x v="128"/>
    <s v="CVAS"/>
    <x v="4"/>
    <x v="4"/>
    <s v=""/>
    <s v="Music"/>
    <s v=""/>
    <s v="Genexies"/>
    <s v="ACTIVE"/>
    <s v="YES"/>
    <n v="40693"/>
    <s v="Musica x Generos"/>
    <s v="NIVEL 0 (0 Euros)"/>
    <n v="0"/>
    <s v="Weekly subscription"/>
    <n v="641"/>
    <n v="0"/>
    <m/>
    <m/>
    <m/>
    <m/>
    <s v=""/>
  </r>
  <r>
    <n v="40651"/>
    <m/>
    <n v="312"/>
    <n v="31201"/>
    <n v="31201"/>
    <x v="193"/>
    <x v="129"/>
    <s v="CVAS"/>
    <x v="5"/>
    <x v="7"/>
    <s v=""/>
    <s v="Others"/>
    <s v="Beauty and Health"/>
    <s v="PSM"/>
    <s v="ACTIVE"/>
    <s v="YES"/>
    <n v="40752"/>
    <s v="Natural Beauty"/>
    <s v="NIVEL 136 (2.06 Euros)"/>
    <n v="136"/>
    <s v="Weekly subscription"/>
    <n v="908"/>
    <n v="2.06"/>
    <n v="0.45"/>
    <n v="0.55000000000000004"/>
    <m/>
    <m/>
    <s v=""/>
  </r>
  <r>
    <n v="40675"/>
    <m/>
    <n v="211"/>
    <n v="63"/>
    <n v="21163"/>
    <x v="194"/>
    <x v="130"/>
    <s v="CVAS"/>
    <x v="5"/>
    <x v="2"/>
    <s v=""/>
    <s v="Others"/>
    <s v="Free Time"/>
    <s v="PSM"/>
    <s v="ACTIVE"/>
    <s v="YES"/>
    <n v="40773"/>
    <s v="Videos Lo + Mejor"/>
    <s v="NIVEL 136 (2.06 Euros)"/>
    <n v="136"/>
    <s v="Weekly subscription"/>
    <n v="908"/>
    <n v="2.06"/>
    <n v="0.45"/>
    <n v="0.55000000000000004"/>
    <m/>
    <m/>
    <s v=""/>
  </r>
  <r>
    <n v="40683"/>
    <m/>
    <n v="442"/>
    <n v="44201"/>
    <n v="44201"/>
    <x v="195"/>
    <x v="131"/>
    <s v="CVAS"/>
    <x v="7"/>
    <x v="5"/>
    <s v=""/>
    <s v="Others"/>
    <s v="Sports"/>
    <s v="OnMobile Global Spain, S.L."/>
    <s v="ACTIVE"/>
    <s v="YES"/>
    <n v="40775"/>
    <s v="Futbolitis"/>
    <s v="NIVEL 54 (0.99 Euros)"/>
    <n v="54"/>
    <s v="Weekly subscription"/>
    <n v="908"/>
    <n v="0.99"/>
    <n v="0.5"/>
    <n v="0.5"/>
    <m/>
    <m/>
    <s v=""/>
  </r>
  <r>
    <n v="40771"/>
    <m/>
    <n v="352"/>
    <n v="35202"/>
    <n v="35202"/>
    <x v="196"/>
    <x v="132"/>
    <s v="CVAS"/>
    <x v="10"/>
    <x v="2"/>
    <s v=""/>
    <s v="Others"/>
    <s v="Free Time"/>
    <s v="AirTouch New Media SL"/>
    <s v="ACTIVE"/>
    <s v="YES"/>
    <n v="40812"/>
    <s v="Hazlo tu Mism@"/>
    <s v="NIVEL 130 (0.82 Euros)"/>
    <n v="130"/>
    <s v="Weekly subscription"/>
    <n v="908"/>
    <n v="0.82"/>
    <n v="0.5"/>
    <n v="0.5"/>
    <m/>
    <m/>
    <s v=""/>
  </r>
  <r>
    <n v="40772"/>
    <n v="40771"/>
    <n v="352"/>
    <n v="35201"/>
    <n v="35201"/>
    <x v="197"/>
    <x v="132"/>
    <s v="CVAS"/>
    <x v="10"/>
    <x v="2"/>
    <s v=""/>
    <s v="Others"/>
    <s v="Free Time"/>
    <s v="AirTouch New Media SL"/>
    <s v="ACTIVE"/>
    <s v="YES"/>
    <n v="40812"/>
    <s v="Hazlo tu Mism@"/>
    <s v="NIVEL 0 (0 Euros)"/>
    <n v="0"/>
    <s v="Weekly subscription"/>
    <n v="641"/>
    <n v="0"/>
    <m/>
    <m/>
    <m/>
    <m/>
    <s v=""/>
  </r>
  <r>
    <n v="40778"/>
    <m/>
    <n v="380"/>
    <n v="38001"/>
    <n v="38001"/>
    <x v="198"/>
    <x v="133"/>
    <s v="CVAS"/>
    <x v="0"/>
    <x v="0"/>
    <s v="Light Hard"/>
    <s v="Light"/>
    <s v="Light Hard"/>
    <s v="Thagson"/>
    <s v="ACTIVE"/>
    <s v="YES"/>
    <n v="40814"/>
    <s v="Bellezas Salvajes"/>
    <s v="NIVEL 136 (2.06 Euros)"/>
    <n v="136"/>
    <s v="Weekly subscription"/>
    <n v="908"/>
    <n v="2.06"/>
    <n v="0.3"/>
    <n v="0.7"/>
    <m/>
    <m/>
    <s v=""/>
  </r>
  <r>
    <n v="40953"/>
    <m/>
    <n v="218"/>
    <n v="76"/>
    <n v="76"/>
    <x v="199"/>
    <x v="134"/>
    <s v="CVAS"/>
    <x v="10"/>
    <x v="7"/>
    <s v=""/>
    <s v="Others"/>
    <s v="Beauty and Health"/>
    <s v="Buongiorno"/>
    <s v="ACTIVE"/>
    <s v="YES"/>
    <n v="40952"/>
    <s v="Daily Diva"/>
    <s v="NIVEL 128 (1.64 Euros)"/>
    <n v="128"/>
    <s v="Weekly subscription"/>
    <n v="908"/>
    <n v="1.64"/>
    <n v="0.5"/>
    <n v="0.5"/>
    <m/>
    <m/>
    <s v=""/>
  </r>
  <r>
    <n v="40962"/>
    <m/>
    <n v="219"/>
    <n v="77"/>
    <n v="77"/>
    <x v="200"/>
    <x v="135"/>
    <s v="CVAS"/>
    <x v="10"/>
    <x v="8"/>
    <s v=""/>
    <s v="Others"/>
    <s v="Kids"/>
    <s v="Buongiorno"/>
    <s v="ACTIVE"/>
    <s v="YES"/>
    <n v="40955"/>
    <s v="Edukidz"/>
    <s v="NIVEL 128 (1.64 Euros)"/>
    <n v="128"/>
    <s v="Weekly subscription"/>
    <n v="908"/>
    <n v="1.64"/>
    <n v="0.5"/>
    <n v="0.5"/>
    <m/>
    <m/>
    <s v=""/>
  </r>
  <r>
    <n v="41029"/>
    <m/>
    <n v="285"/>
    <n v="28501"/>
    <n v="28501"/>
    <x v="201"/>
    <x v="0"/>
    <s v="CVAS"/>
    <x v="0"/>
    <x v="0"/>
    <s v="Light Hard"/>
    <s v="Light"/>
    <s v="Light Hard"/>
    <s v="Mobiground"/>
    <s v="ACTIVE"/>
    <s v="YES"/>
    <n v="40976"/>
    <s v="Orgasmatron"/>
    <s v="NIVEL 138 (3.30 Euros)"/>
    <n v="138"/>
    <s v="Weekly subscription"/>
    <n v="908"/>
    <n v="3.3"/>
    <n v="0.4"/>
    <n v="0.6"/>
    <m/>
    <m/>
    <s v=""/>
  </r>
  <r>
    <n v="41034"/>
    <m/>
    <n v="443"/>
    <n v="44302"/>
    <n v="44302"/>
    <x v="189"/>
    <x v="0"/>
    <s v="CVAS"/>
    <x v="0"/>
    <x v="0"/>
    <s v="Light Hard"/>
    <s v="Light"/>
    <s v="Light Hard"/>
    <s v="2dayuk"/>
    <s v="ACTIVE"/>
    <s v="YES"/>
    <n v="40978"/>
    <s v="21Naturals"/>
    <s v="NIVEL 138 (3.30 Euros)"/>
    <n v="138"/>
    <s v="Weekly subscription"/>
    <n v="908"/>
    <n v="3.3"/>
    <n v="0.4"/>
    <n v="0.6"/>
    <m/>
    <m/>
    <s v=""/>
  </r>
  <r>
    <n v="41049"/>
    <m/>
    <n v="256"/>
    <n v="25602"/>
    <n v="25602"/>
    <x v="202"/>
    <x v="123"/>
    <s v="CVAS"/>
    <x v="3"/>
    <x v="3"/>
    <s v=""/>
    <s v="Games"/>
    <s v=""/>
    <s v="Gameloft"/>
    <s v="ACTIVE"/>
    <s v="YES"/>
    <n v="40996"/>
    <s v="Funatic Games"/>
    <s v="NIVEL 136 (2.06 Euros)"/>
    <n v="136"/>
    <s v="PPD"/>
    <n v="1"/>
    <n v="2.06"/>
    <n v="0.5"/>
    <n v="0.5"/>
    <m/>
    <m/>
    <s v=""/>
  </r>
  <r>
    <n v="41051"/>
    <m/>
    <n v="267"/>
    <n v="26701"/>
    <n v="26701"/>
    <x v="203"/>
    <x v="136"/>
    <s v="CVAS"/>
    <x v="5"/>
    <x v="2"/>
    <s v=""/>
    <s v="Others"/>
    <s v="Free Time"/>
    <s v="Mobiground"/>
    <s v="ACTIVE"/>
    <s v="YES"/>
    <n v="40997"/>
    <s v="Zaaass Videos"/>
    <s v="NIVEL 128 (1.64 Euros)"/>
    <n v="128"/>
    <s v="Weekly subscription"/>
    <n v="908"/>
    <n v="1.64"/>
    <n v="0.45"/>
    <n v="0.55000000000000004"/>
    <m/>
    <m/>
    <s v=""/>
  </r>
  <r>
    <n v="41129"/>
    <m/>
    <m/>
    <s v="X"/>
    <s v="X"/>
    <x v="204"/>
    <x v="0"/>
    <s v="CVAS"/>
    <x v="0"/>
    <x v="0"/>
    <s v="Light Hard"/>
    <s v="Light"/>
    <s v="Light Hard"/>
    <s v="2dayuk"/>
    <s v="ACTIVE"/>
    <s v="YES"/>
    <n v="41016"/>
    <s v="IntimaX"/>
    <s v="NIVEL 58 (2.99 Euros)"/>
    <n v="58"/>
    <s v="Weekly subscription"/>
    <n v="908"/>
    <n v="2.99"/>
    <n v="0.3"/>
    <n v="0.7"/>
    <m/>
    <m/>
    <s v=""/>
  </r>
  <r>
    <n v="41149"/>
    <m/>
    <n v="265"/>
    <n v="26501"/>
    <n v="26501"/>
    <x v="205"/>
    <x v="137"/>
    <s v="CVAS"/>
    <x v="5"/>
    <x v="8"/>
    <s v=""/>
    <s v="Others"/>
    <s v="Kids"/>
    <s v="Mobiground"/>
    <s v="ACTIVE"/>
    <s v="YES"/>
    <n v="41036"/>
    <s v="Kids Tube"/>
    <s v="NIVEL 136 (2.06 Euros)"/>
    <n v="136"/>
    <s v="Weekly subscription"/>
    <n v="908"/>
    <n v="2.06"/>
    <n v="0.5"/>
    <n v="0.5"/>
    <m/>
    <m/>
    <s v=""/>
  </r>
  <r>
    <n v="41177"/>
    <m/>
    <n v="207"/>
    <n v="57"/>
    <n v="57"/>
    <x v="206"/>
    <x v="138"/>
    <s v="CVAS"/>
    <x v="10"/>
    <x v="2"/>
    <s v=""/>
    <s v="Others"/>
    <s v="Free Time"/>
    <s v="Buongiorno"/>
    <s v="ACTIVE"/>
    <s v="YES"/>
    <n v="41058"/>
    <s v="Chef Book Recetas"/>
    <s v="NIVEL 137 (2.47 Euros)"/>
    <n v="137"/>
    <s v="Weekly subscription"/>
    <n v="908"/>
    <n v="2.4700000000000002"/>
    <n v="0.5"/>
    <n v="0.5"/>
    <m/>
    <m/>
    <s v=""/>
  </r>
  <r>
    <n v="41178"/>
    <n v="41177"/>
    <n v="207"/>
    <n v="56"/>
    <n v="56"/>
    <x v="207"/>
    <x v="138"/>
    <s v="CVAS"/>
    <x v="10"/>
    <x v="2"/>
    <s v=""/>
    <s v="Others"/>
    <s v="Free Time"/>
    <s v="Buongiorno"/>
    <s v="ACTIVE"/>
    <s v="YES"/>
    <n v="41058"/>
    <s v="Chef Book Recetas"/>
    <s v="NIVEL 0 (0 Euros)"/>
    <n v="0"/>
    <s v="Weekly subscription"/>
    <n v="641"/>
    <n v="0"/>
    <m/>
    <m/>
    <m/>
    <m/>
    <s v=""/>
  </r>
  <r>
    <n v="41181"/>
    <m/>
    <n v="225"/>
    <n v="22502"/>
    <n v="22502"/>
    <x v="208"/>
    <x v="139"/>
    <s v="CVAS"/>
    <x v="10"/>
    <x v="2"/>
    <s v=""/>
    <s v="Others"/>
    <s v="Free Time"/>
    <s v="Buongiorno"/>
    <s v="ACTIVE"/>
    <s v="YES"/>
    <n v="41059"/>
    <s v=" iTrip Viajes y +"/>
    <s v="NIVEL 137 (2.47 Euros)"/>
    <n v="137"/>
    <s v="Weekly subscription"/>
    <n v="908"/>
    <n v="2.4700000000000002"/>
    <n v="0.5"/>
    <n v="0.5"/>
    <m/>
    <m/>
    <s v=""/>
  </r>
  <r>
    <n v="41182"/>
    <n v="41181"/>
    <n v="225"/>
    <n v="83"/>
    <n v="83"/>
    <x v="209"/>
    <x v="139"/>
    <s v="CVAS"/>
    <x v="10"/>
    <x v="2"/>
    <s v=""/>
    <s v="Others"/>
    <s v="Free Time"/>
    <s v="Buongiorno"/>
    <s v="ACTIVE"/>
    <s v="YES"/>
    <n v="41059"/>
    <s v=" iTrip Viajes y +"/>
    <s v="NIVEL 0 (0 Euros)"/>
    <n v="0"/>
    <s v="Weekly subscription"/>
    <n v="641"/>
    <n v="0"/>
    <m/>
    <m/>
    <m/>
    <m/>
    <s v=""/>
  </r>
  <r>
    <n v="41233"/>
    <m/>
    <m/>
    <m/>
    <m/>
    <x v="210"/>
    <x v="140"/>
    <s v="CVAS"/>
    <x v="3"/>
    <x v="3"/>
    <s v=""/>
    <s v="Games"/>
    <s v=""/>
    <s v="OnMobile Global Spain, S.L."/>
    <s v="ACTIVE"/>
    <s v="YES"/>
    <n v="41076"/>
    <s v="Juegos Play On"/>
    <s v="NIVEL 136 (2.06 Euros)"/>
    <n v="136"/>
    <s v="PPD"/>
    <n v="1"/>
    <n v="2.06"/>
    <n v="0.6"/>
    <n v="0.4"/>
    <m/>
    <m/>
    <s v=""/>
  </r>
  <r>
    <n v="41235"/>
    <m/>
    <m/>
    <s v="X"/>
    <s v="X"/>
    <x v="211"/>
    <x v="140"/>
    <s v="CVAS"/>
    <x v="3"/>
    <x v="3"/>
    <s v=""/>
    <s v="Games"/>
    <s v=""/>
    <s v="OnMobile Global Spain, S.L."/>
    <s v="ACTIVE"/>
    <s v="YES"/>
    <n v="41077"/>
    <s v="Juegos Play On"/>
    <s v="NIVEL 128 (1.64 Euros)"/>
    <n v="128"/>
    <s v="Weekly subscription"/>
    <n v="641"/>
    <n v="1.64"/>
    <n v="0.6"/>
    <n v="0.4"/>
    <m/>
    <m/>
    <s v=""/>
  </r>
  <r>
    <n v="41236"/>
    <n v="41235"/>
    <m/>
    <m/>
    <m/>
    <x v="212"/>
    <x v="140"/>
    <s v="CVAS"/>
    <x v="3"/>
    <x v="3"/>
    <s v=""/>
    <s v="Games"/>
    <s v=""/>
    <s v="OnMobile Global Spain, S.L."/>
    <s v="ACTIVE"/>
    <s v="YES"/>
    <n v="41077"/>
    <s v="Juegos Play On"/>
    <s v="NIVEL 0 (0 Euros)"/>
    <n v="0"/>
    <s v="Weekly subscription"/>
    <n v="908"/>
    <n v="0"/>
    <m/>
    <m/>
    <m/>
    <m/>
    <s v=""/>
  </r>
  <r>
    <n v="41247"/>
    <m/>
    <n v="381"/>
    <n v="38101"/>
    <n v="38101"/>
    <x v="213"/>
    <x v="141"/>
    <s v="CVAS"/>
    <x v="5"/>
    <x v="2"/>
    <s v=""/>
    <s v="Others"/>
    <s v="Free Time"/>
    <s v="Thagson"/>
    <s v="ACTIVE"/>
    <s v="YES"/>
    <n v="41078"/>
    <s v="Coto de Caza"/>
    <s v="NIVEL 136 (2.06 Euros)"/>
    <n v="136"/>
    <s v="Weekly subscription"/>
    <n v="908"/>
    <n v="2.06"/>
    <n v="0.45"/>
    <n v="0.55000000000000004"/>
    <m/>
    <m/>
    <s v=""/>
  </r>
  <r>
    <n v="41329"/>
    <m/>
    <n v="267"/>
    <n v="26702"/>
    <n v="26702"/>
    <x v="203"/>
    <x v="136"/>
    <s v="CVAS"/>
    <x v="5"/>
    <x v="2"/>
    <s v=""/>
    <s v="Others"/>
    <s v="Free Time"/>
    <s v="Mobiground"/>
    <s v="ACTIVE"/>
    <s v="YES"/>
    <n v="41096"/>
    <s v="Zaaass Videos"/>
    <s v="NIVEL 136 (2.06 Euros)"/>
    <n v="136"/>
    <s v="Weekly subscription"/>
    <n v="908"/>
    <n v="2.06"/>
    <n v="0.45"/>
    <n v="0.55000000000000004"/>
    <m/>
    <m/>
    <s v=""/>
  </r>
  <r>
    <n v="41449"/>
    <m/>
    <n v="441"/>
    <n v="44102"/>
    <n v="44102"/>
    <x v="214"/>
    <x v="0"/>
    <s v="CVAS"/>
    <x v="0"/>
    <x v="0"/>
    <s v="Light Hard"/>
    <s v="Light"/>
    <s v="Light Hard"/>
    <s v="2dayuk"/>
    <s v="ACTIVE"/>
    <s v="YES"/>
    <n v="41116"/>
    <s v="Viciosas XXX"/>
    <s v="NIVEL 58 (2.99 Euros)"/>
    <n v="58"/>
    <s v="Weekly subscription"/>
    <n v="908"/>
    <n v="2.99"/>
    <n v="0.3"/>
    <n v="0.7"/>
    <m/>
    <m/>
    <s v=""/>
  </r>
  <r>
    <n v="41529"/>
    <m/>
    <n v="382"/>
    <n v="38201"/>
    <n v="38201"/>
    <x v="215"/>
    <x v="142"/>
    <s v="CVAS"/>
    <x v="5"/>
    <x v="2"/>
    <s v=""/>
    <s v="Others"/>
    <s v="Free Time"/>
    <s v="Thagson"/>
    <s v="ACTIVE"/>
    <s v="YES"/>
    <n v="41136"/>
    <s v="Gladiadores MMA"/>
    <s v="NIVEL 136 (2.06 Euros)"/>
    <n v="136"/>
    <s v="Weekly subscription"/>
    <n v="908"/>
    <n v="2.06"/>
    <n v="0.45"/>
    <n v="0.55000000000000004"/>
    <m/>
    <m/>
    <s v=""/>
  </r>
  <r>
    <n v="41533"/>
    <m/>
    <n v="582"/>
    <n v="58201"/>
    <n v="58201"/>
    <x v="216"/>
    <x v="0"/>
    <s v="CVAS"/>
    <x v="0"/>
    <x v="0"/>
    <s v="Light Hard"/>
    <s v="Light"/>
    <s v="Light Hard"/>
    <s v="G-Mobile Content"/>
    <s v="INACTIVE"/>
    <s v="YES"/>
    <n v="41176"/>
    <s v="Gay Mobile XXX"/>
    <s v="NIVEL 58 (2.99 Euros)"/>
    <n v="58"/>
    <s v="Weekly subscription"/>
    <n v="908"/>
    <n v="2.99"/>
    <n v="0.3"/>
    <n v="0.7"/>
    <m/>
    <m/>
    <s v=""/>
  </r>
  <r>
    <n v="41589"/>
    <m/>
    <n v="566"/>
    <n v="56601"/>
    <n v="56601"/>
    <x v="217"/>
    <x v="111"/>
    <s v="CVAS"/>
    <x v="10"/>
    <x v="2"/>
    <s v=""/>
    <s v="Others"/>
    <s v="Free Time"/>
    <s v="JET MULTIMEDIA"/>
    <s v="ACTIVE"/>
    <s v="YES"/>
    <n v="41177"/>
    <s v="EnglishPills"/>
    <s v="NIVEL 128 (1.64 Euros)"/>
    <n v="128"/>
    <s v="Weekly subscription"/>
    <n v="908"/>
    <n v="1.64"/>
    <n v="0.4"/>
    <n v="0.6"/>
    <m/>
    <m/>
    <s v=""/>
  </r>
  <r>
    <n v="41593"/>
    <m/>
    <n v="568"/>
    <n v="56801"/>
    <n v="56801"/>
    <x v="218"/>
    <x v="112"/>
    <s v="CVAS"/>
    <x v="10"/>
    <x v="7"/>
    <s v=""/>
    <s v="Others"/>
    <s v="Beauty and Health"/>
    <s v="JET MULTIMEDIA"/>
    <s v="ACTIVE"/>
    <s v="YES"/>
    <n v="41178"/>
    <s v="Eurosalud"/>
    <s v="NIVEL 135 (1.23 Euros)"/>
    <n v="135"/>
    <s v="Weekly subscription"/>
    <n v="908"/>
    <n v="1.23"/>
    <n v="0.4"/>
    <n v="0.6"/>
    <m/>
    <m/>
    <s v=""/>
  </r>
  <r>
    <n v="41594"/>
    <n v="41593"/>
    <n v="568"/>
    <n v="56802"/>
    <n v="56802"/>
    <x v="219"/>
    <x v="112"/>
    <s v="CVAS"/>
    <x v="10"/>
    <x v="7"/>
    <s v=""/>
    <s v="Others"/>
    <s v="Beauty and Health"/>
    <s v="JET MULTIMEDIA"/>
    <s v="ACTIVE"/>
    <s v="YES"/>
    <n v="41178"/>
    <s v="Eurosalud"/>
    <s v="NIVEL 0 (0 Euros)"/>
    <n v="0"/>
    <s v="Weekly subscription"/>
    <n v="641"/>
    <n v="0"/>
    <m/>
    <m/>
    <m/>
    <m/>
    <s v=""/>
  </r>
  <r>
    <n v="41597"/>
    <m/>
    <n v="572"/>
    <n v="57201"/>
    <n v="57201"/>
    <x v="220"/>
    <x v="143"/>
    <s v="CVAS"/>
    <x v="10"/>
    <x v="2"/>
    <s v=""/>
    <s v="Others"/>
    <s v="Free Time"/>
    <s v="JET MULTIMEDIA"/>
    <s v="ACTIVE"/>
    <s v="YES"/>
    <n v="41179"/>
    <s v="Taromancia"/>
    <s v="NIVEL 128 (1.64 Euros)"/>
    <n v="128"/>
    <s v="Weekly subscription"/>
    <n v="908"/>
    <n v="1.64"/>
    <n v="0.45"/>
    <n v="0.55000000000000004"/>
    <m/>
    <m/>
    <s v=""/>
  </r>
  <r>
    <n v="41598"/>
    <n v="41597"/>
    <n v="572"/>
    <n v="57202"/>
    <n v="57202"/>
    <x v="221"/>
    <x v="143"/>
    <s v="CVAS"/>
    <x v="10"/>
    <x v="2"/>
    <s v=""/>
    <s v="Others"/>
    <s v="Free Time"/>
    <s v="JET MULTIMEDIA"/>
    <s v="ACTIVE"/>
    <s v="YES"/>
    <n v="41179"/>
    <s v="Taromancia"/>
    <s v="NIVEL 0 (0 Euros)"/>
    <n v="0"/>
    <s v="Weekly subscription"/>
    <n v="641"/>
    <n v="0"/>
    <m/>
    <m/>
    <m/>
    <m/>
    <s v=""/>
  </r>
  <r>
    <n v="41601"/>
    <m/>
    <n v="570"/>
    <n v="57001"/>
    <n v="57001"/>
    <x v="222"/>
    <x v="126"/>
    <s v="CVAS"/>
    <x v="3"/>
    <x v="3"/>
    <s v=""/>
    <s v="Games"/>
    <s v=""/>
    <s v="JET MULTIMEDIA"/>
    <s v="ACTIVE"/>
    <s v="YES"/>
    <n v="41180"/>
    <s v="Games Club"/>
    <s v="NIVEL 137 (2.47 Euros)"/>
    <n v="137"/>
    <s v="Weekly subscription"/>
    <n v="908"/>
    <n v="2.4700000000000002"/>
    <n v="0.35"/>
    <n v="0.65"/>
    <m/>
    <m/>
    <s v=""/>
  </r>
  <r>
    <n v="41603"/>
    <m/>
    <n v="574"/>
    <n v="57401"/>
    <n v="57401"/>
    <x v="223"/>
    <x v="0"/>
    <s v="CVAS"/>
    <x v="0"/>
    <x v="0"/>
    <s v="Light Hard"/>
    <s v="Light"/>
    <s v="Light Hard"/>
    <s v="JET MULTIMEDIA "/>
    <s v="INACTIVE"/>
    <s v="YES"/>
    <n v="41181"/>
    <s v="Xtreme Movies"/>
    <s v="NIVEL 58 (2.99 Euros)"/>
    <n v="58"/>
    <s v="Weekly subscription"/>
    <n v="908"/>
    <n v="2.99"/>
    <n v="0.3"/>
    <n v="0.7"/>
    <m/>
    <m/>
    <s v=""/>
  </r>
  <r>
    <n v="41633"/>
    <m/>
    <n v="343"/>
    <n v="34301"/>
    <n v="34301"/>
    <x v="224"/>
    <x v="41"/>
    <s v="CVAS"/>
    <x v="3"/>
    <x v="3"/>
    <s v=""/>
    <s v="Games"/>
    <s v=""/>
    <s v="Mobiground"/>
    <s v="ACTIVE"/>
    <s v="YES"/>
    <n v="41184"/>
    <s v="Susc Sem Play2Me"/>
    <s v="NIVEL 58 (2.99 Euros)"/>
    <n v="58"/>
    <s v="Weekly subscription"/>
    <n v="908"/>
    <n v="2.99"/>
    <n v="0.35"/>
    <n v="0.65"/>
    <m/>
    <m/>
    <s v=""/>
  </r>
  <r>
    <n v="41636"/>
    <m/>
    <n v="291"/>
    <n v="29101"/>
    <n v="29101"/>
    <x v="225"/>
    <x v="92"/>
    <s v="CVAS"/>
    <x v="3"/>
    <x v="3"/>
    <s v=""/>
    <s v="Games"/>
    <s v=""/>
    <s v="Mobiground"/>
    <s v="ACTIVE"/>
    <s v="YES"/>
    <n v="41186"/>
    <s v="Juegos en tu movil"/>
    <s v="NIVEL 58 (2.99 Euros)"/>
    <n v="58"/>
    <s v="Weekly subscription"/>
    <n v="908"/>
    <n v="2.99"/>
    <n v="0.35"/>
    <n v="0.65"/>
    <m/>
    <m/>
    <s v=""/>
  </r>
  <r>
    <n v="41638"/>
    <m/>
    <n v="284"/>
    <n v="28401"/>
    <n v="28401"/>
    <x v="226"/>
    <x v="0"/>
    <s v="CVAS"/>
    <x v="0"/>
    <x v="0"/>
    <s v="Light Hard"/>
    <s v="Light"/>
    <s v="Light Hard"/>
    <s v="Mobiground"/>
    <s v="ACTIVE"/>
    <s v="YES"/>
    <n v="41187"/>
    <s v="Orgasmatron"/>
    <s v="NIVEL 138 (3.30 Euros)"/>
    <n v="138"/>
    <s v="Weekly subscription"/>
    <n v="908"/>
    <n v="3.3"/>
    <n v="0.25"/>
    <n v="0.75"/>
    <m/>
    <m/>
    <s v=""/>
  </r>
  <r>
    <n v="41640"/>
    <m/>
    <m/>
    <m/>
    <m/>
    <x v="227"/>
    <x v="0"/>
    <s v="CVAS"/>
    <x v="0"/>
    <x v="0"/>
    <s v="Light Hard"/>
    <s v="Light"/>
    <s v="Light Hard"/>
    <s v="PSM"/>
    <s v="INACTIVE"/>
    <s v="YES"/>
    <n v="41188"/>
    <s v="Mi Sex Video"/>
    <s v="NIVEL 58 (2.99 Euros)"/>
    <n v="58"/>
    <s v="Weekly subscription"/>
    <n v="908"/>
    <n v="2.99"/>
    <n v="0.3"/>
    <n v="0.7"/>
    <m/>
    <m/>
    <s v=""/>
  </r>
  <r>
    <n v="41644"/>
    <m/>
    <m/>
    <m/>
    <m/>
    <x v="228"/>
    <x v="129"/>
    <s v="CVAS"/>
    <x v="5"/>
    <x v="7"/>
    <s v=""/>
    <s v="Others"/>
    <s v="Beauty and Health"/>
    <s v="PSM"/>
    <s v="ACTIVE"/>
    <s v="YES"/>
    <n v="41189"/>
    <s v="Natural Beauty"/>
    <s v="NIVEL 136 (2.06 Euros)"/>
    <n v="136"/>
    <s v="Weekly subscription"/>
    <n v="908"/>
    <n v="2.06"/>
    <n v="0.4"/>
    <n v="0.6"/>
    <m/>
    <m/>
    <s v=""/>
  </r>
  <r>
    <n v="41648"/>
    <m/>
    <n v="287"/>
    <n v="28701"/>
    <n v="28701"/>
    <x v="229"/>
    <x v="0"/>
    <s v="CVAS"/>
    <x v="0"/>
    <x v="0"/>
    <s v="Light Hard"/>
    <s v="Light"/>
    <s v="Light Hard"/>
    <s v="Mobiground"/>
    <s v="ACTIVE"/>
    <s v="YES"/>
    <n v="41190"/>
    <s v="Vicious Cam"/>
    <s v="NIVEL 59 (3.49 Euros)"/>
    <n v="59"/>
    <s v="Weekly subscription"/>
    <n v="908"/>
    <n v="3.49"/>
    <n v="0.25"/>
    <n v="0.75"/>
    <m/>
    <m/>
    <s v=""/>
  </r>
  <r>
    <n v="41650"/>
    <m/>
    <n v="268"/>
    <n v="26801"/>
    <n v="26801"/>
    <x v="230"/>
    <x v="136"/>
    <s v="CVAS"/>
    <x v="5"/>
    <x v="2"/>
    <s v=""/>
    <s v="Others"/>
    <s v="Free Time"/>
    <s v="Mobiground"/>
    <s v="ACTIVE"/>
    <s v="YES"/>
    <n v="41191"/>
    <s v="Zaaass Videos"/>
    <s v="NIVEL 136 (2.06 Euros)"/>
    <n v="136"/>
    <s v="Weekly subscription"/>
    <n v="908"/>
    <n v="2.06"/>
    <n v="0.35"/>
    <n v="0.65"/>
    <m/>
    <m/>
    <s v=""/>
  </r>
  <r>
    <n v="41652"/>
    <m/>
    <n v="266"/>
    <n v="26601"/>
    <n v="26601"/>
    <x v="231"/>
    <x v="137"/>
    <s v="CVAS"/>
    <x v="5"/>
    <x v="8"/>
    <s v=""/>
    <s v="Others"/>
    <s v="Kids"/>
    <s v="Mobiground"/>
    <s v="ACTIVE"/>
    <s v="YES"/>
    <n v="41192"/>
    <s v="Kids Tube"/>
    <s v="NIVEL 136 (2.06 Euros)"/>
    <n v="136"/>
    <s v="Weekly subscription"/>
    <n v="908"/>
    <n v="2.06"/>
    <n v="0.4"/>
    <n v="0.6"/>
    <m/>
    <m/>
    <s v=""/>
  </r>
  <r>
    <n v="41654"/>
    <m/>
    <n v="433"/>
    <n v="43302"/>
    <n v="43302"/>
    <x v="232"/>
    <x v="122"/>
    <s v="CVAS"/>
    <x v="10"/>
    <x v="7"/>
    <s v=""/>
    <s v="Others"/>
    <s v="Beauty and Health"/>
    <s v="Genexies"/>
    <s v="ACTIVE"/>
    <s v="YES"/>
    <n v="41193"/>
    <s v="Fashion Bip"/>
    <s v="NIVEL 135 (1.23 Euros)"/>
    <n v="135"/>
    <s v="Weekly subscription"/>
    <n v="908"/>
    <n v="1.23"/>
    <n v="0.5"/>
    <n v="0.5"/>
    <m/>
    <m/>
    <s v=""/>
  </r>
  <r>
    <n v="41655"/>
    <n v="41654"/>
    <n v="433"/>
    <n v="43301"/>
    <n v="43301"/>
    <x v="233"/>
    <x v="122"/>
    <s v="CVAS"/>
    <x v="10"/>
    <x v="7"/>
    <s v=""/>
    <s v="Others"/>
    <s v="Beauty and Health"/>
    <s v="Genexies"/>
    <s v="ACTIVE"/>
    <s v="YES"/>
    <n v="41193"/>
    <s v="Fashion Bip"/>
    <s v="NIVEL 0 (0 Euros)"/>
    <n v="0"/>
    <s v="Weekly subscription"/>
    <n v="641"/>
    <n v="0"/>
    <m/>
    <m/>
    <m/>
    <m/>
    <s v=""/>
  </r>
  <r>
    <n v="41659"/>
    <m/>
    <n v="379"/>
    <n v="37901"/>
    <n v="37901"/>
    <x v="234"/>
    <x v="0"/>
    <s v="CVAS"/>
    <x v="0"/>
    <x v="0"/>
    <s v="Light Hard"/>
    <s v="Light"/>
    <s v="Light Hard"/>
    <s v="G-Mobile Content"/>
    <s v="ACTIVE"/>
    <s v="YES"/>
    <n v="41197"/>
    <s v="Gay Mobile XXX"/>
    <s v="NIVEL 58 (2.99 Euros)"/>
    <n v="58"/>
    <s v="Weekly subscription"/>
    <n v="908"/>
    <n v="2.99"/>
    <n v="0.3"/>
    <n v="0.7"/>
    <m/>
    <m/>
    <s v=""/>
  </r>
  <r>
    <n v="41663"/>
    <m/>
    <n v="503"/>
    <n v="50302"/>
    <n v="50302"/>
    <x v="235"/>
    <x v="0"/>
    <s v="CVAS"/>
    <x v="0"/>
    <x v="0"/>
    <s v="Light Hard"/>
    <s v="Light"/>
    <s v="Light Hard"/>
    <s v="Yiam Uno S.L."/>
    <s v="ACTIVE"/>
    <s v="YES"/>
    <n v="41198"/>
    <s v="Digital Sin"/>
    <s v="NIVEL 58 (2.99 Euros)"/>
    <n v="58"/>
    <s v="Weekly subscription"/>
    <n v="908"/>
    <n v="2.99"/>
    <n v="0.3"/>
    <n v="0.7"/>
    <m/>
    <m/>
    <s v=""/>
  </r>
  <r>
    <n v="41664"/>
    <n v="41663"/>
    <n v="503"/>
    <n v="50301"/>
    <n v="50301"/>
    <x v="236"/>
    <x v="0"/>
    <s v="CVAS"/>
    <x v="0"/>
    <x v="0"/>
    <s v="Light Hard"/>
    <s v="Light"/>
    <s v="Light Hard"/>
    <s v="Yiam Uno S.L."/>
    <s v="ACTIVE"/>
    <s v="YES"/>
    <n v="41198"/>
    <s v="Digital Sin"/>
    <s v="NIVEL 0 (0 Euros)"/>
    <n v="0"/>
    <s v="Weekly subscription"/>
    <n v="641"/>
    <n v="0"/>
    <m/>
    <m/>
    <m/>
    <m/>
    <s v=""/>
  </r>
  <r>
    <n v="41667"/>
    <m/>
    <n v="506"/>
    <n v="50601"/>
    <n v="50601"/>
    <x v="237"/>
    <x v="0"/>
    <s v="CVAS"/>
    <x v="0"/>
    <x v="0"/>
    <s v="Light Hard"/>
    <s v="Light"/>
    <s v="Light Hard"/>
    <s v="Yiam Uno S.L."/>
    <s v="INACTIVE"/>
    <s v="YES"/>
    <n v="41199"/>
    <s v="New Sensations"/>
    <s v="NIVEL 58 (2.99 Euros)"/>
    <n v="58"/>
    <s v="Weekly subscription"/>
    <n v="908"/>
    <n v="2.99"/>
    <n v="0.3"/>
    <n v="0.7"/>
    <m/>
    <m/>
    <s v=""/>
  </r>
  <r>
    <n v="41671"/>
    <m/>
    <n v="487"/>
    <n v="48701"/>
    <n v="48701"/>
    <x v="238"/>
    <x v="0"/>
    <s v="CVAS"/>
    <x v="0"/>
    <x v="0"/>
    <s v="Light Hard"/>
    <s v="Light"/>
    <s v="Light Hard"/>
    <s v="Yiam Uno S.L."/>
    <s v="ACTIVE"/>
    <s v="YES"/>
    <n v="41200"/>
    <s v="Orgias"/>
    <s v="NIVEL 58 (2.99 Euros)"/>
    <n v="58"/>
    <s v="Weekly subscription"/>
    <n v="908"/>
    <n v="2.99"/>
    <n v="0.3"/>
    <n v="0.7"/>
    <m/>
    <m/>
    <s v=""/>
  </r>
  <r>
    <n v="41675"/>
    <m/>
    <n v="508"/>
    <n v="50801"/>
    <n v="50801"/>
    <x v="239"/>
    <x v="0"/>
    <s v="CVAS"/>
    <x v="0"/>
    <x v="0"/>
    <s v="Light Hard"/>
    <s v="Light"/>
    <s v="Light Hard"/>
    <s v="Yiam Uno S.L."/>
    <s v="ACTIVE"/>
    <s v="YES"/>
    <n v="41201"/>
    <s v="Playhouse"/>
    <s v="NIVEL 58 (2.99 Euros)"/>
    <n v="58"/>
    <s v="Weekly subscription"/>
    <n v="908"/>
    <n v="2.99"/>
    <n v="0.3"/>
    <n v="0.7"/>
    <m/>
    <m/>
    <s v=""/>
  </r>
  <r>
    <n v="41680"/>
    <m/>
    <n v="489"/>
    <n v="48901"/>
    <n v="48901"/>
    <x v="240"/>
    <x v="0"/>
    <s v="CVAS"/>
    <x v="0"/>
    <x v="0"/>
    <s v="Light Hard"/>
    <s v="Light"/>
    <s v="Light Hard"/>
    <s v="Yiam Uno S.L."/>
    <s v="ACTIVE"/>
    <s v="YES"/>
    <n v="41203"/>
    <s v="Por Culo"/>
    <s v="NIVEL 58 (2.99 Euros)"/>
    <n v="58"/>
    <s v="Weekly subscription"/>
    <n v="908"/>
    <n v="2.99"/>
    <n v="0.3"/>
    <n v="0.7"/>
    <m/>
    <m/>
    <s v=""/>
  </r>
  <r>
    <n v="41692"/>
    <m/>
    <n v="450"/>
    <n v="45001"/>
    <n v="45001"/>
    <x v="241"/>
    <x v="0"/>
    <s v="CVAS"/>
    <x v="0"/>
    <x v="0"/>
    <s v="Light Hard"/>
    <s v="Light"/>
    <s v="Light Hard"/>
    <s v="Claxson . Contribution"/>
    <s v="INACTIVE"/>
    <s v="YES"/>
    <n v="41206"/>
    <s v="Playboy"/>
    <s v="NIVEL 58 (2.99 Euros)"/>
    <n v="58"/>
    <s v="Weekly subscription"/>
    <n v="908"/>
    <n v="2.99"/>
    <n v="0.3"/>
    <n v="0.7"/>
    <m/>
    <m/>
    <s v=""/>
  </r>
  <r>
    <n v="41696"/>
    <m/>
    <m/>
    <m/>
    <m/>
    <x v="242"/>
    <x v="141"/>
    <s v="CVAS"/>
    <x v="5"/>
    <x v="2"/>
    <s v=""/>
    <s v="Others"/>
    <s v="Free Time"/>
    <s v="Thagson"/>
    <s v="ACTIVE"/>
    <s v="YES"/>
    <n v="41207"/>
    <s v="Coto de Caza"/>
    <s v="NIVEL 136 (2.06 Euros)"/>
    <n v="136"/>
    <s v="Weekly subscription"/>
    <n v="908"/>
    <n v="2.06"/>
    <n v="0.4"/>
    <n v="0.6"/>
    <m/>
    <m/>
    <s v=""/>
  </r>
  <r>
    <n v="41700"/>
    <m/>
    <m/>
    <m/>
    <m/>
    <x v="243"/>
    <x v="132"/>
    <s v="CVAS"/>
    <x v="10"/>
    <x v="2"/>
    <s v=""/>
    <s v="Others"/>
    <s v="Free Time"/>
    <s v="AirTouch New Media SL"/>
    <s v="ACTIVE"/>
    <s v="YES"/>
    <n v="41208"/>
    <s v="Hazlo tu Mism@"/>
    <s v="NIVEL 130 (0.82 Euros)"/>
    <n v="130"/>
    <s v="Weekly subscription"/>
    <n v="908"/>
    <n v="0.82"/>
    <n v="0.43"/>
    <n v="0.56999999999999995"/>
    <m/>
    <m/>
    <s v=""/>
  </r>
  <r>
    <n v="41701"/>
    <n v="41700"/>
    <m/>
    <m/>
    <m/>
    <x v="244"/>
    <x v="132"/>
    <s v="CVAS"/>
    <x v="10"/>
    <x v="2"/>
    <s v=""/>
    <s v="Others"/>
    <s v="Free Time"/>
    <s v="AirTouch New Media SL"/>
    <s v="ACTIVE"/>
    <s v="YES"/>
    <n v="41208"/>
    <s v="Hazlo tu Mism@"/>
    <s v="NIVEL 0 (0 Euros)"/>
    <n v="0"/>
    <s v="Weekly subscription"/>
    <n v="641"/>
    <n v="0"/>
    <m/>
    <m/>
    <m/>
    <m/>
    <s v=""/>
  </r>
  <r>
    <n v="41758"/>
    <m/>
    <n v="432"/>
    <n v="43202"/>
    <n v="43202"/>
    <x v="245"/>
    <x v="144"/>
    <s v="CVAS"/>
    <x v="10"/>
    <x v="2"/>
    <s v=""/>
    <s v="Others"/>
    <s v="Free Time"/>
    <s v="Genexies"/>
    <s v="ACTIVE"/>
    <s v="YES"/>
    <n v="41219"/>
    <s v="Mascotas"/>
    <s v="NIVEL 135 (1.23 Euros)"/>
    <n v="135"/>
    <s v="Weekly subscription"/>
    <n v="908"/>
    <n v="1.23"/>
    <n v="0.5"/>
    <n v="0.5"/>
    <m/>
    <m/>
    <s v=""/>
  </r>
  <r>
    <n v="41759"/>
    <n v="41758"/>
    <n v="432"/>
    <n v="43201"/>
    <n v="43201"/>
    <x v="246"/>
    <x v="144"/>
    <s v="CVAS"/>
    <x v="10"/>
    <x v="2"/>
    <s v=""/>
    <s v="Others"/>
    <s v="Free Time"/>
    <s v="Genexies"/>
    <s v="ACTIVE"/>
    <s v="YES"/>
    <n v="41219"/>
    <s v="Mascotas"/>
    <s v="NIVEL 0 (0 Euros)"/>
    <n v="0"/>
    <s v="Weekly subscription"/>
    <n v="641"/>
    <n v="0"/>
    <m/>
    <m/>
    <m/>
    <m/>
    <s v=""/>
  </r>
  <r>
    <n v="41762"/>
    <m/>
    <n v="480"/>
    <n v="48001"/>
    <n v="48001"/>
    <x v="247"/>
    <x v="0"/>
    <s v="CVAS"/>
    <x v="0"/>
    <x v="0"/>
    <s v="Light Soft"/>
    <s v="Light"/>
    <s v="Light Soft"/>
    <s v="Yiam Uno S.L."/>
    <s v="ACTIVE"/>
    <s v="YES"/>
    <n v="41220"/>
    <s v="Enfermeras"/>
    <s v="NIVEL 58 (2.99 Euros)"/>
    <n v="58"/>
    <s v="Weekly subscription"/>
    <n v="908"/>
    <n v="2.99"/>
    <n v="0.3"/>
    <n v="0.7"/>
    <m/>
    <m/>
    <s v=""/>
  </r>
  <r>
    <n v="41764"/>
    <m/>
    <n v="495"/>
    <n v="49501"/>
    <n v="49501"/>
    <x v="248"/>
    <x v="0"/>
    <s v="CVAS"/>
    <x v="0"/>
    <x v="0"/>
    <s v="Light Hard"/>
    <s v="Light"/>
    <s v="Light Hard"/>
    <s v="Yiam Uno S.L."/>
    <s v="ACTIVE"/>
    <s v="YES"/>
    <n v="41221"/>
    <s v="Tetonas"/>
    <s v="NIVEL 58 (2.99 Euros)"/>
    <n v="58"/>
    <s v="Weekly subscription"/>
    <n v="908"/>
    <n v="2.99"/>
    <n v="0.3"/>
    <n v="0.7"/>
    <m/>
    <m/>
    <s v=""/>
  </r>
  <r>
    <n v="41766"/>
    <m/>
    <n v="491"/>
    <n v="49101"/>
    <n v="49101"/>
    <x v="249"/>
    <x v="0"/>
    <s v="CVAS"/>
    <x v="0"/>
    <x v="0"/>
    <s v="Light Hard"/>
    <s v="Light"/>
    <s v="Light Hard"/>
    <s v="Yiam Uno S.L."/>
    <s v="ACTIVE"/>
    <s v="YES"/>
    <n v="41222"/>
    <s v="Amateur"/>
    <s v="NIVEL 58 (2.99 Euros)"/>
    <n v="58"/>
    <s v="Weekly subscription"/>
    <n v="908"/>
    <n v="2.99"/>
    <n v="0.3"/>
    <n v="0.7"/>
    <m/>
    <m/>
    <s v=""/>
  </r>
  <r>
    <n v="41788"/>
    <m/>
    <n v="448"/>
    <n v="44801"/>
    <n v="44801"/>
    <x v="250"/>
    <x v="0"/>
    <s v="CVAS"/>
    <x v="0"/>
    <x v="0"/>
    <s v="Light Hard"/>
    <s v="Light"/>
    <s v="Light Hard"/>
    <s v="Claxson . Contribution"/>
    <s v="INACTIVE"/>
    <s v="YES"/>
    <n v="41223"/>
    <s v="Penthouse"/>
    <s v="NIVEL 58 (2.99 Euros)"/>
    <n v="58"/>
    <s v="Weekly subscription"/>
    <n v="908"/>
    <n v="2.99"/>
    <n v="0.3"/>
    <n v="0.7"/>
    <m/>
    <m/>
    <s v=""/>
  </r>
  <r>
    <n v="41790"/>
    <m/>
    <m/>
    <m/>
    <m/>
    <x v="251"/>
    <x v="109"/>
    <s v="CVAS"/>
    <x v="3"/>
    <x v="3"/>
    <s v=""/>
    <s v="Games"/>
    <s v=""/>
    <s v="Buongiorno"/>
    <s v="ACTIVE"/>
    <s v="YES"/>
    <n v="41224"/>
    <s v="Tap To Fun"/>
    <s v="NIVEL 56 (1.99 Euros)"/>
    <n v="56"/>
    <s v="Weekly subscription"/>
    <n v="908"/>
    <n v="1.99"/>
    <n v="0.45"/>
    <n v="0.55000000000000004"/>
    <m/>
    <m/>
    <s v=""/>
  </r>
  <r>
    <n v="41792"/>
    <m/>
    <m/>
    <m/>
    <m/>
    <x v="252"/>
    <x v="99"/>
    <s v="CVAS"/>
    <x v="9"/>
    <x v="2"/>
    <s v=""/>
    <s v="Others"/>
    <s v="Free Time"/>
    <s v="Buongiorno"/>
    <s v="ACTIVE"/>
    <s v="YES"/>
    <n v="41225"/>
    <s v="Tap the stars"/>
    <s v="NIVEL 56 (1.99 Euros)"/>
    <n v="56"/>
    <s v="Weekly subscription"/>
    <n v="908"/>
    <n v="1.99"/>
    <n v="0.4"/>
    <n v="0.6"/>
    <m/>
    <m/>
    <s v=""/>
  </r>
  <r>
    <n v="41794"/>
    <m/>
    <m/>
    <m/>
    <m/>
    <x v="253"/>
    <x v="134"/>
    <s v="CVAS"/>
    <x v="10"/>
    <x v="7"/>
    <s v=""/>
    <s v="Others"/>
    <s v="Beauty and Health"/>
    <s v="Buongiorno"/>
    <s v="ACTIVE"/>
    <s v="YES"/>
    <n v="41226"/>
    <s v="Daily Diva"/>
    <s v="NIVEL 128 (1.64 Euros)"/>
    <n v="128"/>
    <s v="Weekly subscription"/>
    <n v="908"/>
    <n v="1.64"/>
    <n v="0.4"/>
    <n v="0.6"/>
    <m/>
    <m/>
    <s v=""/>
  </r>
  <r>
    <n v="41796"/>
    <m/>
    <m/>
    <m/>
    <m/>
    <x v="254"/>
    <x v="145"/>
    <s v="CVAS"/>
    <x v="5"/>
    <x v="2"/>
    <s v=""/>
    <s v="Others"/>
    <s v="Free Time"/>
    <s v="Buongiorno"/>
    <s v="ACTIVE"/>
    <s v="YES"/>
    <n v="41227"/>
    <s v="Fashion TV"/>
    <s v="NIVEL 56 (1.99 Euros)"/>
    <n v="56"/>
    <s v="Weekly subscription"/>
    <n v="908"/>
    <n v="1.99"/>
    <n v="0.5"/>
    <n v="0.5"/>
    <m/>
    <m/>
    <s v=""/>
  </r>
  <r>
    <n v="41798"/>
    <m/>
    <m/>
    <m/>
    <m/>
    <x v="255"/>
    <x v="146"/>
    <s v="CVAS"/>
    <x v="5"/>
    <x v="2"/>
    <s v=""/>
    <s v="Others"/>
    <s v="Free Time"/>
    <s v="Buongiorno"/>
    <s v="ACTIVE"/>
    <s v="YES"/>
    <n v="41228"/>
    <s v="Top Video"/>
    <s v="NIVEL 128 (1.64 Euros)"/>
    <n v="128"/>
    <s v="Weekly subscription"/>
    <n v="908"/>
    <n v="1.64"/>
    <n v="0.35"/>
    <n v="0.65"/>
    <m/>
    <m/>
    <s v=""/>
  </r>
  <r>
    <n v="41800"/>
    <m/>
    <m/>
    <m/>
    <m/>
    <x v="256"/>
    <x v="119"/>
    <s v="CVAS"/>
    <x v="3"/>
    <x v="3"/>
    <s v=""/>
    <s v="Games"/>
    <s v=""/>
    <s v="Buongiorno"/>
    <s v="ACTIVE"/>
    <s v="YES"/>
    <n v="41229"/>
    <s v="Game Shaker"/>
    <s v="NIVEL 128 (1.64 Euros)"/>
    <n v="128"/>
    <s v="Weekly subscription"/>
    <n v="908"/>
    <n v="1.64"/>
    <n v="0.35"/>
    <n v="0.65"/>
    <m/>
    <m/>
    <s v=""/>
  </r>
  <r>
    <n v="41802"/>
    <m/>
    <m/>
    <m/>
    <m/>
    <x v="257"/>
    <x v="135"/>
    <s v="CVAS"/>
    <x v="10"/>
    <x v="8"/>
    <s v=""/>
    <s v="Others"/>
    <s v="Kids"/>
    <s v="Buongiorno"/>
    <s v="ACTIVE"/>
    <s v="YES"/>
    <n v="41230"/>
    <s v="Edukidz"/>
    <s v="NIVEL 128 (1.64 Euros)"/>
    <n v="128"/>
    <s v="Weekly subscription"/>
    <n v="908"/>
    <n v="1.64"/>
    <n v="0.4"/>
    <n v="0.6"/>
    <m/>
    <m/>
    <s v=""/>
  </r>
  <r>
    <n v="41804"/>
    <m/>
    <m/>
    <m/>
    <m/>
    <x v="258"/>
    <x v="139"/>
    <s v="CVAS"/>
    <x v="10"/>
    <x v="2"/>
    <s v=""/>
    <s v="Others"/>
    <s v="Free Time"/>
    <s v="Buongiorno"/>
    <s v="ACTIVE"/>
    <s v="YES"/>
    <n v="41231"/>
    <s v=" iTrip Viajes y +"/>
    <s v="NIVEL 137 (2.47 Euros)"/>
    <n v="137"/>
    <s v="Weekly subscription"/>
    <n v="908"/>
    <n v="2.4700000000000002"/>
    <n v="0.4"/>
    <n v="0.6"/>
    <m/>
    <m/>
    <s v=""/>
  </r>
  <r>
    <n v="41805"/>
    <n v="41804"/>
    <m/>
    <m/>
    <m/>
    <x v="259"/>
    <x v="139"/>
    <s v="CVAS"/>
    <x v="10"/>
    <x v="2"/>
    <s v=""/>
    <s v="Others"/>
    <s v="Free Time"/>
    <s v="Buongiorno"/>
    <s v="ACTIVE"/>
    <s v="YES"/>
    <n v="41231"/>
    <s v=" iTrip Viajes y +"/>
    <s v="NIVEL 0 (0 Euros)"/>
    <n v="0"/>
    <s v="Weekly subscription"/>
    <n v="641"/>
    <n v="0"/>
    <m/>
    <m/>
    <m/>
    <m/>
    <s v=""/>
  </r>
  <r>
    <n v="41809"/>
    <m/>
    <m/>
    <m/>
    <m/>
    <x v="260"/>
    <x v="138"/>
    <s v="CVAS"/>
    <x v="10"/>
    <x v="2"/>
    <s v=""/>
    <s v="Others"/>
    <s v="Free Time"/>
    <s v="Buongiorno"/>
    <s v="ACTIVE"/>
    <s v="YES"/>
    <n v="41233"/>
    <s v="Chef Book Recetas"/>
    <s v="NIVEL 137 (2.47 Euros)"/>
    <n v="137"/>
    <s v="Weekly subscription"/>
    <n v="908"/>
    <n v="2.4700000000000002"/>
    <n v="0.4"/>
    <n v="0.6"/>
    <m/>
    <m/>
    <s v=""/>
  </r>
  <r>
    <n v="41810"/>
    <n v="41809"/>
    <m/>
    <m/>
    <m/>
    <x v="261"/>
    <x v="138"/>
    <s v="CVAS"/>
    <x v="10"/>
    <x v="2"/>
    <s v=""/>
    <s v="Others"/>
    <s v="Free Time"/>
    <s v="Buongiorno"/>
    <s v="ACTIVE"/>
    <s v="YES"/>
    <n v="41233"/>
    <s v="Chef Book Recetas"/>
    <s v="NIVEL 0 (0 Euros)"/>
    <n v="0"/>
    <s v="Weekly subscription"/>
    <n v="641"/>
    <n v="0"/>
    <m/>
    <m/>
    <m/>
    <m/>
    <s v=""/>
  </r>
  <r>
    <n v="41813"/>
    <m/>
    <m/>
    <m/>
    <m/>
    <x v="262"/>
    <x v="0"/>
    <s v="CVAS"/>
    <x v="0"/>
    <x v="0"/>
    <s v="Light TV"/>
    <s v="Light"/>
    <s v="Light TV"/>
    <s v="PSM"/>
    <s v="ACTIVE"/>
    <s v="YES"/>
    <n v="41234"/>
    <s v="Taquilla X3"/>
    <s v="NIVEL 58 (2.99 Euros)"/>
    <n v="58"/>
    <s v="Weekly subscription"/>
    <n v="908"/>
    <n v="2.99"/>
    <n v="0.3"/>
    <n v="0.7"/>
    <m/>
    <m/>
    <s v=""/>
  </r>
  <r>
    <n v="41815"/>
    <m/>
    <m/>
    <m/>
    <m/>
    <x v="263"/>
    <x v="0"/>
    <s v="CVAS"/>
    <x v="0"/>
    <x v="0"/>
    <s v="Light TV"/>
    <s v="Light"/>
    <s v="Light TV"/>
    <s v="PSM"/>
    <s v="ACTIVE"/>
    <s v="YES"/>
    <n v="41235"/>
    <s v="Taquilla X4"/>
    <s v="NIVEL 58 (2.99 Euros)"/>
    <n v="58"/>
    <s v="Weekly subscription"/>
    <n v="908"/>
    <n v="2.99"/>
    <n v="0.3"/>
    <n v="0.7"/>
    <m/>
    <m/>
    <s v=""/>
  </r>
  <r>
    <n v="41817"/>
    <m/>
    <m/>
    <m/>
    <m/>
    <x v="264"/>
    <x v="0"/>
    <s v="CVAS"/>
    <x v="0"/>
    <x v="0"/>
    <s v="Light TV"/>
    <s v="Light"/>
    <s v="Light TV"/>
    <s v="Thagson"/>
    <s v="ACTIVE"/>
    <s v="YES"/>
    <n v="41236"/>
    <s v="Taquilla X8"/>
    <s v="NIVEL 58 (2.99 Euros)"/>
    <n v="58"/>
    <s v="Weekly subscription"/>
    <n v="908"/>
    <n v="2.99"/>
    <n v="0.3"/>
    <n v="0.7"/>
    <m/>
    <m/>
    <s v=""/>
  </r>
  <r>
    <n v="41820"/>
    <m/>
    <m/>
    <m/>
    <m/>
    <x v="265"/>
    <x v="0"/>
    <s v="CVAS"/>
    <x v="0"/>
    <x v="0"/>
    <s v="Light TV"/>
    <s v="Light"/>
    <s v="Light TV"/>
    <s v="Thagson"/>
    <s v="ACTIVE"/>
    <s v="YES"/>
    <n v="41237"/>
    <s v="Taquilla X9"/>
    <s v="NIVEL 12 (5 E)"/>
    <n v="12"/>
    <s v="Weekly subscription"/>
    <n v="908"/>
    <n v="5"/>
    <n v="0.3"/>
    <n v="0.7"/>
    <m/>
    <m/>
    <s v=""/>
  </r>
  <r>
    <n v="41822"/>
    <m/>
    <m/>
    <m/>
    <m/>
    <x v="266"/>
    <x v="0"/>
    <s v="CVAS"/>
    <x v="0"/>
    <x v="0"/>
    <s v="Light TV"/>
    <s v="Light"/>
    <s v="Light TV"/>
    <s v="Thagson"/>
    <s v="ACTIVE"/>
    <s v="YES"/>
    <n v="41238"/>
    <s v="Taquilla X10"/>
    <s v="NIVEL 58 (2.99 Euros)"/>
    <n v="58"/>
    <s v="Weekly subscription"/>
    <n v="908"/>
    <n v="2.99"/>
    <n v="0.3"/>
    <n v="0.7"/>
    <m/>
    <m/>
    <s v=""/>
  </r>
  <r>
    <n v="41824"/>
    <m/>
    <n v="476"/>
    <n v="47602"/>
    <n v="47602"/>
    <x v="267"/>
    <x v="147"/>
    <s v="CVAS"/>
    <x v="3"/>
    <x v="3"/>
    <s v=""/>
    <s v="Games"/>
    <s v=""/>
    <s v="Connect2media"/>
    <s v="ACTIVE"/>
    <s v="YES"/>
    <n v="41239"/>
    <s v="Amigo Games"/>
    <s v="NIVEL 54 (0.99 Euros)"/>
    <n v="54"/>
    <s v="Weekly subscription"/>
    <n v="908"/>
    <n v="0.99"/>
    <n v="0.4"/>
    <n v="0.6"/>
    <m/>
    <m/>
    <s v=""/>
  </r>
  <r>
    <n v="41825"/>
    <n v="41824"/>
    <n v="476"/>
    <n v="47601"/>
    <n v="47601"/>
    <x v="268"/>
    <x v="147"/>
    <s v="CVAS"/>
    <x v="3"/>
    <x v="3"/>
    <s v=""/>
    <s v="Games"/>
    <s v=""/>
    <s v="Connect2media"/>
    <s v="ACTIVE"/>
    <s v="YES"/>
    <n v="41239"/>
    <s v="Amigo Games"/>
    <s v="NIVEL 0 (0 Euros)"/>
    <n v="0"/>
    <s v="Weekly subscription"/>
    <n v="641"/>
    <n v="0"/>
    <m/>
    <m/>
    <m/>
    <m/>
    <s v=""/>
  </r>
  <r>
    <n v="41909"/>
    <m/>
    <n v="578"/>
    <n v="57801"/>
    <n v="57801"/>
    <x v="269"/>
    <x v="148"/>
    <s v="CVAS"/>
    <x v="5"/>
    <x v="2"/>
    <s v=""/>
    <s v="Others"/>
    <s v="Free Time"/>
    <s v="OnMobile Global Spain, S.L."/>
    <s v="ACTIVE"/>
    <s v="YES"/>
    <n v="41276"/>
    <s v="The Tourist"/>
    <s v="NIVEL 136 (2.06 Euros)"/>
    <n v="136"/>
    <s v="Weekly subscription"/>
    <n v="908"/>
    <n v="2.06"/>
    <n v="0.45"/>
    <n v="0.55000000000000004"/>
    <m/>
    <m/>
    <s v=""/>
  </r>
  <r>
    <n v="41949"/>
    <m/>
    <n v="238"/>
    <n v="23801"/>
    <n v="23801"/>
    <x v="270"/>
    <x v="146"/>
    <s v="CVAS"/>
    <x v="5"/>
    <x v="2"/>
    <s v=""/>
    <s v="Others"/>
    <s v="Free Time"/>
    <s v="Buongiorno"/>
    <s v="ACTIVE"/>
    <s v="YES"/>
    <n v="41296"/>
    <s v="Top Video"/>
    <s v="NIVEL 128 (1.64 Euros)"/>
    <n v="128"/>
    <s v="Weekly subscription"/>
    <n v="908"/>
    <n v="1.64"/>
    <n v="0.45"/>
    <n v="0.55000000000000004"/>
    <m/>
    <m/>
    <s v=""/>
  </r>
  <r>
    <n v="42011"/>
    <m/>
    <n v="301"/>
    <n v="30101"/>
    <n v="30101"/>
    <x v="271"/>
    <x v="0"/>
    <s v="CVAS"/>
    <x v="0"/>
    <x v="0"/>
    <s v=""/>
    <s v="Light"/>
    <s v="Light Soft"/>
    <s v="PSM"/>
    <s v="ACTIVE"/>
    <s v="YES"/>
    <n v="41337"/>
    <s v="eXoticas"/>
    <s v="NIVEL 135 (1.23 Euros)"/>
    <n v="135"/>
    <s v="Weekly subscription"/>
    <n v="908"/>
    <n v="1.23"/>
    <n v="0.45"/>
    <n v="0.55000000000000004"/>
    <m/>
    <m/>
    <s v=""/>
  </r>
  <r>
    <n v="42049"/>
    <m/>
    <n v="222"/>
    <n v="22201"/>
    <n v="22201"/>
    <x v="272"/>
    <x v="149"/>
    <s v="CVAS"/>
    <x v="3"/>
    <x v="3"/>
    <s v=""/>
    <s v="Games"/>
    <s v=""/>
    <s v="Buongiorno"/>
    <s v="ACTIVE"/>
    <s v="YES"/>
    <n v="41356"/>
    <s v="Fun Planet"/>
    <s v="NIVEL 56 (1.99 Euros)"/>
    <n v="56"/>
    <s v="Weekly subscription"/>
    <n v="908"/>
    <n v="1.99"/>
    <n v="0.55000000000000004"/>
    <n v="0.45"/>
    <m/>
    <m/>
    <s v=""/>
  </r>
  <r>
    <n v="42069"/>
    <m/>
    <m/>
    <m/>
    <m/>
    <x v="273"/>
    <x v="149"/>
    <s v="CVAS"/>
    <x v="3"/>
    <x v="3"/>
    <s v=""/>
    <s v="Games"/>
    <s v=""/>
    <s v="Buongiorno"/>
    <s v="ACTIVE"/>
    <s v="YES"/>
    <n v="41376"/>
    <s v="Fun Planet"/>
    <s v="NIVEL 56 (1.99 Euros)"/>
    <n v="56"/>
    <s v="Weekly subscription"/>
    <n v="908"/>
    <n v="1.99"/>
    <n v="0.45"/>
    <n v="0.55000000000000004"/>
    <m/>
    <m/>
    <s v=""/>
  </r>
  <r>
    <n v="42071"/>
    <m/>
    <n v="215"/>
    <n v="73"/>
    <n v="73"/>
    <x v="274"/>
    <x v="150"/>
    <s v="CVAS"/>
    <x v="9"/>
    <x v="2"/>
    <s v=""/>
    <s v="Others"/>
    <s v="Free Time"/>
    <s v="Buongiorno"/>
    <s v="ACTIVE"/>
    <s v="YES"/>
    <n v="41377"/>
    <s v="Astro Futuro"/>
    <s v="NIVEL 56 (1.99 Euros)"/>
    <n v="56"/>
    <s v="Weekly subscription"/>
    <n v="908"/>
    <n v="1.99"/>
    <n v="0.5"/>
    <n v="0.5"/>
    <m/>
    <m/>
    <s v=""/>
  </r>
  <r>
    <n v="42073"/>
    <m/>
    <m/>
    <m/>
    <m/>
    <x v="275"/>
    <x v="150"/>
    <s v="CVAS"/>
    <x v="9"/>
    <x v="2"/>
    <s v=""/>
    <s v="Others"/>
    <s v="Free Time"/>
    <s v="Buongiorno"/>
    <s v="ACTIVE"/>
    <s v="YES"/>
    <n v="41378"/>
    <s v="Astro Futuro"/>
    <s v="NIVEL 56 (1.99 Euros)"/>
    <n v="56"/>
    <s v="Weekly subscription"/>
    <n v="908"/>
    <n v="1.99"/>
    <n v="0.4"/>
    <n v="0.6"/>
    <m/>
    <m/>
    <s v=""/>
  </r>
  <r>
    <n v="42076"/>
    <m/>
    <n v="348"/>
    <n v="34801"/>
    <n v="34801"/>
    <x v="276"/>
    <x v="151"/>
    <s v="CVAS"/>
    <x v="3"/>
    <x v="3"/>
    <s v=""/>
    <s v="Games"/>
    <s v=""/>
    <s v="Buongiorno"/>
    <s v="ACTIVE"/>
    <s v="YES"/>
    <n v="41380"/>
    <s v="Gamedroid"/>
    <s v="NIVEL 128 (1.64 Euros)"/>
    <n v="128"/>
    <s v="Weekly subscription"/>
    <n v="908"/>
    <n v="1.64"/>
    <n v="0.45"/>
    <n v="0.55000000000000004"/>
    <m/>
    <m/>
    <s v=""/>
  </r>
  <r>
    <n v="42078"/>
    <m/>
    <m/>
    <m/>
    <m/>
    <x v="277"/>
    <x v="151"/>
    <s v="CVAS"/>
    <x v="3"/>
    <x v="3"/>
    <s v=""/>
    <s v="Games"/>
    <s v=""/>
    <s v="Buongiorno"/>
    <s v="ACTIVE"/>
    <s v="YES"/>
    <n v="41381"/>
    <s v="Gamedroid"/>
    <s v="NIVEL 128 (1.64 Euros)"/>
    <n v="128"/>
    <s v="Weekly subscription"/>
    <n v="908"/>
    <n v="1.64"/>
    <n v="0.35"/>
    <n v="0.65"/>
    <m/>
    <m/>
    <s v=""/>
  </r>
  <r>
    <n v="42332"/>
    <m/>
    <m/>
    <m/>
    <m/>
    <x v="278"/>
    <x v="152"/>
    <s v="CVAS"/>
    <x v="10"/>
    <x v="7"/>
    <m/>
    <s v="Others"/>
    <m/>
    <s v="Terra"/>
    <s v="INACTIVE"/>
    <s v="YES"/>
    <m/>
    <s v="Edmundo"/>
    <m/>
    <m/>
    <s v="Weekly subscription"/>
    <m/>
    <m/>
    <m/>
    <m/>
    <m/>
    <m/>
    <m/>
  </r>
  <r>
    <n v="42334"/>
    <m/>
    <m/>
    <m/>
    <m/>
    <x v="278"/>
    <x v="152"/>
    <s v="CVAS"/>
    <x v="10"/>
    <x v="7"/>
    <m/>
    <s v="Others"/>
    <m/>
    <s v="Terra"/>
    <s v="INACTIVE"/>
    <s v="YES"/>
    <m/>
    <s v="Edmundo"/>
    <m/>
    <m/>
    <s v="Weekly subscription"/>
    <m/>
    <m/>
    <m/>
    <m/>
    <m/>
    <m/>
    <m/>
  </r>
  <r>
    <n v="42339"/>
    <m/>
    <n v="295"/>
    <n v="29501"/>
    <n v="29501"/>
    <x v="279"/>
    <x v="153"/>
    <s v="CVAS"/>
    <x v="10"/>
    <x v="8"/>
    <s v=""/>
    <s v="Others"/>
    <s v="Kids"/>
    <s v="Buongiorno"/>
    <s v="ACTIVE"/>
    <s v="YES"/>
    <n v="41493"/>
    <s v="Pocoyo House"/>
    <s v="NIVEL 136 (2.06 Euros)"/>
    <n v="136"/>
    <s v="Weekly subscription"/>
    <n v="908"/>
    <n v="2.06"/>
    <n v="0.5"/>
    <n v="0.5"/>
    <m/>
    <m/>
    <s v=""/>
  </r>
  <r>
    <n v="42341"/>
    <m/>
    <m/>
    <m/>
    <m/>
    <x v="280"/>
    <x v="153"/>
    <s v="CVAS"/>
    <x v="10"/>
    <x v="8"/>
    <s v=""/>
    <s v="Others"/>
    <s v="Kids"/>
    <s v="Buongiorno"/>
    <s v="ACTIVE"/>
    <s v="YES"/>
    <n v="41494"/>
    <s v="Pocoyo House"/>
    <s v="NIVEL 136 (2.06 Euros)"/>
    <n v="136"/>
    <s v="Weekly subscription"/>
    <n v="908"/>
    <n v="2.06"/>
    <n v="0.4"/>
    <n v="0.6"/>
    <m/>
    <m/>
    <s v=""/>
  </r>
  <r>
    <n v="42371"/>
    <m/>
    <m/>
    <m/>
    <m/>
    <x v="281"/>
    <x v="154"/>
    <s v="CVAS"/>
    <x v="5"/>
    <x v="2"/>
    <m/>
    <s v="Others"/>
    <m/>
    <s v="OnMobile Global Spain, S.L."/>
    <s v="INACTIVE"/>
    <s v="YES"/>
    <m/>
    <s v="Video Series"/>
    <m/>
    <m/>
    <s v="Weekly subscription"/>
    <m/>
    <m/>
    <m/>
    <m/>
    <m/>
    <m/>
    <m/>
  </r>
  <r>
    <n v="42389"/>
    <m/>
    <n v="350"/>
    <n v="35001"/>
    <n v="35001"/>
    <x v="282"/>
    <x v="124"/>
    <s v="CVAS"/>
    <x v="10"/>
    <x v="8"/>
    <s v=""/>
    <s v="Others"/>
    <s v="Kids"/>
    <s v="Buongiorno"/>
    <s v="ACTIVE"/>
    <s v="YES"/>
    <n v="41536"/>
    <s v="Little Smart Planet"/>
    <s v="NIVEL 135 (1.23 Euros)"/>
    <n v="135"/>
    <s v="Weekly subscription"/>
    <n v="908"/>
    <n v="1.23"/>
    <n v="0.5"/>
    <n v="0.5"/>
    <m/>
    <m/>
    <s v=""/>
  </r>
  <r>
    <n v="42390"/>
    <n v="42389"/>
    <m/>
    <m/>
    <m/>
    <x v="283"/>
    <x v="124"/>
    <s v="CVAS"/>
    <x v="11"/>
    <x v="8"/>
    <s v=""/>
    <s v="Others"/>
    <s v="Kids"/>
    <s v="Buongiorno"/>
    <s v="ACTIVE"/>
    <s v="YES"/>
    <n v="41536"/>
    <s v="Little Smart Planet"/>
    <s v="NIVEL 0 (0 Euros)"/>
    <n v="0"/>
    <s v="Weekly subscription"/>
    <n v="641"/>
    <n v="0"/>
    <m/>
    <m/>
    <m/>
    <m/>
    <s v=""/>
  </r>
  <r>
    <n v="42489"/>
    <m/>
    <n v="513"/>
    <n v="51301"/>
    <n v="51301"/>
    <x v="284"/>
    <x v="0"/>
    <s v="CVAS"/>
    <x v="0"/>
    <x v="0"/>
    <s v="Light Hard"/>
    <s v="Light"/>
    <s v="Light Hard"/>
    <s v="Mobiground"/>
    <s v="ACTIVE"/>
    <s v="YES"/>
    <n v="41556"/>
    <s v="Puta Locura / Mr 69"/>
    <s v="NIVEL 58 (2.99 Euros)"/>
    <n v="58"/>
    <s v="Weekly subscription"/>
    <m/>
    <n v="2.99"/>
    <n v="0.25"/>
    <n v="0.75"/>
    <m/>
    <m/>
    <s v=""/>
  </r>
  <r>
    <n v="42529"/>
    <m/>
    <n v="627"/>
    <n v="62701"/>
    <n v="62701"/>
    <x v="285"/>
    <x v="0"/>
    <s v="CVAS"/>
    <x v="0"/>
    <x v="0"/>
    <s v="Light Hard"/>
    <s v="Light"/>
    <s v="Light Hard"/>
    <s v="PSM"/>
    <s v="ACTIVE"/>
    <s v="YES"/>
    <n v="41576"/>
    <s v="Porno Interactivo"/>
    <s v="NIVEL 58 (2.99 Euros)"/>
    <n v="58"/>
    <s v="Weekly subscription"/>
    <m/>
    <n v="2.99"/>
    <n v="0.3"/>
    <n v="0.7"/>
    <m/>
    <m/>
    <s v=""/>
  </r>
  <r>
    <n v="42609"/>
    <m/>
    <n v="628"/>
    <n v="62801"/>
    <n v="62801"/>
    <x v="286"/>
    <x v="155"/>
    <s v="CVAS"/>
    <x v="8"/>
    <x v="2"/>
    <s v=""/>
    <s v="Others"/>
    <s v="Free Time"/>
    <s v="OnMobile Global Spain, S.L."/>
    <s v="ACTIVE"/>
    <s v="YES"/>
    <n v="41616"/>
    <s v="Parece De El Mundo Today"/>
    <s v="NIVEL 128 (1.64 Euros)"/>
    <n v="128"/>
    <s v="Weekly subscription"/>
    <m/>
    <n v="1.64"/>
    <n v="0.5"/>
    <n v="0.5"/>
    <m/>
    <m/>
    <s v=""/>
  </r>
  <r>
    <n v="42689"/>
    <m/>
    <n v="515"/>
    <n v="51501"/>
    <n v="51501"/>
    <x v="287"/>
    <x v="156"/>
    <s v="CVAS"/>
    <x v="10"/>
    <x v="8"/>
    <s v=""/>
    <s v="Others"/>
    <s v="Kids"/>
    <s v="Mobiground"/>
    <s v="ACTIVE"/>
    <s v="YES"/>
    <n v="41636"/>
    <s v="Caillou y Amigos"/>
    <s v="NIVEL 136 (2.06 Euros)"/>
    <n v="136"/>
    <s v="Weekly subscription"/>
    <m/>
    <n v="2.06"/>
    <n v="0.5"/>
    <n v="0.5"/>
    <m/>
    <m/>
    <s v=""/>
  </r>
  <r>
    <n v="42691"/>
    <m/>
    <m/>
    <m/>
    <m/>
    <x v="288"/>
    <x v="156"/>
    <s v="CVAS"/>
    <x v="10"/>
    <x v="8"/>
    <s v=""/>
    <s v="Others"/>
    <s v="Kids"/>
    <s v="Mobiground"/>
    <s v="INACTIVE"/>
    <s v="YES"/>
    <n v="41637"/>
    <s v="Caillou y Amigos"/>
    <s v="NIVEL 0 (0 Euros)"/>
    <n v="0"/>
    <s v="Weekly subscription"/>
    <m/>
    <n v="0"/>
    <m/>
    <m/>
    <m/>
    <m/>
    <s v=""/>
  </r>
  <r>
    <n v="42709"/>
    <m/>
    <n v="514"/>
    <n v="51401"/>
    <n v="51401"/>
    <x v="289"/>
    <x v="156"/>
    <s v="CVAS"/>
    <x v="10"/>
    <x v="8"/>
    <s v=""/>
    <s v="Others"/>
    <s v="Kids"/>
    <s v="Mobiground"/>
    <s v="ACTIVE"/>
    <s v="YES"/>
    <n v="41656"/>
    <s v="Caillou y Amigos"/>
    <s v="NIVEL 136 (2.06 Euros)"/>
    <n v="136"/>
    <s v="Weekly subscription"/>
    <m/>
    <n v="2.06"/>
    <n v="0.4"/>
    <n v="0.6"/>
    <m/>
    <m/>
    <s v=""/>
  </r>
  <r>
    <n v="42712"/>
    <m/>
    <m/>
    <m/>
    <m/>
    <x v="290"/>
    <x v="156"/>
    <s v="CVAS"/>
    <x v="10"/>
    <x v="8"/>
    <s v=""/>
    <s v="Others"/>
    <s v="Kids"/>
    <s v="Mobiground"/>
    <s v="INACTIVE"/>
    <s v="YES"/>
    <n v="41658"/>
    <s v="Caillou y Amigos"/>
    <s v="NIVEL 0 (0 Euros)"/>
    <n v="0"/>
    <s v="Weekly subscription"/>
    <m/>
    <n v="0"/>
    <m/>
    <m/>
    <m/>
    <m/>
    <s v=""/>
  </r>
  <r>
    <n v="42869"/>
    <m/>
    <n v="629"/>
    <n v="62901"/>
    <n v="62901"/>
    <x v="291"/>
    <x v="157"/>
    <s v="CVAS"/>
    <x v="0"/>
    <x v="0"/>
    <s v="Light Hard"/>
    <s v="Light"/>
    <s v="Light Hard"/>
    <s v="Thagson"/>
    <s v="ACTIVE"/>
    <s v="YES"/>
    <n v="41716"/>
    <s v="Sex 360"/>
    <s v="NIVEL 58 (2.99 Euros)"/>
    <n v="58"/>
    <s v="Weekly subscription"/>
    <m/>
    <n v="2.99"/>
    <n v="0.3"/>
    <n v="0.7"/>
    <m/>
    <m/>
    <s v=""/>
  </r>
  <r>
    <n v="42911"/>
    <m/>
    <n v="630"/>
    <n v="63001"/>
    <n v="63001"/>
    <x v="292"/>
    <x v="158"/>
    <s v="CVAS"/>
    <x v="10"/>
    <x v="7"/>
    <s v=""/>
    <s v="Others"/>
    <s v="Beauty and Health"/>
    <s v="OnMobile Global Spain, S.L."/>
    <s v="ACTIVE"/>
    <s v="YES"/>
    <n v="41737"/>
    <s v="Sexducate con LB"/>
    <s v="NIVEL 128 (1.64 Euros)"/>
    <n v="128"/>
    <s v="Weekly subscription"/>
    <m/>
    <n v="1.64"/>
    <n v="0.5"/>
    <n v="0.5"/>
    <m/>
    <m/>
    <s v=""/>
  </r>
  <r>
    <n v="43089"/>
    <m/>
    <m/>
    <m/>
    <m/>
    <x v="293"/>
    <x v="159"/>
    <s v="CVAS"/>
    <x v="0"/>
    <x v="0"/>
    <m/>
    <s v="Others"/>
    <m/>
    <s v="2dayuk"/>
    <s v="INACTIVE"/>
    <s v="YES"/>
    <m/>
    <s v="Lifeselector"/>
    <m/>
    <m/>
    <s v="Weekly subscription"/>
    <m/>
    <m/>
    <m/>
    <m/>
    <m/>
    <m/>
    <m/>
  </r>
  <r>
    <n v="43091"/>
    <m/>
    <n v="444"/>
    <n v="44402"/>
    <n v="44402"/>
    <x v="294"/>
    <x v="91"/>
    <s v="CVAS"/>
    <x v="8"/>
    <x v="6"/>
    <s v=""/>
    <s v="Others"/>
    <s v="News"/>
    <s v="OnMobile Global Spain, S.L."/>
    <s v="ACTIVE"/>
    <s v="YES"/>
    <n v="41757"/>
    <s v="Noticias emocion"/>
    <s v="NIVEL 135 (1.23 Euros)"/>
    <n v="135"/>
    <s v="Weekly subscription"/>
    <m/>
    <n v="1.23"/>
    <n v="0.5"/>
    <n v="0.5"/>
    <m/>
    <m/>
    <s v=""/>
  </r>
  <r>
    <n v="43093"/>
    <m/>
    <n v="440"/>
    <n v="44002"/>
    <n v="44002"/>
    <x v="295"/>
    <x v="81"/>
    <s v="CVAS"/>
    <x v="7"/>
    <x v="5"/>
    <s v=""/>
    <s v="Others"/>
    <s v="Sports"/>
    <s v="OnMobile Global Spain, S.L."/>
    <s v="ACTIVE"/>
    <s v="YES"/>
    <n v="41758"/>
    <s v="Deportes emocion"/>
    <s v="NIVEL 135 (1.23 Euros)"/>
    <n v="135"/>
    <s v="Weekly subscription"/>
    <m/>
    <n v="1.23"/>
    <n v="0.5"/>
    <n v="0.5"/>
    <m/>
    <m/>
    <s v=""/>
  </r>
  <r>
    <n v="43269"/>
    <m/>
    <n v="632"/>
    <n v="63201"/>
    <n v="63201"/>
    <x v="296"/>
    <x v="0"/>
    <s v="CVAS"/>
    <x v="0"/>
    <x v="0"/>
    <s v="Light Hard"/>
    <s v="Light"/>
    <s v="Light Hard"/>
    <s v="Claxson . Contribution"/>
    <s v="ACTIVE"/>
    <s v="YES"/>
    <n v="41816"/>
    <s v="Playboy"/>
    <s v="NIVEL 58 (2.99 Euros)"/>
    <n v="58"/>
    <s v="Weekly subscription"/>
    <m/>
    <n v="2.99"/>
    <n v="0.4"/>
    <n v="0.6"/>
    <m/>
    <m/>
    <s v=""/>
  </r>
  <r>
    <n v="43349"/>
    <m/>
    <m/>
    <m/>
    <m/>
    <x v="297"/>
    <x v="158"/>
    <s v="CVAS"/>
    <x v="10"/>
    <x v="7"/>
    <s v=""/>
    <s v="Others"/>
    <s v="Beauty and Health"/>
    <s v="OnMobile Global Spain, S.L."/>
    <s v="ACTIVE"/>
    <s v="YES"/>
    <n v="41836"/>
    <s v="Sexducate con LB"/>
    <s v="NIVEL 128 (1.64 Euros)"/>
    <n v="128"/>
    <s v="Weekly subscription"/>
    <m/>
    <n v="1.64"/>
    <n v="0.4"/>
    <n v="0.6"/>
    <m/>
    <m/>
    <s v=""/>
  </r>
  <r>
    <n v="43429"/>
    <m/>
    <n v="633"/>
    <n v="63301"/>
    <n v="63301"/>
    <x v="298"/>
    <x v="160"/>
    <s v="CVAS"/>
    <x v="3"/>
    <x v="3"/>
    <s v=""/>
    <s v="Games"/>
    <s v=""/>
    <s v="Pacific Media Entertainment, Inc."/>
    <s v="ACTIVE"/>
    <s v="YES"/>
    <n v="41856"/>
    <s v="VR Games"/>
    <s v="NIVEL 135 (1.23 Euros)"/>
    <n v="135"/>
    <s v="Weekly subscription"/>
    <m/>
    <n v="1.23"/>
    <n v="0.5"/>
    <n v="0.5"/>
    <m/>
    <m/>
    <s v=""/>
  </r>
  <r>
    <n v="43549"/>
    <m/>
    <m/>
    <m/>
    <m/>
    <x v="299"/>
    <x v="155"/>
    <s v="CVAS"/>
    <x v="8"/>
    <x v="2"/>
    <s v=""/>
    <s v="Others"/>
    <s v="Free Time"/>
    <s v="OnMobile Global Spain, S.L."/>
    <s v="ACTIVE"/>
    <s v="YES"/>
    <n v="41896"/>
    <s v="Parece De El Mundo Today"/>
    <s v="NIVEL 128 (1.64 Euros)"/>
    <n v="128"/>
    <s v="Weekly subscription"/>
    <m/>
    <n v="1.64"/>
    <n v="0.4"/>
    <n v="0.6"/>
    <m/>
    <m/>
    <s v=""/>
  </r>
  <r>
    <n v="43551"/>
    <m/>
    <n v="200"/>
    <n v="20002"/>
    <n v="20002"/>
    <x v="300"/>
    <x v="161"/>
    <s v="CVAS"/>
    <x v="3"/>
    <x v="3"/>
    <s v=""/>
    <s v="Games"/>
    <s v=""/>
    <s v="OnMobile Global Spain, S.L."/>
    <s v="ACTIVE"/>
    <s v="YES"/>
    <n v="41897"/>
    <s v="Movistar Juegos"/>
    <s v="NIVEL 128 (1.64 Euros)"/>
    <n v="128"/>
    <s v="Weekly subscription"/>
    <m/>
    <n v="1.64"/>
    <n v="0.5"/>
    <n v="0.5"/>
    <m/>
    <m/>
    <s v=""/>
  </r>
  <r>
    <n v="43553"/>
    <n v="43551"/>
    <n v="200"/>
    <n v="20001"/>
    <n v="20001"/>
    <x v="301"/>
    <x v="161"/>
    <s v="CVAS"/>
    <x v="3"/>
    <x v="3"/>
    <s v=""/>
    <s v="Games"/>
    <s v=""/>
    <s v="OnMobile Global Spain, S.L."/>
    <s v="ACTIVE"/>
    <s v="YES"/>
    <n v="41898"/>
    <s v="Movistar Juegos"/>
    <s v="NIVEL 0 (0 Euros)"/>
    <n v="0"/>
    <s v="Weekly subscription"/>
    <m/>
    <n v="0"/>
    <m/>
    <m/>
    <m/>
    <m/>
    <s v=""/>
  </r>
  <r>
    <n v="43571"/>
    <m/>
    <n v="565"/>
    <n v="56502"/>
    <n v="56502"/>
    <x v="302"/>
    <x v="111"/>
    <s v="CVAS"/>
    <x v="10"/>
    <x v="2"/>
    <s v=""/>
    <s v="Others"/>
    <s v="Free Time"/>
    <s v="JET MULTIMEDIA"/>
    <s v="ACTIVE"/>
    <s v="YES"/>
    <n v="41918"/>
    <s v="EnglishPills"/>
    <s v="NIVEL 136 (2.06 Euros)"/>
    <n v="136"/>
    <s v="Weekly subscription"/>
    <m/>
    <n v="2.06"/>
    <n v="0.5"/>
    <n v="0.5"/>
    <m/>
    <m/>
    <s v=""/>
  </r>
  <r>
    <n v="43573"/>
    <n v="43571"/>
    <m/>
    <m/>
    <m/>
    <x v="303"/>
    <x v="111"/>
    <s v="CVAS"/>
    <x v="10"/>
    <x v="2"/>
    <s v=""/>
    <s v="Others"/>
    <s v="Free Time"/>
    <s v="JET MULTIMEDIA"/>
    <s v="ACTIVE"/>
    <s v="YES"/>
    <n v="41919"/>
    <s v="EnglishPills"/>
    <s v="NIVEL 0 (0 Euros)"/>
    <n v="0"/>
    <s v="Weekly subscription"/>
    <m/>
    <n v="0"/>
    <m/>
    <m/>
    <m/>
    <m/>
    <s v=""/>
  </r>
  <r>
    <n v="43575"/>
    <m/>
    <n v="566"/>
    <n v="56602"/>
    <n v="56602"/>
    <x v="304"/>
    <x v="111"/>
    <s v="CVAS"/>
    <x v="10"/>
    <x v="2"/>
    <s v=""/>
    <s v="Others"/>
    <s v="Free Time"/>
    <s v="JET MULTIMEDIA"/>
    <s v="ACTIVE"/>
    <s v="YES"/>
    <n v="41920"/>
    <s v="EnglishPills"/>
    <s v="NIVEL 136 (2.06 Euros)"/>
    <n v="136"/>
    <s v="Weekly subscription"/>
    <m/>
    <n v="2.06"/>
    <n v="0.4"/>
    <n v="0.6"/>
    <m/>
    <m/>
    <s v=""/>
  </r>
  <r>
    <n v="43577"/>
    <n v="43575"/>
    <m/>
    <m/>
    <m/>
    <x v="305"/>
    <x v="111"/>
    <s v="CVAS"/>
    <x v="10"/>
    <x v="2"/>
    <s v=""/>
    <s v="Others"/>
    <s v="Free Time"/>
    <s v="JET MULTIMEDIA"/>
    <s v="ACTIVE"/>
    <s v="YES"/>
    <n v="41921"/>
    <s v="EnglishPills"/>
    <s v="NIVEL 0 (0 Euros)"/>
    <n v="0"/>
    <s v="Weekly subscription"/>
    <m/>
    <n v="0"/>
    <m/>
    <m/>
    <m/>
    <m/>
    <s v=""/>
  </r>
  <r>
    <n v="43609"/>
    <m/>
    <n v="204"/>
    <n v="20401"/>
    <n v="20401"/>
    <x v="306"/>
    <x v="162"/>
    <s v="CVAS"/>
    <x v="5"/>
    <x v="2"/>
    <s v=""/>
    <s v="Others"/>
    <s v="Free Time"/>
    <s v="Mobiground"/>
    <s v="ACTIVE"/>
    <s v="YES"/>
    <n v="41936"/>
    <s v="Comedy Factory"/>
    <s v="NIVEL 137 (2.47 Euros)"/>
    <n v="137"/>
    <s v="Weekly subscription"/>
    <m/>
    <n v="2.4700000000000002"/>
    <n v="0.6"/>
    <n v="0.4"/>
    <m/>
    <m/>
    <s v=""/>
  </r>
  <r>
    <n v="43611"/>
    <m/>
    <n v="203"/>
    <n v="20301"/>
    <n v="20301"/>
    <x v="307"/>
    <x v="162"/>
    <s v="CVAS"/>
    <x v="5"/>
    <x v="2"/>
    <s v=""/>
    <s v="Others"/>
    <s v="Free Time"/>
    <s v="Mobiground"/>
    <s v="ACTIVE"/>
    <s v="YES"/>
    <n v="41937"/>
    <s v="Comedy Factory"/>
    <s v="NIVEL 137 (2.47 Euros)"/>
    <n v="137"/>
    <s v="Weekly subscription"/>
    <m/>
    <n v="2.4700000000000002"/>
    <n v="0.4"/>
    <n v="0.6"/>
    <m/>
    <m/>
    <s v=""/>
  </r>
  <r>
    <n v="43613"/>
    <m/>
    <n v="202"/>
    <n v="20201"/>
    <n v="20201"/>
    <x v="308"/>
    <x v="163"/>
    <s v="CVAS"/>
    <x v="10"/>
    <x v="8"/>
    <s v=""/>
    <s v="Others"/>
    <s v="Kids"/>
    <s v="Mobiground"/>
    <s v="ACTIVE"/>
    <s v="YES"/>
    <n v="41938"/>
    <s v="Videos Clap"/>
    <s v="NIVEL 137 (2.47 Euros)"/>
    <n v="137"/>
    <s v="Weekly subscription"/>
    <m/>
    <n v="2.4700000000000002"/>
    <n v="0.6"/>
    <n v="0.4"/>
    <m/>
    <m/>
    <s v=""/>
  </r>
  <r>
    <n v="43615"/>
    <m/>
    <n v="201"/>
    <n v="20101"/>
    <n v="20101"/>
    <x v="309"/>
    <x v="163"/>
    <s v="CVAS"/>
    <x v="10"/>
    <x v="8"/>
    <s v=""/>
    <s v="Others"/>
    <s v="Kids"/>
    <s v="Mobiground"/>
    <s v="ACTIVE"/>
    <s v="YES"/>
    <n v="41939"/>
    <s v="Videos Clap"/>
    <s v="NIVEL 137 (2.47 Euros)"/>
    <n v="137"/>
    <s v="Weekly subscription"/>
    <m/>
    <n v="2.4700000000000002"/>
    <n v="0.4"/>
    <n v="0.6"/>
    <m/>
    <m/>
    <s v=""/>
  </r>
  <r>
    <n v="43617"/>
    <m/>
    <n v="206"/>
    <n v="20601"/>
    <n v="20601"/>
    <x v="310"/>
    <x v="164"/>
    <s v="CVAS"/>
    <x v="5"/>
    <x v="2"/>
    <s v=""/>
    <s v="Others"/>
    <s v="Free Time"/>
    <s v="Mobiground"/>
    <s v="ACTIVE"/>
    <s v="YES"/>
    <n v="41940"/>
    <s v="Videos Tribuu"/>
    <s v="NIVEL 137 (2.47 Euros)"/>
    <n v="137"/>
    <s v="Weekly subscription"/>
    <m/>
    <n v="2.4700000000000002"/>
    <n v="0.6"/>
    <n v="0.4"/>
    <m/>
    <m/>
    <s v=""/>
  </r>
  <r>
    <n v="43619"/>
    <m/>
    <n v="205"/>
    <n v="20501"/>
    <n v="20501"/>
    <x v="311"/>
    <x v="164"/>
    <s v="CVAS"/>
    <x v="5"/>
    <x v="2"/>
    <s v=""/>
    <s v="Others"/>
    <s v="Free Time"/>
    <s v="Mobiground"/>
    <s v="ACTIVE"/>
    <s v="YES"/>
    <n v="41941"/>
    <s v="Videos Tribuu"/>
    <s v="NIVEL 137 (2.47 Euros)"/>
    <n v="137"/>
    <s v="Weekly subscription"/>
    <m/>
    <n v="2.4700000000000002"/>
    <n v="0.4"/>
    <n v="0.6"/>
    <m/>
    <m/>
    <s v=""/>
  </r>
  <r>
    <n v="43749"/>
    <m/>
    <n v="635"/>
    <n v="63501"/>
    <n v="63501"/>
    <x v="312"/>
    <x v="81"/>
    <s v="CVAS"/>
    <x v="7"/>
    <x v="5"/>
    <s v=""/>
    <s v="Others"/>
    <s v="Sports"/>
    <s v="OnMobile Global Spain, S.L."/>
    <s v="ACTIVE"/>
    <s v="YES"/>
    <n v="41976"/>
    <s v="Deportes Emocion"/>
    <s v="NIVEL 135 (1.23 Euros)"/>
    <n v="135"/>
    <s v="Weekly subscription"/>
    <m/>
    <n v="1.23"/>
    <n v="0.4"/>
    <n v="0.6"/>
    <m/>
    <m/>
    <s v=""/>
  </r>
  <r>
    <n v="43751"/>
    <m/>
    <n v="636"/>
    <n v="63601"/>
    <n v="63601"/>
    <x v="313"/>
    <x v="91"/>
    <s v="CVAS"/>
    <x v="8"/>
    <x v="6"/>
    <s v=""/>
    <s v="Others"/>
    <s v="News"/>
    <s v="OnMobile Global Spain, S.L."/>
    <s v="ACTIVE"/>
    <s v="YES"/>
    <n v="41977"/>
    <s v="Noticias emocion"/>
    <s v="NIVEL 135 (1.23 Euros)"/>
    <n v="135"/>
    <s v="Weekly subscription"/>
    <m/>
    <n v="1.23"/>
    <n v="0.4"/>
    <n v="0.6"/>
    <m/>
    <m/>
    <s v=""/>
  </r>
  <r>
    <n v="43789"/>
    <n v="43551"/>
    <n v="200"/>
    <n v="20003"/>
    <n v="20003"/>
    <x v="314"/>
    <x v="161"/>
    <s v="CVAS"/>
    <x v="3"/>
    <x v="3"/>
    <s v=""/>
    <s v="Games"/>
    <s v=""/>
    <s v="OnMobile Global Spain, S.L."/>
    <s v="ACTIVE"/>
    <s v="YES"/>
    <n v="41996"/>
    <s v="Movistar Juegos"/>
    <s v="NIVEL 0 (0 Euros)"/>
    <n v="0"/>
    <s v="Monthly"/>
    <m/>
    <n v="0"/>
    <m/>
    <m/>
    <m/>
    <m/>
    <s v=""/>
  </r>
  <r>
    <n v="43869"/>
    <m/>
    <n v="637"/>
    <n v="63701"/>
    <n v="63701"/>
    <x v="315"/>
    <x v="165"/>
    <s v="CVAS"/>
    <x v="11"/>
    <x v="8"/>
    <s v=""/>
    <s v="Others"/>
    <s v="Kids"/>
    <s v="Buongiorno"/>
    <s v="ACTIVE"/>
    <s v="YES"/>
    <n v="42036"/>
    <s v="Hello Kitty"/>
    <s v="NIVEL 128 (1.64 Euros)"/>
    <n v="128"/>
    <s v="Weekly subscription"/>
    <m/>
    <n v="1.64"/>
    <n v="0.5"/>
    <n v="0.5"/>
    <m/>
    <m/>
    <s v=""/>
  </r>
  <r>
    <n v="44009"/>
    <m/>
    <n v="638"/>
    <n v="63801"/>
    <n v="63801"/>
    <x v="316"/>
    <x v="166"/>
    <s v="CVAS"/>
    <x v="12"/>
    <x v="2"/>
    <s v=""/>
    <s v="Others"/>
    <s v="Free Time"/>
    <s v="Bennu"/>
    <s v="ACTIVE"/>
    <s v="YES"/>
    <n v="42056"/>
    <s v="Abaco"/>
    <s v="NIVEL 128 (1.64 Euros)"/>
    <n v="128"/>
    <s v="Weekly subscription"/>
    <m/>
    <n v="1.64"/>
    <n v="0.5"/>
    <n v="0.5"/>
    <m/>
    <m/>
    <s v=""/>
  </r>
  <r>
    <n v="44029"/>
    <m/>
    <m/>
    <s v="X"/>
    <s v="X"/>
    <x v="317"/>
    <x v="167"/>
    <s v="CVAS"/>
    <x v="11"/>
    <x v="8"/>
    <s v=""/>
    <s v="Others"/>
    <s v="Kids"/>
    <s v="Competir"/>
    <s v="ACTIVE"/>
    <s v="YES"/>
    <n v="42076"/>
    <s v="Aula 365"/>
    <s v="NIVEL 128 (1.64 Euros)"/>
    <n v="128"/>
    <s v="Weekly subscription"/>
    <m/>
    <n v="1.64"/>
    <n v="0.5"/>
    <n v="0.5"/>
    <m/>
    <m/>
    <s v=""/>
  </r>
  <r>
    <n v="44049"/>
    <m/>
    <m/>
    <m/>
    <m/>
    <x v="318"/>
    <x v="165"/>
    <s v="CVAS"/>
    <x v="11"/>
    <x v="8"/>
    <s v=""/>
    <s v="Others"/>
    <s v="Kids"/>
    <s v="Buongiorno"/>
    <s v="ACTIVE"/>
    <s v="YES"/>
    <n v="42096"/>
    <s v="Hello Kitty"/>
    <s v="NIVEL 128 (1.64 Euros)"/>
    <n v="128"/>
    <s v="Weekly subscription"/>
    <m/>
    <n v="1.64"/>
    <n v="0.4"/>
    <n v="0.6"/>
    <m/>
    <m/>
    <s v=""/>
  </r>
  <r>
    <n v="44051"/>
    <m/>
    <n v="639"/>
    <n v="63901"/>
    <n v="63901"/>
    <x v="319"/>
    <x v="168"/>
    <s v="CVAS"/>
    <x v="5"/>
    <x v="7"/>
    <s v=""/>
    <s v="Others"/>
    <s v="Beauty and Health"/>
    <s v="Medianetpay"/>
    <s v="ACTIVE"/>
    <s v="YES"/>
    <n v="42097"/>
    <s v="Slow Life"/>
    <s v="NIVEL 137 (2.47 Euros)"/>
    <n v="137"/>
    <s v="Weekly subscription"/>
    <m/>
    <n v="2.4700000000000002"/>
    <n v="0.5"/>
    <n v="0.5"/>
    <m/>
    <m/>
    <s v=""/>
  </r>
  <r>
    <n v="44169"/>
    <m/>
    <m/>
    <s v="X"/>
    <s v="X"/>
    <x v="320"/>
    <x v="169"/>
    <s v="CVAS"/>
    <x v="12"/>
    <x v="2"/>
    <s v=""/>
    <s v="Others"/>
    <s v="Free Time"/>
    <s v="Agile"/>
    <s v="ACTIVE"/>
    <s v="YES"/>
    <n v="42116"/>
    <s v="Tunenglish"/>
    <s v="NIVEL 128 (1.64 Euros)"/>
    <n v="128"/>
    <s v="Weekly subscription"/>
    <m/>
    <n v="1.64"/>
    <n v="0.55000000000000004"/>
    <n v="0.45"/>
    <m/>
    <m/>
    <s v=""/>
  </r>
  <r>
    <n v="44171"/>
    <m/>
    <m/>
    <s v="X"/>
    <s v="X"/>
    <x v="321"/>
    <x v="170"/>
    <s v="CVAS"/>
    <x v="12"/>
    <x v="2"/>
    <s v=""/>
    <s v="Others"/>
    <s v="Free Time"/>
    <s v="Agile"/>
    <s v="ACTIVE"/>
    <s v="YES"/>
    <n v="42117"/>
    <s v="Bloomberg English"/>
    <s v="NIVEL 135 (1.23 Euros)"/>
    <n v="135"/>
    <s v="Weekly subscription"/>
    <m/>
    <n v="1.23"/>
    <n v="0.55000000000000004"/>
    <n v="0.45"/>
    <m/>
    <m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7" cacheId="5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compact="0" compactData="0" multipleFieldFilters="0">
  <location ref="A3:E187" firstHeaderRow="1" firstDataRow="1" firstDataCol="4"/>
  <pivotFields count="28"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31">
        <item x="258"/>
        <item x="208"/>
        <item x="189"/>
        <item x="316"/>
        <item m="1" x="323"/>
        <item x="249"/>
        <item x="267"/>
        <item x="275"/>
        <item x="274"/>
        <item x="317"/>
        <item x="62"/>
        <item x="198"/>
        <item x="321"/>
        <item x="287"/>
        <item x="30"/>
        <item x="206"/>
        <item x="260"/>
        <item x="306"/>
        <item x="242"/>
        <item x="213"/>
        <item m="1" x="329"/>
        <item x="253"/>
        <item x="199"/>
        <item x="295"/>
        <item x="50"/>
        <item x="23"/>
        <item x="128"/>
        <item x="130"/>
        <item x="13"/>
        <item x="5"/>
        <item x="15"/>
        <item x="16"/>
        <item x="17"/>
        <item x="18"/>
        <item x="19"/>
        <item x="20"/>
        <item x="68"/>
        <item x="69"/>
        <item x="70"/>
        <item x="71"/>
        <item x="72"/>
        <item x="14"/>
        <item x="115"/>
        <item x="134"/>
        <item x="116"/>
        <item x="24"/>
        <item x="45"/>
        <item x="21"/>
        <item x="89"/>
        <item x="90"/>
        <item x="91"/>
        <item x="92"/>
        <item x="87"/>
        <item x="88"/>
        <item x="83"/>
        <item x="84"/>
        <item x="85"/>
        <item x="86"/>
        <item x="81"/>
        <item x="125"/>
        <item x="82"/>
        <item x="97"/>
        <item x="98"/>
        <item x="96"/>
        <item x="94"/>
        <item x="95"/>
        <item x="93"/>
        <item x="79"/>
        <item x="103"/>
        <item x="102"/>
        <item x="100"/>
        <item x="101"/>
        <item x="99"/>
        <item x="80"/>
        <item x="59"/>
        <item x="77"/>
        <item x="57"/>
        <item x="56"/>
        <item x="55"/>
        <item x="75"/>
        <item x="76"/>
        <item x="40"/>
        <item x="39"/>
        <item x="37"/>
        <item x="36"/>
        <item x="38"/>
        <item x="26"/>
        <item x="63"/>
        <item x="25"/>
        <item x="22"/>
        <item x="145"/>
        <item x="146"/>
        <item x="147"/>
        <item x="152"/>
        <item x="148"/>
        <item x="149"/>
        <item x="150"/>
        <item x="151"/>
        <item x="3"/>
        <item x="133"/>
        <item x="235"/>
        <item x="65"/>
        <item x="200"/>
        <item x="257"/>
        <item x="247"/>
        <item x="156"/>
        <item x="217"/>
        <item x="302"/>
        <item x="307"/>
        <item x="284"/>
        <item x="318"/>
        <item x="312"/>
        <item x="304"/>
        <item x="313"/>
        <item x="299"/>
        <item x="297"/>
        <item x="309"/>
        <item x="311"/>
        <item x="289"/>
        <item x="218"/>
        <item x="271"/>
        <item x="179"/>
        <item x="232"/>
        <item x="181"/>
        <item x="180"/>
        <item x="254"/>
        <item x="259"/>
        <item x="113"/>
        <item x="118"/>
        <item x="119"/>
        <item x="120"/>
        <item x="121"/>
        <item x="166"/>
        <item x="168"/>
        <item x="173"/>
        <item x="176"/>
        <item x="192"/>
        <item x="207"/>
        <item x="209"/>
        <item x="268"/>
        <item x="261"/>
        <item x="197"/>
        <item x="184"/>
        <item x="212"/>
        <item x="246"/>
        <item x="283"/>
        <item m="1" x="325"/>
        <item x="106"/>
        <item x="188"/>
        <item x="288"/>
        <item x="301"/>
        <item x="303"/>
        <item x="305"/>
        <item x="236"/>
        <item x="290"/>
        <item x="219"/>
        <item x="233"/>
        <item x="244"/>
        <item x="136"/>
        <item x="114"/>
        <item x="221"/>
        <item x="202"/>
        <item x="182"/>
        <item x="195"/>
        <item x="222"/>
        <item x="186"/>
        <item x="234"/>
        <item x="216"/>
        <item x="215"/>
        <item x="187"/>
        <item x="243"/>
        <item x="196"/>
        <item x="315"/>
        <item x="33"/>
        <item x="204"/>
        <item x="31"/>
        <item x="138"/>
        <item x="139"/>
        <item x="140"/>
        <item x="141"/>
        <item x="142"/>
        <item x="144"/>
        <item x="129"/>
        <item x="131"/>
        <item x="225"/>
        <item x="273"/>
        <item x="272"/>
        <item x="177"/>
        <item x="256"/>
        <item x="277"/>
        <item x="276"/>
        <item x="143"/>
        <item x="175"/>
        <item x="210"/>
        <item x="211"/>
        <item m="1" x="322"/>
        <item x="205"/>
        <item x="231"/>
        <item x="0"/>
        <item x="183"/>
        <item x="282"/>
        <item x="132"/>
        <item x="32"/>
        <item x="245"/>
        <item x="164"/>
        <item x="227"/>
        <item x="163"/>
        <item x="172"/>
        <item x="111"/>
        <item x="110"/>
        <item x="123"/>
        <item x="117"/>
        <item x="191"/>
        <item x="61"/>
        <item x="228"/>
        <item x="193"/>
        <item x="237"/>
        <item x="126"/>
        <item x="294"/>
        <item x="107"/>
        <item m="1" x="330"/>
        <item m="1" x="328"/>
        <item x="161"/>
        <item x="226"/>
        <item x="201"/>
        <item x="238"/>
        <item x="108"/>
        <item x="35"/>
        <item x="286"/>
        <item x="250"/>
        <item m="1" x="324"/>
        <item x="296"/>
        <item x="241"/>
        <item x="124"/>
        <item x="239"/>
        <item x="279"/>
        <item x="280"/>
        <item x="240"/>
        <item x="174"/>
        <item x="285"/>
        <item x="157"/>
        <item x="158"/>
        <item x="159"/>
        <item x="160"/>
        <item x="314"/>
        <item x="170"/>
        <item x="155"/>
        <item x="291"/>
        <item x="292"/>
        <item x="34"/>
        <item x="319"/>
        <item m="1" x="327"/>
        <item m="1" x="326"/>
        <item x="122"/>
        <item x="224"/>
        <item x="167"/>
        <item x="112"/>
        <item x="44"/>
        <item x="42"/>
        <item x="9"/>
        <item x="28"/>
        <item x="27"/>
        <item x="8"/>
        <item x="109"/>
        <item x="43"/>
        <item x="11"/>
        <item x="29"/>
        <item x="48"/>
        <item x="10"/>
        <item x="6"/>
        <item x="41"/>
        <item x="49"/>
        <item x="53"/>
        <item x="1"/>
        <item x="7"/>
        <item x="78"/>
        <item x="137"/>
        <item x="105"/>
        <item x="104"/>
        <item x="169"/>
        <item x="12"/>
        <item x="165"/>
        <item x="135"/>
        <item x="47"/>
        <item x="58"/>
        <item x="74"/>
        <item x="51"/>
        <item x="54"/>
        <item x="73"/>
        <item x="60"/>
        <item x="64"/>
        <item x="52"/>
        <item x="127"/>
        <item x="252"/>
        <item x="154"/>
        <item x="251"/>
        <item x="153"/>
        <item x="266"/>
        <item x="262"/>
        <item x="263"/>
        <item x="264"/>
        <item x="265"/>
        <item x="220"/>
        <item x="248"/>
        <item x="269"/>
        <item x="255"/>
        <item x="270"/>
        <item x="67"/>
        <item x="320"/>
        <item x="300"/>
        <item x="214"/>
        <item x="190"/>
        <item x="229"/>
        <item x="171"/>
        <item x="185"/>
        <item x="194"/>
        <item x="308"/>
        <item x="310"/>
        <item x="298"/>
        <item x="223"/>
        <item x="203"/>
        <item x="230"/>
        <item x="178"/>
        <item x="293"/>
        <item x="66"/>
        <item x="46"/>
        <item x="2"/>
        <item x="4"/>
        <item x="162"/>
        <item x="278"/>
        <item x="281"/>
      </items>
    </pivotField>
    <pivotField axis="axisRow" compact="0" outline="0" showAll="0" defaultSubtotal="0">
      <items count="179">
        <item x="166"/>
        <item m="1" x="178"/>
        <item x="33"/>
        <item x="147"/>
        <item x="18"/>
        <item x="21"/>
        <item x="7"/>
        <item x="150"/>
        <item x="167"/>
        <item x="133"/>
        <item x="170"/>
        <item x="156"/>
        <item x="23"/>
        <item x="22"/>
        <item x="138"/>
        <item x="6"/>
        <item x="5"/>
        <item x="162"/>
        <item m="1" x="173"/>
        <item x="116"/>
        <item x="134"/>
        <item x="93"/>
        <item x="94"/>
        <item x="95"/>
        <item x="96"/>
        <item x="81"/>
        <item x="9"/>
        <item x="4"/>
        <item x="10"/>
        <item x="11"/>
        <item x="12"/>
        <item x="13"/>
        <item x="14"/>
        <item x="15"/>
        <item x="51"/>
        <item x="52"/>
        <item x="53"/>
        <item x="54"/>
        <item x="55"/>
        <item x="135"/>
        <item x="111"/>
        <item x="107"/>
        <item x="87"/>
        <item x="121"/>
        <item x="145"/>
        <item x="32"/>
        <item x="16"/>
        <item x="19"/>
        <item x="34"/>
        <item x="123"/>
        <item x="131"/>
        <item x="126"/>
        <item x="142"/>
        <item x="90"/>
        <item x="118"/>
        <item x="1"/>
        <item x="132"/>
        <item x="165"/>
        <item x="139"/>
        <item x="92"/>
        <item x="100"/>
        <item x="101"/>
        <item x="102"/>
        <item x="103"/>
        <item x="104"/>
        <item x="106"/>
        <item x="46"/>
        <item x="149"/>
        <item x="151"/>
        <item x="97"/>
        <item x="119"/>
        <item x="105"/>
        <item x="60"/>
        <item x="44"/>
        <item x="43"/>
        <item x="42"/>
        <item x="140"/>
        <item x="58"/>
        <item x="59"/>
        <item x="98"/>
        <item m="1" x="175"/>
        <item x="137"/>
        <item x="124"/>
        <item x="144"/>
        <item x="8"/>
        <item x="29"/>
        <item x="161"/>
        <item x="0"/>
        <item x="45"/>
        <item x="117"/>
        <item x="84"/>
        <item x="86"/>
        <item x="85"/>
        <item x="88"/>
        <item x="128"/>
        <item x="79"/>
        <item x="80"/>
        <item x="78"/>
        <item x="76"/>
        <item x="77"/>
        <item x="75"/>
        <item x="71"/>
        <item x="72"/>
        <item x="73"/>
        <item x="74"/>
        <item x="69"/>
        <item x="70"/>
        <item x="65"/>
        <item x="66"/>
        <item x="67"/>
        <item x="68"/>
        <item x="63"/>
        <item x="64"/>
        <item x="61"/>
        <item x="28"/>
        <item x="62"/>
        <item x="26"/>
        <item x="25"/>
        <item x="27"/>
        <item x="89"/>
        <item x="129"/>
        <item x="91"/>
        <item x="83"/>
        <item m="1" x="177"/>
        <item m="1" x="171"/>
        <item x="24"/>
        <item x="155"/>
        <item x="36"/>
        <item x="153"/>
        <item x="112"/>
        <item x="113"/>
        <item x="122"/>
        <item x="157"/>
        <item x="158"/>
        <item x="168"/>
        <item m="1" x="176"/>
        <item m="1" x="172"/>
        <item x="30"/>
        <item x="37"/>
        <item x="57"/>
        <item x="40"/>
        <item x="38"/>
        <item x="41"/>
        <item x="56"/>
        <item m="1" x="174"/>
        <item x="109"/>
        <item x="108"/>
        <item x="99"/>
        <item x="82"/>
        <item x="31"/>
        <item x="143"/>
        <item x="48"/>
        <item x="47"/>
        <item x="148"/>
        <item x="146"/>
        <item x="49"/>
        <item x="39"/>
        <item x="169"/>
        <item x="141"/>
        <item x="127"/>
        <item x="125"/>
        <item x="17"/>
        <item x="20"/>
        <item x="163"/>
        <item x="130"/>
        <item x="110"/>
        <item x="164"/>
        <item x="160"/>
        <item x="115"/>
        <item x="136"/>
        <item x="120"/>
        <item x="159"/>
        <item x="50"/>
        <item x="35"/>
        <item x="2"/>
        <item x="3"/>
        <item x="114"/>
        <item x="152"/>
        <item x="154"/>
      </items>
    </pivotField>
    <pivotField compact="0" outline="0" showAll="0" defaultSubtotal="0"/>
    <pivotField axis="axisRow" compact="0" outline="0" showAll="0" defaultSubtotal="0">
      <items count="18">
        <item sd="0" m="1" x="13"/>
        <item m="1" x="14"/>
        <item x="12"/>
        <item x="3"/>
        <item sd="0" x="1"/>
        <item sd="0" x="11"/>
        <item sd="0" x="0"/>
        <item x="9"/>
        <item sd="0" x="4"/>
        <item x="8"/>
        <item sd="0" x="7"/>
        <item x="5"/>
        <item x="10"/>
        <item m="1" x="15"/>
        <item m="1" x="16"/>
        <item sd="0" m="1" x="17"/>
        <item x="2"/>
        <item x="6"/>
      </items>
    </pivotField>
    <pivotField axis="axisRow" compact="0" outline="0" showAll="0" defaultSubtotal="0">
      <items count="11">
        <item x="7"/>
        <item x="2"/>
        <item x="3"/>
        <item x="1"/>
        <item x="8"/>
        <item x="0"/>
        <item x="4"/>
        <item x="6"/>
        <item m="1" x="9"/>
        <item x="5"/>
        <item m="1" x="1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4">
    <field x="9"/>
    <field x="8"/>
    <field x="6"/>
    <field x="5"/>
  </rowFields>
  <rowItems count="184">
    <i>
      <x/>
      <x v="11"/>
      <x v="120"/>
      <x v="214"/>
    </i>
    <i r="3">
      <x v="215"/>
    </i>
    <i r="2">
      <x v="134"/>
      <x v="250"/>
    </i>
    <i r="1">
      <x v="12"/>
      <x v="19"/>
      <x v="133"/>
    </i>
    <i r="3">
      <x v="255"/>
    </i>
    <i r="2">
      <x v="20"/>
      <x v="21"/>
    </i>
    <i r="3">
      <x v="22"/>
    </i>
    <i r="2">
      <x v="129"/>
      <x v="119"/>
    </i>
    <i r="3">
      <x v="155"/>
    </i>
    <i r="3">
      <x v="240"/>
    </i>
    <i r="3">
      <x v="241"/>
    </i>
    <i r="2">
      <x v="131"/>
      <x v="122"/>
    </i>
    <i r="3">
      <x v="123"/>
    </i>
    <i r="3">
      <x v="124"/>
    </i>
    <i r="3">
      <x v="156"/>
    </i>
    <i r="2">
      <x v="133"/>
      <x v="115"/>
    </i>
    <i r="3">
      <x v="248"/>
    </i>
    <i r="2">
      <x v="168"/>
      <x v="132"/>
    </i>
    <i r="3">
      <x v="281"/>
    </i>
    <i r="2">
      <x v="177"/>
      <x v="329"/>
    </i>
    <i>
      <x v="1"/>
      <x v="2"/>
      <x/>
      <x v="3"/>
    </i>
    <i r="2">
      <x v="10"/>
      <x v="12"/>
    </i>
    <i r="2">
      <x v="157"/>
      <x v="308"/>
    </i>
    <i r="1">
      <x v="7"/>
      <x v="7"/>
      <x v="7"/>
    </i>
    <i r="3">
      <x v="8"/>
    </i>
    <i r="2">
      <x v="147"/>
      <x v="276"/>
    </i>
    <i r="3">
      <x v="293"/>
    </i>
    <i r="1">
      <x v="9"/>
      <x v="126"/>
      <x v="114"/>
    </i>
    <i r="3">
      <x v="228"/>
    </i>
    <i r="1">
      <x v="11"/>
      <x v="17"/>
      <x v="17"/>
    </i>
    <i r="3">
      <x v="108"/>
    </i>
    <i r="2">
      <x v="44"/>
      <x v="125"/>
    </i>
    <i r="2">
      <x v="52"/>
      <x v="168"/>
    </i>
    <i r="2">
      <x v="87"/>
      <x v="283"/>
    </i>
    <i r="2">
      <x v="153"/>
      <x v="304"/>
    </i>
    <i r="2">
      <x v="154"/>
      <x v="305"/>
    </i>
    <i r="3">
      <x v="306"/>
    </i>
    <i r="2">
      <x v="158"/>
      <x v="18"/>
    </i>
    <i r="3">
      <x v="19"/>
    </i>
    <i r="2">
      <x v="159"/>
      <x v="148"/>
    </i>
    <i r="3">
      <x v="169"/>
    </i>
    <i r="2">
      <x v="160"/>
      <x v="314"/>
    </i>
    <i r="2">
      <x v="164"/>
      <x v="315"/>
    </i>
    <i r="2">
      <x v="166"/>
      <x v="117"/>
    </i>
    <i r="3">
      <x v="317"/>
    </i>
    <i r="2">
      <x v="169"/>
      <x v="320"/>
    </i>
    <i r="3">
      <x v="321"/>
    </i>
    <i r="2">
      <x v="170"/>
      <x v="322"/>
    </i>
    <i r="2">
      <x v="178"/>
      <x v="330"/>
    </i>
    <i r="1">
      <x v="12"/>
      <x v="14"/>
      <x v="15"/>
    </i>
    <i r="3">
      <x v="16"/>
    </i>
    <i r="3">
      <x v="137"/>
    </i>
    <i r="3">
      <x v="140"/>
    </i>
    <i r="2">
      <x v="40"/>
      <x v="105"/>
    </i>
    <i r="3">
      <x v="106"/>
    </i>
    <i r="3">
      <x v="107"/>
    </i>
    <i r="3">
      <x v="112"/>
    </i>
    <i r="3">
      <x v="151"/>
    </i>
    <i r="3">
      <x v="152"/>
    </i>
    <i r="2">
      <x v="56"/>
      <x v="141"/>
    </i>
    <i r="3">
      <x v="157"/>
    </i>
    <i r="3">
      <x v="170"/>
    </i>
    <i r="3">
      <x v="171"/>
    </i>
    <i r="2">
      <x v="58"/>
      <x/>
    </i>
    <i r="3">
      <x v="1"/>
    </i>
    <i r="3">
      <x v="126"/>
    </i>
    <i r="3">
      <x v="138"/>
    </i>
    <i r="2">
      <x v="83"/>
      <x v="144"/>
    </i>
    <i r="3">
      <x v="203"/>
    </i>
    <i r="2">
      <x v="130"/>
      <x v="242"/>
    </i>
    <i r="3">
      <x v="243"/>
    </i>
    <i r="2">
      <x v="150"/>
      <x v="160"/>
    </i>
    <i r="3">
      <x v="302"/>
    </i>
    <i r="1">
      <x v="16"/>
      <x v="174"/>
      <x v="326"/>
    </i>
    <i r="2">
      <x v="175"/>
      <x v="327"/>
    </i>
    <i r="1">
      <x v="17"/>
      <x v="172"/>
      <x v="324"/>
    </i>
    <i>
      <x v="2"/>
      <x v="3"/>
      <x v="3"/>
      <x v="6"/>
    </i>
    <i r="3">
      <x v="139"/>
    </i>
    <i r="2">
      <x v="21"/>
      <x v="26"/>
    </i>
    <i r="2">
      <x v="22"/>
      <x v="182"/>
    </i>
    <i r="2">
      <x v="23"/>
      <x v="27"/>
    </i>
    <i r="2">
      <x v="24"/>
      <x v="183"/>
    </i>
    <i r="2">
      <x v="26"/>
      <x v="28"/>
    </i>
    <i r="2">
      <x v="27"/>
      <x v="29"/>
    </i>
    <i r="2">
      <x v="28"/>
      <x v="30"/>
    </i>
    <i r="2">
      <x v="29"/>
      <x v="31"/>
    </i>
    <i r="2">
      <x v="30"/>
      <x v="32"/>
    </i>
    <i r="2">
      <x v="31"/>
      <x v="33"/>
    </i>
    <i r="2">
      <x v="32"/>
      <x v="34"/>
    </i>
    <i r="2">
      <x v="33"/>
      <x v="35"/>
    </i>
    <i r="2">
      <x v="34"/>
      <x v="36"/>
    </i>
    <i r="2">
      <x v="35"/>
      <x v="37"/>
    </i>
    <i r="2">
      <x v="36"/>
      <x v="38"/>
    </i>
    <i r="2">
      <x v="37"/>
      <x v="39"/>
    </i>
    <i r="2">
      <x v="38"/>
      <x v="40"/>
    </i>
    <i r="2">
      <x v="41"/>
      <x v="90"/>
    </i>
    <i r="3">
      <x v="91"/>
    </i>
    <i r="3">
      <x v="92"/>
    </i>
    <i r="3">
      <x v="93"/>
    </i>
    <i r="3">
      <x v="94"/>
    </i>
    <i r="3">
      <x v="95"/>
    </i>
    <i r="3">
      <x v="96"/>
    </i>
    <i r="3">
      <x v="97"/>
    </i>
    <i r="2">
      <x v="42"/>
      <x v="42"/>
    </i>
    <i r="3">
      <x v="43"/>
    </i>
    <i r="3">
      <x v="44"/>
    </i>
    <i r="2">
      <x v="43"/>
      <x v="121"/>
    </i>
    <i r="2">
      <x v="49"/>
      <x v="161"/>
    </i>
    <i r="3">
      <x v="162"/>
    </i>
    <i r="2">
      <x v="51"/>
      <x v="164"/>
    </i>
    <i r="3">
      <x v="165"/>
    </i>
    <i r="2">
      <x v="54"/>
      <x v="135"/>
    </i>
    <i r="3">
      <x v="192"/>
    </i>
    <i r="2">
      <x v="59"/>
      <x v="184"/>
    </i>
    <i r="3">
      <x v="292"/>
    </i>
    <i r="2">
      <x v="60"/>
      <x v="176"/>
    </i>
    <i r="2">
      <x v="61"/>
      <x v="177"/>
    </i>
    <i r="2">
      <x v="62"/>
      <x v="178"/>
    </i>
    <i r="2">
      <x v="63"/>
      <x v="179"/>
    </i>
    <i r="2">
      <x v="64"/>
      <x v="180"/>
    </i>
    <i r="2">
      <x v="65"/>
      <x v="181"/>
    </i>
    <i r="2">
      <x v="66"/>
      <x v="74"/>
    </i>
    <i r="2">
      <x v="67"/>
      <x v="185"/>
    </i>
    <i r="3">
      <x v="186"/>
    </i>
    <i r="2">
      <x v="68"/>
      <x v="189"/>
    </i>
    <i r="3">
      <x v="190"/>
    </i>
    <i r="2">
      <x v="69"/>
      <x v="158"/>
    </i>
    <i r="3">
      <x v="282"/>
    </i>
    <i r="2">
      <x v="70"/>
      <x v="187"/>
    </i>
    <i r="3">
      <x v="188"/>
    </i>
    <i r="2">
      <x v="71"/>
      <x v="191"/>
    </i>
    <i r="2">
      <x v="72"/>
      <x v="75"/>
    </i>
    <i r="2">
      <x v="73"/>
      <x v="76"/>
    </i>
    <i r="2">
      <x v="74"/>
      <x v="77"/>
    </i>
    <i r="2">
      <x v="75"/>
      <x v="78"/>
    </i>
    <i r="2">
      <x v="76"/>
      <x v="143"/>
    </i>
    <i r="3">
      <x v="193"/>
    </i>
    <i r="3">
      <x v="194"/>
    </i>
    <i r="2">
      <x v="77"/>
      <x v="79"/>
    </i>
    <i r="2">
      <x v="78"/>
      <x v="80"/>
    </i>
    <i r="2">
      <x v="79"/>
      <x v="276"/>
    </i>
    <i r="2">
      <x v="86"/>
      <x v="150"/>
    </i>
    <i r="3">
      <x v="244"/>
    </i>
    <i r="3">
      <x v="309"/>
    </i>
    <i r="2">
      <x v="138"/>
      <x v="271"/>
    </i>
    <i r="2">
      <x v="139"/>
      <x v="159"/>
    </i>
    <i r="3">
      <x v="285"/>
    </i>
    <i r="2">
      <x v="140"/>
      <x v="256"/>
    </i>
    <i r="3">
      <x v="272"/>
    </i>
    <i r="2">
      <x v="141"/>
      <x v="286"/>
    </i>
    <i r="2">
      <x v="142"/>
      <x v="253"/>
    </i>
    <i r="3">
      <x v="254"/>
    </i>
    <i r="3">
      <x v="287"/>
    </i>
    <i r="2">
      <x v="143"/>
      <x v="127"/>
    </i>
    <i r="3">
      <x v="288"/>
    </i>
    <i r="2">
      <x v="145"/>
      <x v="294"/>
    </i>
    <i r="3">
      <x v="295"/>
    </i>
    <i r="2">
      <x v="146"/>
      <x v="296"/>
    </i>
    <i r="2">
      <x v="156"/>
      <x v="291"/>
    </i>
    <i r="2">
      <x v="167"/>
      <x v="318"/>
    </i>
    <i>
      <x v="3"/>
      <x v="4"/>
    </i>
    <i>
      <x v="4"/>
      <x v="5"/>
    </i>
    <i r="1">
      <x v="11"/>
      <x v="81"/>
      <x v="196"/>
    </i>
    <i r="3">
      <x v="197"/>
    </i>
    <i r="2">
      <x v="176"/>
      <x v="328"/>
    </i>
    <i r="1">
      <x v="12"/>
      <x v="11"/>
      <x v="13"/>
    </i>
    <i r="3">
      <x v="118"/>
    </i>
    <i r="3">
      <x v="149"/>
    </i>
    <i r="3">
      <x v="154"/>
    </i>
    <i r="2">
      <x v="39"/>
      <x v="102"/>
    </i>
    <i r="3">
      <x v="103"/>
    </i>
    <i r="2">
      <x v="82"/>
      <x v="142"/>
    </i>
    <i r="3">
      <x v="199"/>
    </i>
    <i r="3">
      <x v="200"/>
    </i>
    <i r="2">
      <x v="128"/>
      <x v="235"/>
    </i>
    <i r="3">
      <x v="236"/>
    </i>
    <i r="2">
      <x v="163"/>
      <x v="116"/>
    </i>
    <i r="3">
      <x v="316"/>
    </i>
    <i>
      <x v="5"/>
      <x v="6"/>
    </i>
    <i>
      <x v="6"/>
      <x v="8"/>
    </i>
    <i>
      <x v="7"/>
      <x v="9"/>
      <x v="121"/>
      <x v="113"/>
    </i>
    <i r="3">
      <x v="217"/>
    </i>
    <i r="3">
      <x v="218"/>
    </i>
    <i>
      <x v="9"/>
      <x v="10"/>
    </i>
  </rowItems>
  <colItems count="1">
    <i/>
  </colItems>
  <dataFields count="1">
    <dataField name="Suma de CPC" fld="0" baseField="0" baseItem="0"/>
  </dataFields>
  <formats count="4">
    <format dxfId="36">
      <pivotArea type="all" dataOnly="0" outline="0" fieldPosition="0"/>
    </format>
    <format dxfId="35">
      <pivotArea field="9" type="button" dataOnly="0" labelOnly="1" outline="0" axis="axisRow" fieldPosition="0"/>
    </format>
    <format dxfId="34">
      <pivotArea field="8" type="button" dataOnly="0" labelOnly="1" outline="0" axis="axisRow" fieldPosition="1"/>
    </format>
    <format dxfId="33">
      <pivotArea dataOnly="0" labelOnly="1" outline="0" fieldPosition="0">
        <references count="1">
          <reference field="9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Dinámica6" cacheId="3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compact="0" compactData="0" multipleFieldFilters="0">
  <location ref="A3:F495" firstHeaderRow="1" firstDataRow="1" firstDataCol="6"/>
  <pivotFields count="30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66">
        <item x="258"/>
        <item x="208"/>
        <item x="189"/>
        <item x="293"/>
        <item x="316"/>
        <item x="323"/>
        <item x="249"/>
        <item x="267"/>
        <item x="275"/>
        <item x="274"/>
        <item x="317"/>
        <item x="62"/>
        <item x="198"/>
        <item x="321"/>
        <item x="66"/>
        <item x="287"/>
        <item x="30"/>
        <item x="206"/>
        <item x="260"/>
        <item x="306"/>
        <item x="242"/>
        <item x="213"/>
        <item x="327"/>
        <item x="253"/>
        <item x="199"/>
        <item x="295"/>
        <item x="50"/>
        <item x="23"/>
        <item x="128"/>
        <item x="130"/>
        <item x="13"/>
        <item x="5"/>
        <item x="15"/>
        <item x="16"/>
        <item x="17"/>
        <item x="18"/>
        <item x="19"/>
        <item x="20"/>
        <item x="68"/>
        <item x="69"/>
        <item x="70"/>
        <item x="71"/>
        <item x="72"/>
        <item x="14"/>
        <item x="115"/>
        <item x="134"/>
        <item x="116"/>
        <item x="24"/>
        <item x="45"/>
        <item x="21"/>
        <item x="89"/>
        <item x="90"/>
        <item x="91"/>
        <item x="92"/>
        <item x="87"/>
        <item x="88"/>
        <item x="83"/>
        <item x="84"/>
        <item x="85"/>
        <item x="86"/>
        <item x="81"/>
        <item x="125"/>
        <item x="82"/>
        <item x="97"/>
        <item x="98"/>
        <item x="96"/>
        <item x="94"/>
        <item x="95"/>
        <item x="93"/>
        <item x="79"/>
        <item x="103"/>
        <item x="102"/>
        <item x="100"/>
        <item x="101"/>
        <item x="99"/>
        <item x="80"/>
        <item x="59"/>
        <item x="77"/>
        <item x="57"/>
        <item x="56"/>
        <item x="55"/>
        <item x="75"/>
        <item x="76"/>
        <item x="40"/>
        <item x="39"/>
        <item x="37"/>
        <item x="36"/>
        <item x="38"/>
        <item x="26"/>
        <item x="63"/>
        <item x="25"/>
        <item x="22"/>
        <item x="145"/>
        <item x="146"/>
        <item x="147"/>
        <item x="152"/>
        <item x="148"/>
        <item x="149"/>
        <item x="150"/>
        <item x="151"/>
        <item x="3"/>
        <item x="133"/>
        <item x="235"/>
        <item x="65"/>
        <item x="200"/>
        <item x="257"/>
        <item x="247"/>
        <item x="156"/>
        <item x="217"/>
        <item x="302"/>
        <item x="307"/>
        <item x="284"/>
        <item x="318"/>
        <item x="312"/>
        <item x="304"/>
        <item x="313"/>
        <item x="299"/>
        <item x="297"/>
        <item x="309"/>
        <item x="311"/>
        <item x="289"/>
        <item x="218"/>
        <item x="271"/>
        <item x="179"/>
        <item x="232"/>
        <item x="181"/>
        <item x="180"/>
        <item x="254"/>
        <item x="259"/>
        <item x="113"/>
        <item x="118"/>
        <item x="119"/>
        <item x="120"/>
        <item x="121"/>
        <item x="166"/>
        <item x="168"/>
        <item x="173"/>
        <item x="176"/>
        <item x="192"/>
        <item x="207"/>
        <item x="209"/>
        <item x="268"/>
        <item x="261"/>
        <item x="197"/>
        <item x="184"/>
        <item x="212"/>
        <item x="246"/>
        <item x="283"/>
        <item x="330"/>
        <item x="106"/>
        <item x="188"/>
        <item x="288"/>
        <item x="301"/>
        <item x="303"/>
        <item x="305"/>
        <item x="236"/>
        <item x="290"/>
        <item x="219"/>
        <item x="233"/>
        <item x="244"/>
        <item x="136"/>
        <item x="114"/>
        <item x="221"/>
        <item x="202"/>
        <item x="182"/>
        <item x="195"/>
        <item x="222"/>
        <item x="186"/>
        <item x="234"/>
        <item x="216"/>
        <item x="215"/>
        <item x="187"/>
        <item x="243"/>
        <item x="196"/>
        <item x="315"/>
        <item x="33"/>
        <item x="204"/>
        <item x="31"/>
        <item x="138"/>
        <item x="139"/>
        <item x="140"/>
        <item x="141"/>
        <item x="142"/>
        <item x="144"/>
        <item x="129"/>
        <item x="131"/>
        <item x="225"/>
        <item x="273"/>
        <item x="272"/>
        <item x="177"/>
        <item x="256"/>
        <item x="277"/>
        <item x="276"/>
        <item x="143"/>
        <item x="175"/>
        <item x="210"/>
        <item x="211"/>
        <item x="329"/>
        <item x="205"/>
        <item x="231"/>
        <item x="0"/>
        <item x="183"/>
        <item x="282"/>
        <item x="132"/>
        <item x="32"/>
        <item x="245"/>
        <item x="164"/>
        <item x="227"/>
        <item x="163"/>
        <item x="2"/>
        <item x="172"/>
        <item x="111"/>
        <item x="110"/>
        <item x="123"/>
        <item x="117"/>
        <item x="191"/>
        <item x="61"/>
        <item x="228"/>
        <item x="193"/>
        <item x="162"/>
        <item x="237"/>
        <item x="126"/>
        <item x="294"/>
        <item x="107"/>
        <item x="325"/>
        <item x="326"/>
        <item x="281"/>
        <item x="161"/>
        <item x="226"/>
        <item x="201"/>
        <item x="238"/>
        <item x="108"/>
        <item x="35"/>
        <item x="286"/>
        <item x="4"/>
        <item x="250"/>
        <item x="324"/>
        <item x="296"/>
        <item x="241"/>
        <item x="124"/>
        <item x="239"/>
        <item x="279"/>
        <item x="280"/>
        <item x="240"/>
        <item x="174"/>
        <item x="285"/>
        <item x="157"/>
        <item x="158"/>
        <item x="159"/>
        <item x="160"/>
        <item x="314"/>
        <item x="170"/>
        <item x="155"/>
        <item x="291"/>
        <item x="292"/>
        <item x="34"/>
        <item x="319"/>
        <item x="322"/>
        <item x="328"/>
        <item x="122"/>
        <item x="224"/>
        <item x="167"/>
        <item x="112"/>
        <item x="44"/>
        <item x="42"/>
        <item x="9"/>
        <item x="28"/>
        <item x="27"/>
        <item x="8"/>
        <item x="109"/>
        <item x="43"/>
        <item x="11"/>
        <item x="29"/>
        <item x="48"/>
        <item x="10"/>
        <item x="6"/>
        <item x="41"/>
        <item x="49"/>
        <item x="53"/>
        <item x="1"/>
        <item x="7"/>
        <item x="78"/>
        <item x="137"/>
        <item x="105"/>
        <item x="104"/>
        <item x="169"/>
        <item x="12"/>
        <item x="165"/>
        <item x="135"/>
        <item x="47"/>
        <item x="58"/>
        <item x="74"/>
        <item x="51"/>
        <item x="54"/>
        <item x="73"/>
        <item x="60"/>
        <item x="64"/>
        <item x="52"/>
        <item x="127"/>
        <item x="252"/>
        <item x="154"/>
        <item x="251"/>
        <item x="153"/>
        <item x="266"/>
        <item x="262"/>
        <item x="263"/>
        <item x="264"/>
        <item x="265"/>
        <item x="220"/>
        <item x="278"/>
        <item x="248"/>
        <item x="269"/>
        <item x="255"/>
        <item x="270"/>
        <item x="67"/>
        <item x="320"/>
        <item x="300"/>
        <item x="214"/>
        <item x="190"/>
        <item x="229"/>
        <item x="171"/>
        <item x="185"/>
        <item x="194"/>
        <item x="308"/>
        <item x="310"/>
        <item x="298"/>
        <item x="223"/>
        <item x="46"/>
        <item x="203"/>
        <item x="230"/>
        <item x="178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</items>
    </pivotField>
    <pivotField axis="axisRow" compact="0" outline="0" showAll="0" defaultSubtotal="0">
      <items count="211">
        <item x="159"/>
        <item x="166"/>
        <item x="172"/>
        <item x="33"/>
        <item x="147"/>
        <item x="18"/>
        <item x="21"/>
        <item x="7"/>
        <item x="150"/>
        <item x="167"/>
        <item x="133"/>
        <item x="170"/>
        <item x="50"/>
        <item x="156"/>
        <item x="23"/>
        <item x="22"/>
        <item x="138"/>
        <item x="6"/>
        <item x="5"/>
        <item x="162"/>
        <item x="175"/>
        <item x="116"/>
        <item x="134"/>
        <item x="93"/>
        <item x="94"/>
        <item x="95"/>
        <item x="96"/>
        <item x="81"/>
        <item x="9"/>
        <item x="4"/>
        <item x="10"/>
        <item x="11"/>
        <item x="12"/>
        <item x="13"/>
        <item x="14"/>
        <item x="15"/>
        <item x="51"/>
        <item x="52"/>
        <item x="53"/>
        <item x="54"/>
        <item x="55"/>
        <item x="135"/>
        <item x="111"/>
        <item x="107"/>
        <item x="87"/>
        <item x="121"/>
        <item x="145"/>
        <item x="32"/>
        <item x="16"/>
        <item x="19"/>
        <item x="34"/>
        <item x="123"/>
        <item x="131"/>
        <item x="126"/>
        <item x="142"/>
        <item x="90"/>
        <item x="118"/>
        <item x="1"/>
        <item x="132"/>
        <item x="165"/>
        <item x="139"/>
        <item x="92"/>
        <item x="100"/>
        <item x="101"/>
        <item x="102"/>
        <item x="103"/>
        <item x="104"/>
        <item x="106"/>
        <item x="46"/>
        <item x="149"/>
        <item x="151"/>
        <item x="97"/>
        <item x="119"/>
        <item x="105"/>
        <item x="60"/>
        <item x="44"/>
        <item x="43"/>
        <item x="42"/>
        <item x="140"/>
        <item x="58"/>
        <item x="59"/>
        <item x="98"/>
        <item x="177"/>
        <item x="137"/>
        <item x="124"/>
        <item x="144"/>
        <item x="2"/>
        <item x="8"/>
        <item x="29"/>
        <item x="161"/>
        <item x="0"/>
        <item x="45"/>
        <item x="117"/>
        <item x="84"/>
        <item x="86"/>
        <item x="85"/>
        <item x="88"/>
        <item x="128"/>
        <item x="79"/>
        <item x="80"/>
        <item x="78"/>
        <item x="76"/>
        <item x="77"/>
        <item x="75"/>
        <item x="71"/>
        <item x="72"/>
        <item x="73"/>
        <item x="74"/>
        <item x="69"/>
        <item x="70"/>
        <item x="65"/>
        <item x="66"/>
        <item x="67"/>
        <item x="68"/>
        <item x="63"/>
        <item x="64"/>
        <item x="61"/>
        <item x="28"/>
        <item x="62"/>
        <item x="26"/>
        <item x="25"/>
        <item x="27"/>
        <item x="89"/>
        <item x="129"/>
        <item x="114"/>
        <item x="91"/>
        <item x="83"/>
        <item x="173"/>
        <item x="174"/>
        <item x="154"/>
        <item x="24"/>
        <item x="155"/>
        <item x="3"/>
        <item x="36"/>
        <item x="153"/>
        <item x="112"/>
        <item x="113"/>
        <item x="122"/>
        <item x="157"/>
        <item x="158"/>
        <item x="168"/>
        <item x="171"/>
        <item x="176"/>
        <item x="30"/>
        <item x="37"/>
        <item x="57"/>
        <item x="40"/>
        <item x="38"/>
        <item x="41"/>
        <item x="56"/>
        <item x="109"/>
        <item x="108"/>
        <item x="99"/>
        <item x="82"/>
        <item x="31"/>
        <item x="143"/>
        <item x="48"/>
        <item x="152"/>
        <item x="47"/>
        <item x="148"/>
        <item x="146"/>
        <item x="49"/>
        <item x="39"/>
        <item x="169"/>
        <item x="141"/>
        <item x="127"/>
        <item x="125"/>
        <item x="17"/>
        <item x="20"/>
        <item x="163"/>
        <item x="130"/>
        <item x="110"/>
        <item x="164"/>
        <item x="160"/>
        <item x="35"/>
        <item x="115"/>
        <item x="136"/>
        <item x="120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</items>
    </pivotField>
    <pivotField compact="0" outline="0" showAll="0" defaultSubtotal="0"/>
    <pivotField axis="axisRow" compact="0" outline="0" showAll="0" defaultSubtotal="0">
      <items count="15">
        <item x="2"/>
        <item x="12"/>
        <item x="3"/>
        <item x="6"/>
        <item x="1"/>
        <item x="11"/>
        <item x="0"/>
        <item x="9"/>
        <item m="1" x="14"/>
        <item x="4"/>
        <item x="8"/>
        <item x="13"/>
        <item x="7"/>
        <item x="5"/>
        <item x="10"/>
      </items>
    </pivotField>
    <pivotField axis="axisRow" compact="0" outline="0" showAll="0" defaultSubtotal="0">
      <items count="10">
        <item x="7"/>
        <item x="2"/>
        <item x="3"/>
        <item x="1"/>
        <item x="8"/>
        <item x="0"/>
        <item x="4"/>
        <item x="6"/>
        <item x="9"/>
        <item x="5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7">
        <item x="24"/>
        <item x="18"/>
        <item x="30"/>
        <item x="32"/>
        <item x="6"/>
        <item x="27"/>
        <item x="11"/>
        <item x="9"/>
        <item x="28"/>
        <item x="19"/>
        <item x="33"/>
        <item x="14"/>
        <item x="4"/>
        <item x="13"/>
        <item x="16"/>
        <item x="17"/>
        <item x="1"/>
        <item x="22"/>
        <item x="21"/>
        <item x="29"/>
        <item x="2"/>
        <item x="8"/>
        <item x="23"/>
        <item x="20"/>
        <item x="26"/>
        <item x="3"/>
        <item x="7"/>
        <item x="12"/>
        <item x="0"/>
        <item x="31"/>
        <item x="25"/>
        <item x="15"/>
        <item x="5"/>
        <item x="10"/>
        <item x="34"/>
        <item x="35"/>
        <item x="36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52">
        <item x="4"/>
        <item x="190"/>
        <item x="232"/>
        <item x="238"/>
        <item x="71"/>
        <item x="211"/>
        <item x="17"/>
        <item x="20"/>
        <item x="9"/>
        <item x="215"/>
        <item x="233"/>
        <item x="236"/>
        <item x="222"/>
        <item m="1" x="246"/>
        <item x="23"/>
        <item x="73"/>
        <item x="203"/>
        <item x="8"/>
        <item x="7"/>
        <item x="228"/>
        <item x="122"/>
        <item x="3"/>
        <item x="242"/>
        <item x="176"/>
        <item x="198"/>
        <item x="146"/>
        <item x="100"/>
        <item x="217"/>
        <item x="199"/>
        <item x="167"/>
        <item x="184"/>
        <item x="162"/>
        <item x="169"/>
        <item x="117"/>
        <item x="68"/>
        <item x="15"/>
        <item x="18"/>
        <item x="72"/>
        <item x="5"/>
        <item x="195"/>
        <item x="81"/>
        <item x="188"/>
        <item x="207"/>
        <item x="159"/>
        <item m="1" x="247"/>
        <item x="1"/>
        <item x="196"/>
        <item x="231"/>
        <item x="204"/>
        <item x="161"/>
        <item x="166"/>
        <item x="214"/>
        <item x="216"/>
        <item x="182"/>
        <item x="205"/>
        <item x="123"/>
        <item x="244"/>
        <item x="202"/>
        <item x="186"/>
        <item x="225"/>
        <item x="209"/>
        <item x="11"/>
        <item x="61"/>
        <item x="2"/>
        <item x="227"/>
        <item x="180"/>
        <item x="150"/>
        <item x="152"/>
        <item x="151"/>
        <item x="153"/>
        <item x="192"/>
        <item x="144"/>
        <item x="145"/>
        <item x="143"/>
        <item x="141"/>
        <item x="142"/>
        <item x="140"/>
        <item x="136"/>
        <item x="137"/>
        <item x="138"/>
        <item x="139"/>
        <item x="134"/>
        <item x="135"/>
        <item x="130"/>
        <item x="131"/>
        <item x="132"/>
        <item x="133"/>
        <item x="128"/>
        <item x="129"/>
        <item x="126"/>
        <item x="59"/>
        <item x="127"/>
        <item x="57"/>
        <item x="56"/>
        <item x="58"/>
        <item x="156"/>
        <item x="193"/>
        <item x="160"/>
        <item x="148"/>
        <item x="240"/>
        <item x="241"/>
        <item x="41"/>
        <item x="221"/>
        <item x="14"/>
        <item x="78"/>
        <item x="218"/>
        <item x="170"/>
        <item x="171"/>
        <item x="185"/>
        <item x="224"/>
        <item x="234"/>
        <item x="237"/>
        <item x="243"/>
        <item x="125"/>
        <item x="65"/>
        <item x="102"/>
        <item x="163"/>
        <item x="164"/>
        <item x="147"/>
        <item x="67"/>
        <item x="208"/>
        <item x="173"/>
        <item x="115"/>
        <item x="104"/>
        <item m="1" x="248"/>
        <item m="1" x="249"/>
        <item m="1" x="251"/>
        <item x="212"/>
        <item x="210"/>
        <item x="116"/>
        <item x="235"/>
        <item x="206"/>
        <item x="189"/>
        <item x="187"/>
        <item x="219"/>
        <item x="16"/>
        <item x="19"/>
        <item x="229"/>
        <item x="194"/>
        <item m="1" x="250"/>
        <item x="230"/>
        <item x="226"/>
        <item x="120"/>
        <item x="175"/>
        <item x="200"/>
        <item x="183"/>
        <item x="201"/>
        <item x="178"/>
        <item x="191"/>
        <item x="113"/>
        <item x="12"/>
        <item x="239"/>
        <item x="124"/>
        <item x="84"/>
        <item x="40"/>
        <item x="106"/>
        <item x="114"/>
        <item x="24"/>
        <item x="158"/>
        <item x="109"/>
        <item x="6"/>
        <item x="165"/>
        <item x="33"/>
        <item x="51"/>
        <item x="77"/>
        <item x="39"/>
        <item x="42"/>
        <item x="36"/>
        <item x="34"/>
        <item x="53"/>
        <item x="52"/>
        <item x="43"/>
        <item x="35"/>
        <item x="172"/>
        <item x="119"/>
        <item x="83"/>
        <item x="37"/>
        <item x="38"/>
        <item x="66"/>
        <item x="179"/>
        <item x="168"/>
        <item x="13"/>
        <item x="44"/>
        <item x="101"/>
        <item x="177"/>
        <item x="32"/>
        <item x="28"/>
        <item x="27"/>
        <item x="79"/>
        <item x="213"/>
        <item x="80"/>
        <item x="29"/>
        <item x="30"/>
        <item x="0"/>
        <item x="55"/>
        <item x="31"/>
        <item x="174"/>
        <item x="60"/>
        <item x="62"/>
        <item x="21"/>
        <item x="149"/>
        <item x="220"/>
        <item x="22"/>
        <item x="63"/>
        <item x="64"/>
        <item x="54"/>
        <item x="75"/>
        <item x="82"/>
        <item x="197"/>
        <item x="103"/>
        <item x="157"/>
        <item x="154"/>
        <item x="181"/>
        <item x="223"/>
        <item x="155"/>
        <item x="10"/>
        <item x="69"/>
        <item x="121"/>
        <item x="70"/>
        <item x="118"/>
        <item x="48"/>
        <item x="98"/>
        <item x="47"/>
        <item x="110"/>
        <item x="86"/>
        <item x="97"/>
        <item x="87"/>
        <item x="25"/>
        <item x="96"/>
        <item x="111"/>
        <item x="112"/>
        <item x="92"/>
        <item x="91"/>
        <item x="46"/>
        <item x="74"/>
        <item x="85"/>
        <item x="49"/>
        <item x="99"/>
        <item x="88"/>
        <item x="94"/>
        <item x="50"/>
        <item x="76"/>
        <item x="89"/>
        <item x="93"/>
        <item x="95"/>
        <item x="90"/>
        <item x="45"/>
        <item x="26"/>
        <item x="105"/>
        <item x="108"/>
        <item x="107"/>
        <item x="245"/>
      </items>
    </pivotField>
    <pivotField compact="0" outline="0" showAll="0" defaultSubtotal="0"/>
  </pivotFields>
  <rowFields count="6">
    <field x="9"/>
    <field x="8"/>
    <field x="13"/>
    <field x="6"/>
    <field x="5"/>
    <field x="28"/>
  </rowFields>
  <rowItems count="492">
    <i>
      <x/>
      <x v="13"/>
      <x v="19"/>
      <x v="140"/>
      <x v="256"/>
      <x v="110"/>
    </i>
    <i r="2">
      <x v="28"/>
      <x v="123"/>
      <x v="217"/>
      <x v="96"/>
    </i>
    <i r="4">
      <x v="218"/>
      <x v="96"/>
    </i>
    <i r="2">
      <x v="29"/>
      <x v="141"/>
      <x v="257"/>
      <x v="111"/>
    </i>
    <i r="1">
      <x v="14"/>
      <x v="3"/>
      <x v="2"/>
      <x v="5"/>
      <x v="3"/>
    </i>
    <i r="2">
      <x v="5"/>
      <x v="142"/>
      <x v="258"/>
      <x v="112"/>
    </i>
    <i r="5">
      <x v="251"/>
    </i>
    <i r="2">
      <x v="6"/>
      <x v="22"/>
      <x v="23"/>
      <x v="24"/>
    </i>
    <i r="4">
      <x v="24"/>
      <x v="24"/>
    </i>
    <i r="2">
      <x v="13"/>
      <x v="137"/>
      <x v="124"/>
      <x v="108"/>
    </i>
    <i r="4">
      <x v="125"/>
      <x v="108"/>
    </i>
    <i r="4">
      <x v="126"/>
      <x v="108"/>
    </i>
    <i r="4">
      <x v="158"/>
      <x v="108"/>
    </i>
    <i r="2">
      <x v="17"/>
      <x v="135"/>
      <x v="121"/>
      <x v="106"/>
    </i>
    <i r="4">
      <x v="157"/>
      <x v="106"/>
    </i>
    <i r="4">
      <x v="246"/>
      <x v="106"/>
    </i>
    <i r="4">
      <x v="247"/>
      <x v="106"/>
    </i>
    <i r="2">
      <x v="23"/>
      <x v="21"/>
      <x v="135"/>
      <x v="23"/>
    </i>
    <i r="4">
      <x v="261"/>
      <x v="23"/>
    </i>
    <i r="3">
      <x v="139"/>
      <x v="117"/>
      <x v="109"/>
    </i>
    <i r="4">
      <x v="254"/>
      <x v="109"/>
    </i>
    <i r="3">
      <x v="175"/>
      <x v="134"/>
      <x v="143"/>
    </i>
    <i r="4">
      <x v="287"/>
      <x v="143"/>
    </i>
    <i r="2">
      <x v="30"/>
      <x v="157"/>
      <x v="309"/>
      <x v="27"/>
    </i>
    <i r="2">
      <x v="34"/>
      <x v="178"/>
      <x v="331"/>
      <x v="251"/>
    </i>
    <i>
      <x v="1"/>
      <x/>
      <x v="20"/>
      <x v="86"/>
      <x v="209"/>
      <x v="21"/>
    </i>
    <i r="5">
      <x v="63"/>
    </i>
    <i r="2">
      <x v="25"/>
      <x v="132"/>
      <x v="234"/>
      <x/>
    </i>
    <i r="1">
      <x v="1"/>
      <x v="2"/>
      <x v="11"/>
      <x v="13"/>
      <x v="11"/>
    </i>
    <i r="3">
      <x v="163"/>
      <x v="315"/>
      <x v="130"/>
    </i>
    <i r="2">
      <x v="5"/>
      <x v="1"/>
      <x v="4"/>
      <x v="2"/>
    </i>
    <i r="2">
      <x v="23"/>
      <x v="90"/>
      <x v="335"/>
      <x v="251"/>
    </i>
    <i r="1">
      <x v="3"/>
      <x v="6"/>
      <x v="12"/>
      <x v="14"/>
      <x v="113"/>
    </i>
    <i r="1">
      <x v="5"/>
      <x v="21"/>
      <x v="181"/>
      <x v="334"/>
      <x v="251"/>
    </i>
    <i r="2">
      <x v="35"/>
      <x v="179"/>
      <x v="332"/>
      <x v="251"/>
    </i>
    <i r="1">
      <x v="7"/>
      <x v="6"/>
      <x v="8"/>
      <x v="8"/>
      <x v="9"/>
    </i>
    <i r="4">
      <x v="9"/>
      <x v="9"/>
    </i>
    <i r="3">
      <x v="152"/>
      <x v="282"/>
      <x v="117"/>
    </i>
    <i r="4">
      <x v="299"/>
      <x v="117"/>
    </i>
    <i r="1">
      <x v="10"/>
      <x v="23"/>
      <x v="131"/>
      <x v="116"/>
      <x v="102"/>
    </i>
    <i r="4">
      <x v="233"/>
      <x v="102"/>
    </i>
    <i r="1">
      <x v="13"/>
      <x v="4"/>
      <x v="165"/>
      <x v="150"/>
      <x v="132"/>
    </i>
    <i r="4">
      <x v="171"/>
      <x v="132"/>
    </i>
    <i r="2">
      <x v="6"/>
      <x v="46"/>
      <x v="127"/>
      <x v="33"/>
    </i>
    <i r="3">
      <x v="90"/>
      <x v="289"/>
      <x v="33"/>
    </i>
    <i r="3">
      <x v="160"/>
      <x v="312"/>
      <x v="128"/>
    </i>
    <i r="4">
      <x v="313"/>
      <x v="128"/>
    </i>
    <i r="3">
      <x v="177"/>
      <x v="330"/>
      <x v="145"/>
    </i>
    <i r="2">
      <x v="21"/>
      <x v="19"/>
      <x v="19"/>
      <x v="19"/>
    </i>
    <i r="4">
      <x v="110"/>
      <x v="19"/>
    </i>
    <i r="3">
      <x v="172"/>
      <x v="119"/>
      <x v="140"/>
    </i>
    <i r="4">
      <x v="324"/>
      <x v="140"/>
    </i>
    <i r="3">
      <x v="176"/>
      <x v="328"/>
      <x v="144"/>
    </i>
    <i r="4">
      <x v="329"/>
      <x v="144"/>
    </i>
    <i r="2">
      <x v="23"/>
      <x v="129"/>
      <x v="226"/>
      <x v="134"/>
    </i>
    <i r="3">
      <x v="159"/>
      <x v="311"/>
      <x v="127"/>
    </i>
    <i r="2">
      <x v="28"/>
      <x v="166"/>
      <x v="321"/>
      <x v="133"/>
    </i>
    <i r="3">
      <x v="170"/>
      <x v="322"/>
      <x v="138"/>
    </i>
    <i r="2">
      <x v="31"/>
      <x v="54"/>
      <x v="170"/>
      <x v="42"/>
    </i>
    <i r="3">
      <x v="164"/>
      <x v="20"/>
      <x v="131"/>
    </i>
    <i r="4">
      <x v="21"/>
      <x v="131"/>
    </i>
    <i r="1">
      <x v="14"/>
      <x v="4"/>
      <x v="58"/>
      <x v="143"/>
      <x v="46"/>
    </i>
    <i r="4">
      <x v="159"/>
      <x v="46"/>
    </i>
    <i r="4">
      <x v="172"/>
      <x v="46"/>
    </i>
    <i r="4">
      <x v="173"/>
      <x v="46"/>
    </i>
    <i r="2">
      <x v="6"/>
      <x v="16"/>
      <x v="17"/>
      <x v="16"/>
    </i>
    <i r="4">
      <x v="18"/>
      <x v="16"/>
    </i>
    <i r="4">
      <x v="139"/>
      <x v="16"/>
    </i>
    <i r="4">
      <x v="142"/>
      <x v="16"/>
    </i>
    <i r="3">
      <x v="60"/>
      <x/>
      <x v="48"/>
    </i>
    <i r="4">
      <x v="1"/>
      <x v="48"/>
    </i>
    <i r="4">
      <x v="128"/>
      <x v="48"/>
    </i>
    <i r="4">
      <x v="140"/>
      <x v="48"/>
    </i>
    <i r="2">
      <x v="13"/>
      <x v="85"/>
      <x v="146"/>
      <x v="60"/>
    </i>
    <i r="4">
      <x v="205"/>
      <x v="60"/>
    </i>
    <i r="2">
      <x v="17"/>
      <x v="42"/>
      <x v="107"/>
      <x v="32"/>
    </i>
    <i r="4">
      <x v="108"/>
      <x v="32"/>
    </i>
    <i r="4">
      <x v="109"/>
      <x v="32"/>
    </i>
    <i r="4">
      <x v="114"/>
      <x v="32"/>
    </i>
    <i r="4">
      <x v="153"/>
      <x v="32"/>
    </i>
    <i r="4">
      <x v="154"/>
      <x v="32"/>
    </i>
    <i r="3">
      <x v="136"/>
      <x v="248"/>
      <x v="107"/>
    </i>
    <i r="4">
      <x v="249"/>
      <x v="107"/>
    </i>
    <i r="3">
      <x v="155"/>
      <x v="162"/>
      <x v="120"/>
    </i>
    <i r="4">
      <x v="308"/>
      <x v="120"/>
    </i>
    <i>
      <x v="2"/>
      <x v="2"/>
      <x v="6"/>
      <x v="69"/>
      <x v="187"/>
      <x v="51"/>
    </i>
    <i r="4">
      <x v="188"/>
      <x v="51"/>
    </i>
    <i r="3">
      <x v="70"/>
      <x v="191"/>
      <x v="52"/>
    </i>
    <i r="4">
      <x v="192"/>
      <x v="52"/>
    </i>
    <i r="3">
      <x v="72"/>
      <x v="189"/>
      <x v="53"/>
    </i>
    <i r="4">
      <x v="190"/>
      <x v="53"/>
    </i>
    <i r="3">
      <x v="81"/>
      <x v="282"/>
      <x v="116"/>
    </i>
    <i r="3">
      <x v="150"/>
      <x v="300"/>
      <x v="116"/>
    </i>
    <i r="4">
      <x v="301"/>
      <x v="116"/>
    </i>
    <i r="3">
      <x v="151"/>
      <x v="302"/>
      <x v="116"/>
    </i>
    <i r="2">
      <x v="9"/>
      <x v="4"/>
      <x v="7"/>
      <x v="5"/>
    </i>
    <i r="4">
      <x v="141"/>
      <x v="5"/>
    </i>
    <i r="3">
      <x v="36"/>
      <x v="38"/>
      <x v="20"/>
    </i>
    <i r="3">
      <x v="37"/>
      <x v="39"/>
      <x v="20"/>
    </i>
    <i r="3">
      <x v="38"/>
      <x v="40"/>
      <x v="20"/>
    </i>
    <i r="3">
      <x v="39"/>
      <x v="41"/>
      <x v="20"/>
    </i>
    <i r="3">
      <x v="40"/>
      <x v="42"/>
      <x v="20"/>
    </i>
    <i r="3">
      <x v="149"/>
      <x v="129"/>
      <x v="20"/>
    </i>
    <i r="4">
      <x v="294"/>
      <x v="20"/>
    </i>
    <i r="2">
      <x v="11"/>
      <x v="147"/>
      <x v="292"/>
      <x v="26"/>
    </i>
    <i r="3">
      <x v="162"/>
      <x v="297"/>
      <x v="26"/>
    </i>
    <i r="2">
      <x v="12"/>
      <x v="28"/>
      <x v="30"/>
      <x v="38"/>
    </i>
    <i r="3">
      <x v="29"/>
      <x v="31"/>
      <x v="38"/>
    </i>
    <i r="3">
      <x v="43"/>
      <x v="92"/>
      <x v="29"/>
    </i>
    <i r="4">
      <x v="93"/>
      <x v="29"/>
    </i>
    <i r="4">
      <x v="94"/>
      <x v="29"/>
    </i>
    <i r="4">
      <x v="95"/>
      <x v="29"/>
    </i>
    <i r="4">
      <x v="96"/>
      <x v="29"/>
    </i>
    <i r="4">
      <x v="97"/>
      <x v="29"/>
    </i>
    <i r="4">
      <x v="98"/>
      <x v="29"/>
    </i>
    <i r="4">
      <x v="99"/>
      <x v="29"/>
    </i>
    <i r="3">
      <x v="44"/>
      <x v="44"/>
      <x v="38"/>
    </i>
    <i r="4">
      <x v="45"/>
      <x v="38"/>
    </i>
    <i r="4">
      <x v="46"/>
      <x v="38"/>
    </i>
    <i r="3">
      <x v="51"/>
      <x v="163"/>
      <x v="38"/>
    </i>
    <i r="4">
      <x v="164"/>
      <x v="38"/>
    </i>
    <i r="3">
      <x v="68"/>
      <x v="76"/>
      <x v="40"/>
    </i>
    <i r="3">
      <x v="71"/>
      <x v="160"/>
      <x v="40"/>
    </i>
    <i r="4">
      <x v="288"/>
      <x v="40"/>
    </i>
    <i r="3">
      <x v="144"/>
      <x v="277"/>
      <x v="40"/>
    </i>
    <i r="2">
      <x v="17"/>
      <x v="53"/>
      <x v="166"/>
      <x v="41"/>
    </i>
    <i r="4">
      <x v="167"/>
      <x v="41"/>
    </i>
    <i r="2">
      <x v="21"/>
      <x v="23"/>
      <x v="28"/>
      <x v="31"/>
    </i>
    <i r="3">
      <x v="24"/>
      <x v="184"/>
      <x v="31"/>
    </i>
    <i r="3">
      <x v="25"/>
      <x v="29"/>
      <x v="31"/>
    </i>
    <i r="3">
      <x v="26"/>
      <x v="185"/>
      <x v="31"/>
    </i>
    <i r="3">
      <x v="30"/>
      <x v="32"/>
      <x v="103"/>
    </i>
    <i r="3">
      <x v="31"/>
      <x v="33"/>
      <x v="103"/>
    </i>
    <i r="3">
      <x v="32"/>
      <x v="34"/>
      <x v="103"/>
    </i>
    <i r="3">
      <x v="33"/>
      <x v="35"/>
      <x v="103"/>
    </i>
    <i r="3">
      <x v="34"/>
      <x v="36"/>
      <x v="103"/>
    </i>
    <i r="3">
      <x v="35"/>
      <x v="37"/>
      <x v="103"/>
    </i>
    <i r="3">
      <x v="45"/>
      <x v="123"/>
      <x v="30"/>
    </i>
    <i r="3">
      <x v="56"/>
      <x v="137"/>
      <x v="50"/>
    </i>
    <i r="4">
      <x v="194"/>
      <x v="50"/>
    </i>
    <i r="3">
      <x v="61"/>
      <x v="186"/>
      <x v="49"/>
    </i>
    <i r="4">
      <x v="298"/>
      <x v="49"/>
    </i>
    <i r="3">
      <x v="62"/>
      <x v="178"/>
      <x v="50"/>
    </i>
    <i r="3">
      <x v="63"/>
      <x v="179"/>
      <x v="50"/>
    </i>
    <i r="3">
      <x v="64"/>
      <x v="180"/>
      <x v="50"/>
    </i>
    <i r="3">
      <x v="65"/>
      <x v="181"/>
      <x v="50"/>
    </i>
    <i r="3">
      <x v="66"/>
      <x v="182"/>
      <x v="50"/>
    </i>
    <i r="3">
      <x v="67"/>
      <x v="183"/>
      <x v="50"/>
    </i>
    <i r="3">
      <x v="73"/>
      <x v="193"/>
      <x v="50"/>
    </i>
    <i r="3">
      <x v="74"/>
      <x v="77"/>
      <x v="103"/>
    </i>
    <i r="3">
      <x v="75"/>
      <x v="78"/>
      <x v="103"/>
    </i>
    <i r="3">
      <x v="76"/>
      <x v="79"/>
      <x v="103"/>
    </i>
    <i r="3">
      <x v="77"/>
      <x v="80"/>
      <x v="103"/>
    </i>
    <i r="3">
      <x v="79"/>
      <x v="81"/>
      <x v="55"/>
    </i>
    <i r="3">
      <x v="80"/>
      <x v="82"/>
      <x v="55"/>
    </i>
    <i r="3">
      <x v="145"/>
      <x v="161"/>
      <x v="55"/>
    </i>
    <i r="4">
      <x v="291"/>
      <x v="55"/>
    </i>
    <i r="3">
      <x v="146"/>
      <x v="262"/>
      <x v="115"/>
    </i>
    <i r="4">
      <x v="278"/>
      <x v="115"/>
    </i>
    <i r="3">
      <x v="148"/>
      <x v="259"/>
      <x v="103"/>
    </i>
    <i r="4">
      <x v="260"/>
      <x v="103"/>
    </i>
    <i r="4">
      <x v="293"/>
      <x v="103"/>
    </i>
    <i r="2">
      <x v="23"/>
      <x v="78"/>
      <x v="145"/>
      <x v="54"/>
    </i>
    <i r="4">
      <x v="195"/>
      <x v="54"/>
    </i>
    <i r="4">
      <x v="196"/>
      <x v="54"/>
    </i>
    <i r="3">
      <x v="89"/>
      <x v="152"/>
      <x v="64"/>
    </i>
    <i r="4">
      <x v="250"/>
      <x v="64"/>
    </i>
    <i r="4">
      <x v="316"/>
      <x v="64"/>
    </i>
    <i r="2">
      <x v="24"/>
      <x v="173"/>
      <x v="325"/>
      <x v="141"/>
    </i>
    <i>
      <x v="3"/>
      <x v="4"/>
      <x v="4"/>
      <x v="5"/>
      <x v="27"/>
      <x v="6"/>
    </i>
    <i r="3">
      <x v="6"/>
      <x v="49"/>
      <x v="7"/>
    </i>
    <i r="3">
      <x v="47"/>
      <x v="270"/>
      <x v="34"/>
    </i>
    <i r="3">
      <x v="48"/>
      <x v="49"/>
      <x v="35"/>
    </i>
    <i r="3">
      <x v="49"/>
      <x v="47"/>
      <x v="36"/>
    </i>
    <i r="3">
      <x v="50"/>
      <x v="48"/>
      <x v="37"/>
    </i>
    <i r="3">
      <x v="143"/>
      <x v="276"/>
      <x v="114"/>
    </i>
    <i r="3">
      <x v="156"/>
      <x v="89"/>
      <x v="122"/>
    </i>
    <i r="3">
      <x v="158"/>
      <x v="295"/>
      <x v="123"/>
    </i>
    <i r="3">
      <x v="161"/>
      <x v="296"/>
      <x v="129"/>
    </i>
    <i r="3">
      <x v="167"/>
      <x v="91"/>
      <x v="135"/>
    </i>
    <i r="3">
      <x v="168"/>
      <x v="90"/>
      <x v="136"/>
    </i>
    <i r="2">
      <x v="16"/>
      <x v="7"/>
      <x v="265"/>
      <x v="8"/>
    </i>
    <i r="3">
      <x v="57"/>
      <x v="279"/>
      <x v="45"/>
    </i>
    <i r="2">
      <x v="28"/>
      <x v="17"/>
      <x v="268"/>
      <x v="17"/>
    </i>
    <i>
      <x v="4"/>
      <x v="1"/>
      <x v="23"/>
      <x v="180"/>
      <x v="333"/>
      <x v="251"/>
    </i>
    <i r="1">
      <x v="5"/>
      <x v="6"/>
      <x v="59"/>
      <x v="112"/>
      <x v="47"/>
    </i>
    <i r="4">
      <x v="174"/>
      <x v="47"/>
    </i>
    <i r="3">
      <x v="84"/>
      <x v="147"/>
      <x v="58"/>
    </i>
    <i r="2">
      <x v="8"/>
      <x v="9"/>
      <x v="10"/>
      <x v="10"/>
    </i>
    <i r="2">
      <x v="23"/>
      <x v="82"/>
      <x v="148"/>
      <x v="56"/>
    </i>
    <i r="4">
      <x v="197"/>
      <x v="56"/>
    </i>
    <i r="1">
      <x v="13"/>
      <x v="21"/>
      <x v="83"/>
      <x v="198"/>
      <x v="57"/>
    </i>
    <i r="4">
      <x v="199"/>
      <x v="57"/>
    </i>
    <i r="2">
      <x v="22"/>
      <x v="124"/>
      <x v="219"/>
      <x v="121"/>
    </i>
    <i r="1">
      <x v="14"/>
      <x v="5"/>
      <x v="20"/>
      <x v="22"/>
      <x v="22"/>
    </i>
    <i r="2">
      <x v="6"/>
      <x v="41"/>
      <x v="104"/>
      <x v="28"/>
    </i>
    <i r="4">
      <x v="105"/>
      <x v="28"/>
    </i>
    <i r="3">
      <x v="84"/>
      <x v="144"/>
      <x v="58"/>
    </i>
    <i r="4">
      <x v="201"/>
      <x v="58"/>
    </i>
    <i r="4">
      <x v="202"/>
      <x v="58"/>
    </i>
    <i r="3">
      <x v="134"/>
      <x v="241"/>
      <x v="105"/>
    </i>
    <i r="4">
      <x v="242"/>
      <x v="105"/>
    </i>
    <i r="2">
      <x v="21"/>
      <x v="13"/>
      <x v="15"/>
      <x v="12"/>
    </i>
    <i r="4">
      <x v="120"/>
      <x v="12"/>
    </i>
    <i r="4">
      <x v="151"/>
      <x v="12"/>
    </i>
    <i r="4">
      <x v="156"/>
      <x v="12"/>
    </i>
    <i r="3">
      <x v="169"/>
      <x v="118"/>
      <x v="137"/>
    </i>
    <i r="4">
      <x v="323"/>
      <x v="137"/>
    </i>
    <i>
      <x v="5"/>
      <x v="6"/>
      <x/>
      <x/>
      <x v="3"/>
      <x v="59"/>
    </i>
    <i r="3">
      <x v="90"/>
      <x v="2"/>
      <x v="1"/>
    </i>
    <i r="4">
      <x v="176"/>
      <x v="146"/>
    </i>
    <i r="4">
      <x v="251"/>
      <x v="147"/>
    </i>
    <i r="4">
      <x v="317"/>
      <x v="148"/>
    </i>
    <i r="4">
      <x v="318"/>
      <x v="148"/>
    </i>
    <i r="2">
      <x v="1"/>
      <x v="90"/>
      <x v="289"/>
      <x v="149"/>
    </i>
    <i r="2">
      <x v="4"/>
      <x v="90"/>
      <x v="286"/>
      <x v="150"/>
    </i>
    <i r="2">
      <x v="5"/>
      <x v="90"/>
      <x v="236"/>
      <x v="151"/>
    </i>
    <i r="2">
      <x v="6"/>
      <x v="12"/>
      <x v="14"/>
      <x v="142"/>
    </i>
    <i r="3">
      <x v="90"/>
      <x v="272"/>
      <x v="33"/>
    </i>
    <i r="5">
      <x v="153"/>
    </i>
    <i r="5">
      <x v="154"/>
    </i>
    <i r="5">
      <x v="155"/>
    </i>
    <i r="4">
      <x v="281"/>
      <x v="152"/>
    </i>
    <i r="4">
      <x v="289"/>
      <x v="153"/>
    </i>
    <i r="5">
      <x v="154"/>
    </i>
    <i r="2">
      <x v="7"/>
      <x v="14"/>
      <x v="266"/>
      <x v="157"/>
    </i>
    <i r="3">
      <x v="15"/>
      <x v="267"/>
      <x v="14"/>
    </i>
    <i r="3">
      <x v="90"/>
      <x v="88"/>
      <x v="104"/>
    </i>
    <i r="5">
      <x v="158"/>
    </i>
    <i r="4">
      <x v="235"/>
      <x v="158"/>
    </i>
    <i r="4">
      <x v="237"/>
      <x v="104"/>
    </i>
    <i r="4">
      <x v="238"/>
      <x v="104"/>
    </i>
    <i r="4">
      <x v="239"/>
      <x v="104"/>
    </i>
    <i r="4">
      <x v="289"/>
      <x v="156"/>
    </i>
    <i r="5">
      <x v="158"/>
    </i>
    <i r="3">
      <x v="133"/>
      <x v="273"/>
      <x v="104"/>
    </i>
    <i r="2">
      <x v="15"/>
      <x v="90"/>
      <x v="88"/>
      <x v="159"/>
    </i>
    <i r="4">
      <x v="168"/>
      <x v="159"/>
    </i>
    <i r="4">
      <x v="169"/>
      <x v="159"/>
    </i>
    <i r="4">
      <x v="289"/>
      <x v="159"/>
    </i>
    <i r="2">
      <x v="16"/>
      <x v="90"/>
      <x v="275"/>
      <x v="160"/>
    </i>
    <i r="2">
      <x v="18"/>
      <x v="90"/>
      <x v="282"/>
      <x v="161"/>
    </i>
    <i r="4">
      <x v="326"/>
      <x v="161"/>
    </i>
    <i r="2">
      <x v="21"/>
      <x v="90"/>
      <x v="16"/>
      <x v="162"/>
    </i>
    <i r="4">
      <x v="88"/>
      <x v="162"/>
    </i>
    <i r="5">
      <x v="163"/>
    </i>
    <i r="5">
      <x v="165"/>
    </i>
    <i r="5">
      <x v="166"/>
    </i>
    <i r="5">
      <x v="168"/>
    </i>
    <i r="5">
      <x v="169"/>
    </i>
    <i r="5">
      <x v="170"/>
    </i>
    <i r="5">
      <x v="171"/>
    </i>
    <i r="5">
      <x v="172"/>
    </i>
    <i r="5">
      <x v="176"/>
    </i>
    <i r="5">
      <x v="178"/>
    </i>
    <i r="4">
      <x v="111"/>
      <x v="175"/>
    </i>
    <i r="4">
      <x v="175"/>
      <x v="167"/>
    </i>
    <i r="4">
      <x v="177"/>
      <x v="168"/>
    </i>
    <i r="4">
      <x v="204"/>
      <x v="172"/>
    </i>
    <i r="4">
      <x v="227"/>
      <x v="173"/>
    </i>
    <i r="4">
      <x v="228"/>
      <x v="173"/>
    </i>
    <i r="4">
      <x v="229"/>
      <x v="173"/>
    </i>
    <i r="4">
      <x v="255"/>
      <x v="177"/>
    </i>
    <i r="4">
      <x v="289"/>
      <x v="162"/>
    </i>
    <i r="5">
      <x v="164"/>
    </i>
    <i r="5">
      <x v="165"/>
    </i>
    <i r="5">
      <x v="166"/>
    </i>
    <i r="5">
      <x v="168"/>
    </i>
    <i r="5">
      <x v="171"/>
    </i>
    <i r="5">
      <x v="172"/>
    </i>
    <i r="5">
      <x v="174"/>
    </i>
    <i r="5">
      <x v="175"/>
    </i>
    <i r="4">
      <x v="319"/>
      <x v="179"/>
    </i>
    <i r="4">
      <x v="320"/>
      <x v="179"/>
    </i>
    <i r="2">
      <x v="23"/>
      <x v="171"/>
      <x v="252"/>
      <x v="180"/>
    </i>
    <i r="2">
      <x v="26"/>
      <x v="90"/>
      <x v="43"/>
      <x v="181"/>
    </i>
    <i r="4">
      <x v="272"/>
      <x v="181"/>
    </i>
    <i r="4">
      <x v="289"/>
      <x v="181"/>
    </i>
    <i r="2">
      <x v="27"/>
      <x v="130"/>
      <x v="232"/>
      <x v="101"/>
    </i>
    <i r="2">
      <x v="28"/>
      <x v="90"/>
      <x v="88"/>
      <x v="182"/>
    </i>
    <i r="5">
      <x v="183"/>
    </i>
    <i r="5">
      <x v="185"/>
    </i>
    <i r="5">
      <x v="186"/>
    </i>
    <i r="5">
      <x v="187"/>
    </i>
    <i r="5">
      <x v="188"/>
    </i>
    <i r="5">
      <x v="190"/>
    </i>
    <i r="5">
      <x v="191"/>
    </i>
    <i r="5">
      <x v="192"/>
    </i>
    <i r="5">
      <x v="194"/>
    </i>
    <i r="5">
      <x v="195"/>
    </i>
    <i r="5">
      <x v="197"/>
    </i>
    <i r="5">
      <x v="198"/>
    </i>
    <i r="5">
      <x v="199"/>
    </i>
    <i r="5">
      <x v="202"/>
    </i>
    <i r="5">
      <x v="203"/>
    </i>
    <i r="5">
      <x v="204"/>
    </i>
    <i r="5">
      <x v="205"/>
    </i>
    <i r="5">
      <x v="207"/>
    </i>
    <i r="4">
      <x v="100"/>
      <x v="193"/>
    </i>
    <i r="4">
      <x v="103"/>
      <x v="187"/>
    </i>
    <i r="4">
      <x v="122"/>
      <x v="189"/>
    </i>
    <i r="4">
      <x v="200"/>
      <x v="193"/>
    </i>
    <i r="4">
      <x v="206"/>
      <x v="196"/>
    </i>
    <i r="4">
      <x v="207"/>
      <x v="196"/>
    </i>
    <i r="4">
      <x v="208"/>
      <x v="196"/>
    </i>
    <i r="4">
      <x v="231"/>
      <x v="200"/>
    </i>
    <i r="4">
      <x v="245"/>
      <x v="201"/>
    </i>
    <i r="4">
      <x v="285"/>
      <x v="184"/>
    </i>
    <i r="4">
      <x v="289"/>
      <x v="182"/>
    </i>
    <i r="5">
      <x v="183"/>
    </i>
    <i r="5">
      <x v="185"/>
    </i>
    <i r="5">
      <x v="186"/>
    </i>
    <i r="5">
      <x v="188"/>
    </i>
    <i r="5">
      <x v="190"/>
    </i>
    <i r="5">
      <x v="191"/>
    </i>
    <i r="5">
      <x v="192"/>
    </i>
    <i r="5">
      <x v="195"/>
    </i>
    <i r="5">
      <x v="199"/>
    </i>
    <i r="5">
      <x v="200"/>
    </i>
    <i r="5">
      <x v="202"/>
    </i>
    <i r="5">
      <x v="206"/>
    </i>
    <i r="4">
      <x v="304"/>
      <x v="200"/>
    </i>
    <i r="4">
      <x v="305"/>
      <x v="200"/>
    </i>
    <i r="2">
      <x v="31"/>
      <x v="10"/>
      <x v="12"/>
      <x v="208"/>
    </i>
    <i r="3">
      <x v="90"/>
      <x v="244"/>
      <x v="212"/>
    </i>
    <i r="4">
      <x v="289"/>
      <x v="200"/>
    </i>
    <i r="5">
      <x v="210"/>
    </i>
    <i r="5">
      <x v="211"/>
    </i>
    <i r="5">
      <x v="214"/>
    </i>
    <i r="4">
      <x v="303"/>
      <x v="200"/>
    </i>
    <i r="4">
      <x v="306"/>
      <x v="200"/>
    </i>
    <i r="4">
      <x v="307"/>
      <x v="200"/>
    </i>
    <i r="3">
      <x v="91"/>
      <x v="290"/>
      <x v="209"/>
    </i>
    <i r="3">
      <x v="138"/>
      <x v="253"/>
      <x v="213"/>
    </i>
    <i r="2">
      <x v="32"/>
      <x v="90"/>
      <x v="272"/>
      <x v="216"/>
    </i>
    <i r="5">
      <x v="218"/>
    </i>
    <i r="4">
      <x v="274"/>
      <x v="215"/>
    </i>
    <i r="4">
      <x v="314"/>
      <x v="217"/>
    </i>
    <i r="2">
      <x v="33"/>
      <x v="90"/>
      <x v="6"/>
      <x v="219"/>
    </i>
    <i r="4">
      <x v="26"/>
      <x v="237"/>
    </i>
    <i r="4">
      <x v="88"/>
      <x v="168"/>
    </i>
    <i r="5">
      <x v="198"/>
    </i>
    <i r="5">
      <x v="220"/>
    </i>
    <i r="5">
      <x v="221"/>
    </i>
    <i r="5">
      <x v="222"/>
    </i>
    <i r="5">
      <x v="224"/>
    </i>
    <i r="5">
      <x v="225"/>
    </i>
    <i r="5">
      <x v="226"/>
    </i>
    <i r="5">
      <x v="228"/>
    </i>
    <i r="5">
      <x v="231"/>
    </i>
    <i r="5">
      <x v="232"/>
    </i>
    <i r="5">
      <x v="233"/>
    </i>
    <i r="5">
      <x v="235"/>
    </i>
    <i r="5">
      <x v="236"/>
    </i>
    <i r="5">
      <x v="238"/>
    </i>
    <i r="5">
      <x v="239"/>
    </i>
    <i r="5">
      <x v="240"/>
    </i>
    <i r="5">
      <x v="241"/>
    </i>
    <i r="5">
      <x v="242"/>
    </i>
    <i r="5">
      <x v="243"/>
    </i>
    <i r="5">
      <x v="244"/>
    </i>
    <i r="5">
      <x v="245"/>
    </i>
    <i r="5">
      <x v="246"/>
    </i>
    <i r="5">
      <x v="247"/>
    </i>
    <i r="4">
      <x v="101"/>
      <x v="223"/>
    </i>
    <i r="4">
      <x v="102"/>
      <x v="223"/>
    </i>
    <i r="4">
      <x v="106"/>
      <x v="224"/>
    </i>
    <i r="4">
      <x v="155"/>
      <x v="223"/>
    </i>
    <i r="4">
      <x v="203"/>
      <x v="226"/>
    </i>
    <i r="4">
      <x v="220"/>
      <x v="230"/>
    </i>
    <i r="4">
      <x v="230"/>
      <x v="232"/>
    </i>
    <i r="4">
      <x v="240"/>
      <x v="234"/>
    </i>
    <i r="4">
      <x v="243"/>
      <x v="235"/>
    </i>
    <i r="4">
      <x v="272"/>
      <x v="227"/>
    </i>
    <i r="5">
      <x v="247"/>
    </i>
    <i r="4">
      <x v="289"/>
      <x v="198"/>
    </i>
    <i r="5">
      <x v="219"/>
    </i>
    <i r="5">
      <x v="221"/>
    </i>
    <i r="5">
      <x v="223"/>
    </i>
    <i r="5">
      <x v="224"/>
    </i>
    <i r="5">
      <x v="225"/>
    </i>
    <i r="5">
      <x v="226"/>
    </i>
    <i r="5">
      <x v="228"/>
    </i>
    <i r="5">
      <x v="229"/>
    </i>
    <i r="5">
      <x v="230"/>
    </i>
    <i r="5">
      <x v="231"/>
    </i>
    <i r="5">
      <x v="232"/>
    </i>
    <i r="5">
      <x v="234"/>
    </i>
    <i r="5">
      <x v="235"/>
    </i>
    <i r="5">
      <x v="238"/>
    </i>
    <i r="5">
      <x v="239"/>
    </i>
    <i r="5">
      <x v="241"/>
    </i>
    <i r="5">
      <x v="242"/>
    </i>
    <i r="5">
      <x v="243"/>
    </i>
    <i r="5">
      <x v="244"/>
    </i>
    <i r="5">
      <x v="245"/>
    </i>
    <i r="5">
      <x v="247"/>
    </i>
    <i r="4">
      <x v="310"/>
      <x v="242"/>
    </i>
    <i r="3">
      <x v="174"/>
      <x v="327"/>
      <x v="15"/>
    </i>
    <i>
      <x v="6"/>
      <x v="7"/>
      <x v="36"/>
      <x v="182"/>
      <x v="336"/>
      <x v="251"/>
    </i>
    <i r="1">
      <x v="9"/>
      <x v="13"/>
      <x v="3"/>
      <x v="263"/>
      <x v="4"/>
    </i>
    <i r="3">
      <x v="55"/>
      <x v="61"/>
      <x v="43"/>
    </i>
    <i r="3">
      <x v="88"/>
      <x v="83"/>
      <x v="62"/>
    </i>
    <i r="3">
      <x v="92"/>
      <x v="136"/>
      <x v="65"/>
    </i>
    <i r="4">
      <x v="210"/>
      <x v="65"/>
    </i>
    <i r="3">
      <x v="93"/>
      <x v="130"/>
      <x v="66"/>
    </i>
    <i r="4">
      <x v="269"/>
      <x v="66"/>
    </i>
    <i r="3">
      <x v="94"/>
      <x v="132"/>
      <x v="67"/>
    </i>
    <i r="4">
      <x v="211"/>
      <x v="67"/>
    </i>
    <i r="3">
      <x v="95"/>
      <x v="131"/>
      <x v="68"/>
    </i>
    <i r="4">
      <x v="212"/>
      <x v="68"/>
    </i>
    <i r="3">
      <x v="96"/>
      <x v="133"/>
      <x v="69"/>
    </i>
    <i r="4">
      <x v="214"/>
      <x v="69"/>
    </i>
    <i r="3">
      <x v="97"/>
      <x v="138"/>
      <x v="70"/>
    </i>
    <i r="4">
      <x v="215"/>
      <x v="70"/>
    </i>
    <i r="3">
      <x v="98"/>
      <x v="63"/>
      <x v="71"/>
    </i>
    <i r="3">
      <x v="99"/>
      <x v="64"/>
      <x v="72"/>
    </i>
    <i r="3">
      <x v="100"/>
      <x v="65"/>
      <x v="73"/>
    </i>
    <i r="3">
      <x v="101"/>
      <x v="66"/>
      <x v="74"/>
    </i>
    <i r="3">
      <x v="102"/>
      <x v="67"/>
      <x v="75"/>
    </i>
    <i r="3">
      <x v="103"/>
      <x v="68"/>
      <x v="76"/>
    </i>
    <i r="3">
      <x v="104"/>
      <x v="50"/>
      <x v="77"/>
    </i>
    <i r="3">
      <x v="105"/>
      <x v="51"/>
      <x v="78"/>
    </i>
    <i r="3">
      <x v="106"/>
      <x v="52"/>
      <x v="79"/>
    </i>
    <i r="3">
      <x v="107"/>
      <x v="53"/>
      <x v="80"/>
    </i>
    <i r="3">
      <x v="108"/>
      <x v="54"/>
      <x v="81"/>
    </i>
    <i r="3">
      <x v="109"/>
      <x v="55"/>
      <x v="82"/>
    </i>
    <i r="3">
      <x v="110"/>
      <x v="56"/>
      <x v="83"/>
    </i>
    <i r="3">
      <x v="111"/>
      <x v="57"/>
      <x v="84"/>
    </i>
    <i r="3">
      <x v="112"/>
      <x v="58"/>
      <x v="85"/>
    </i>
    <i r="3">
      <x v="113"/>
      <x v="59"/>
      <x v="86"/>
    </i>
    <i r="3">
      <x v="114"/>
      <x v="60"/>
      <x v="87"/>
    </i>
    <i r="3">
      <x v="115"/>
      <x v="62"/>
      <x v="88"/>
    </i>
    <i r="3">
      <x v="116"/>
      <x v="69"/>
      <x v="89"/>
    </i>
    <i r="3">
      <x v="117"/>
      <x v="70"/>
      <x v="90"/>
    </i>
    <i r="4">
      <x v="84"/>
      <x v="90"/>
    </i>
    <i r="3">
      <x v="118"/>
      <x v="71"/>
      <x v="91"/>
    </i>
    <i r="4">
      <x v="75"/>
      <x v="91"/>
    </i>
    <i r="3">
      <x v="119"/>
      <x v="72"/>
      <x v="92"/>
    </i>
    <i r="4">
      <x v="85"/>
      <x v="92"/>
    </i>
    <i r="3">
      <x v="120"/>
      <x v="73"/>
      <x v="93"/>
    </i>
    <i r="4">
      <x v="86"/>
      <x v="93"/>
    </i>
    <i r="3">
      <x v="121"/>
      <x v="74"/>
      <x v="94"/>
    </i>
    <i r="4">
      <x v="87"/>
      <x v="94"/>
    </i>
    <i r="3">
      <x v="153"/>
      <x v="149"/>
      <x v="118"/>
    </i>
    <i r="4">
      <x v="283"/>
      <x v="118"/>
    </i>
    <i r="3">
      <x v="154"/>
      <x v="264"/>
      <x v="119"/>
    </i>
    <i r="2">
      <x v="14"/>
      <x v="90"/>
      <x v="11"/>
      <x v="249"/>
    </i>
    <i r="4">
      <x v="216"/>
      <x v="250"/>
    </i>
    <i r="3">
      <x v="122"/>
      <x v="213"/>
      <x v="95"/>
    </i>
    <i r="2">
      <x v="20"/>
      <x v="18"/>
      <x v="280"/>
      <x v="18"/>
    </i>
    <i r="3">
      <x v="87"/>
      <x v="271"/>
      <x v="61"/>
    </i>
    <i r="3">
      <x v="90"/>
      <x v="289"/>
      <x v="248"/>
    </i>
    <i r="3">
      <x v="126"/>
      <x v="223"/>
      <x v="98"/>
    </i>
    <i>
      <x v="7"/>
      <x v="10"/>
      <x v="23"/>
      <x v="125"/>
      <x v="115"/>
      <x v="97"/>
    </i>
    <i r="4">
      <x v="221"/>
      <x v="97"/>
    </i>
    <i r="4">
      <x v="222"/>
      <x v="97"/>
    </i>
    <i r="3">
      <x v="183"/>
      <x v="337"/>
      <x v="251"/>
    </i>
    <i r="3">
      <x v="184"/>
      <x v="338"/>
      <x v="251"/>
    </i>
    <i r="3">
      <x v="185"/>
      <x v="339"/>
      <x v="251"/>
    </i>
    <i r="4">
      <x v="340"/>
      <x v="251"/>
    </i>
    <i r="3">
      <x v="186"/>
      <x v="341"/>
      <x v="251"/>
    </i>
    <i r="3">
      <x v="187"/>
      <x v="342"/>
      <x v="251"/>
    </i>
    <i r="3">
      <x v="188"/>
      <x v="343"/>
      <x v="251"/>
    </i>
    <i r="3">
      <x v="189"/>
      <x v="344"/>
      <x v="251"/>
    </i>
    <i r="3">
      <x v="190"/>
      <x v="345"/>
      <x v="251"/>
    </i>
    <i r="3">
      <x v="191"/>
      <x v="346"/>
      <x v="251"/>
    </i>
    <i r="3">
      <x v="192"/>
      <x v="347"/>
      <x v="251"/>
    </i>
    <i r="3">
      <x v="193"/>
      <x v="348"/>
      <x v="251"/>
    </i>
    <i r="3">
      <x v="194"/>
      <x v="349"/>
      <x v="251"/>
    </i>
    <i r="3">
      <x v="195"/>
      <x v="350"/>
      <x v="251"/>
    </i>
    <i r="3">
      <x v="196"/>
      <x v="351"/>
      <x v="251"/>
    </i>
    <i r="3">
      <x v="197"/>
      <x v="352"/>
      <x v="251"/>
    </i>
    <i r="3">
      <x v="198"/>
      <x v="353"/>
      <x v="251"/>
    </i>
    <i r="3">
      <x v="199"/>
      <x v="354"/>
      <x v="251"/>
    </i>
    <i r="3">
      <x v="200"/>
      <x v="355"/>
      <x v="251"/>
    </i>
    <i r="3">
      <x v="201"/>
      <x v="356"/>
      <x v="251"/>
    </i>
    <i r="3">
      <x v="202"/>
      <x v="357"/>
      <x v="251"/>
    </i>
    <i r="3">
      <x v="203"/>
      <x v="358"/>
      <x v="251"/>
    </i>
    <i r="3">
      <x v="204"/>
      <x v="359"/>
      <x v="251"/>
    </i>
    <i r="3">
      <x v="205"/>
      <x v="360"/>
      <x v="251"/>
    </i>
    <i r="3">
      <x v="206"/>
      <x v="361"/>
      <x v="251"/>
    </i>
    <i r="3">
      <x v="207"/>
      <x v="362"/>
      <x v="251"/>
    </i>
    <i r="3">
      <x v="208"/>
      <x v="363"/>
      <x v="251"/>
    </i>
    <i r="3">
      <x v="209"/>
      <x v="364"/>
      <x v="251"/>
    </i>
    <i r="3">
      <x v="210"/>
      <x v="365"/>
      <x v="251"/>
    </i>
    <i>
      <x v="8"/>
      <x v="11"/>
      <x v="10"/>
      <x v="127"/>
      <x v="224"/>
      <x v="99"/>
    </i>
    <i r="3">
      <x v="128"/>
      <x v="225"/>
      <x v="100"/>
    </i>
    <i>
      <x v="9"/>
      <x v="12"/>
      <x v="23"/>
      <x v="27"/>
      <x v="25"/>
      <x v="25"/>
    </i>
    <i r="4">
      <x v="113"/>
      <x v="25"/>
    </i>
    <i r="4">
      <x v="284"/>
      <x v="25"/>
    </i>
    <i r="3">
      <x v="52"/>
      <x v="165"/>
      <x v="39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TablaDinámica2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D3:E255" firstHeaderRow="1" firstDataRow="1" firstDataCol="2"/>
  <pivotFields count="3">
    <pivotField name="FUNNEL CATEORIES" compact="0" allDrilled="1" outline="0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UNIQUE_ ID" axis="axisRow" compact="0" allDrilled="1" outline="0" subtotalTop="0" showAll="0" dataSourceSort="1" defaultSubtotal="0" defaultAttributeDrillState="1">
      <items count="2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</items>
    </pivotField>
    <pivotField name="NEW_CATEGORIES" axis="axisRow" compact="0" allDrilled="1" outline="0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2">
    <field x="2"/>
    <field x="1"/>
  </rowFields>
  <rowItems count="252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"/>
      <x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2"/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>
      <x v="3"/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>
      <x v="4"/>
      <x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>
      <x v="5"/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21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>
      <x v="6"/>
      <x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>
      <x v="7"/>
      <x/>
    </i>
    <i r="1">
      <x v="241"/>
    </i>
    <i>
      <x v="8"/>
      <x v="242"/>
    </i>
    <i r="1">
      <x v="243"/>
    </i>
    <i>
      <x v="9"/>
      <x v="244"/>
    </i>
    <i r="1">
      <x v="245"/>
    </i>
    <i t="grand">
      <x/>
    </i>
  </rowItem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Dark2" showRowHeaders="1" showColHeaders="1" showRowStripes="0" showColStripes="0" showLastColumn="1"/>
  <rowHierarchiesUsage count="2">
    <rowHierarchyUsage hierarchyUsage="10"/>
    <rowHierarchyUsage hierarchyUsage="2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ASTER_CPC_2019_07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aDinámica1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A3:B251" firstHeaderRow="1" firstDataRow="1" firstDataCol="2"/>
  <pivotFields count="2">
    <pivotField name="FUNNEL CATEORIES" axis="axisRow" compact="0" allDrilled="1" outline="0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name="UNIQUE_ID" axis="axisRow" compact="0" allDrilled="1" outline="0" subtotalTop="0" showAll="0" dataSourceSort="1" defaultSubtotal="0" defaultAttributeDrillState="1">
      <items count="2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</items>
    </pivotField>
  </pivotFields>
  <rowFields count="2">
    <field x="0"/>
    <field x="1"/>
  </rowFields>
  <rowItems count="248">
    <i>
      <x/>
      <x/>
    </i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>
      <x v="2"/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>
      <x v="3"/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>
      <x v="4"/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>
      <x v="5"/>
      <x v="197"/>
    </i>
    <i r="1">
      <x v="198"/>
    </i>
    <i r="1">
      <x v="199"/>
    </i>
    <i r="1">
      <x v="200"/>
    </i>
    <i>
      <x v="6"/>
      <x v="201"/>
    </i>
    <i r="1">
      <x v="202"/>
    </i>
    <i>
      <x v="7"/>
      <x v="203"/>
    </i>
    <i r="1">
      <x v="49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>
      <x v="8"/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t="grand">
      <x/>
    </i>
  </rowItem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Dark2" showRowHeaders="1" showColHeaders="1" showRowStripes="0" showColStripes="0" showLastColumn="1"/>
  <rowHierarchiesUsage count="2">
    <rowHierarchyUsage hierarchyUsage="31"/>
    <rowHierarchyUsage hierarchyUsage="2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ASTER_CPC_2019_07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TablaDinámica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G3:H26" firstHeaderRow="1" firstDataRow="1" firstDataCol="2"/>
  <pivotFields count="3">
    <pivotField name="FUNNEL CATEORIES" compact="0" allDrilled="1" outline="0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NEW_CATEGORIES" axis="axisRow" compact="0" allDrilled="1" outline="0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name="OLD_CATEGORIES" axis="axisRow" compact="0" allDrilled="1" outline="0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2"/>
    <field x="1"/>
  </rowFields>
  <rowItems count="23">
    <i>
      <x/>
      <x/>
    </i>
    <i>
      <x v="1"/>
      <x/>
    </i>
    <i r="1">
      <x v="1"/>
    </i>
    <i>
      <x v="2"/>
      <x v="2"/>
    </i>
    <i>
      <x v="3"/>
      <x/>
    </i>
    <i>
      <x v="4"/>
      <x v="3"/>
    </i>
    <i>
      <x v="5"/>
      <x/>
    </i>
    <i r="1">
      <x v="1"/>
    </i>
    <i>
      <x v="6"/>
      <x v="4"/>
    </i>
    <i>
      <x v="7"/>
      <x/>
    </i>
    <i r="1">
      <x v="5"/>
    </i>
    <i>
      <x v="8"/>
      <x v="5"/>
    </i>
    <i>
      <x v="9"/>
      <x/>
    </i>
    <i r="1">
      <x v="6"/>
    </i>
    <i>
      <x v="10"/>
      <x v="7"/>
    </i>
    <i>
      <x v="11"/>
      <x v="8"/>
    </i>
    <i>
      <x v="12"/>
      <x v="9"/>
    </i>
    <i r="1">
      <x/>
    </i>
    <i r="1">
      <x v="1"/>
    </i>
    <i>
      <x v="13"/>
      <x v="9"/>
    </i>
    <i r="1">
      <x/>
    </i>
    <i r="1">
      <x v="1"/>
    </i>
    <i t="grand">
      <x/>
    </i>
  </rowItem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Dark2" showRowHeaders="1" showColHeaders="1" showRowStripes="0" showColStripes="0" showLastColumn="1"/>
  <rowHierarchiesUsage count="2">
    <rowHierarchyUsage hierarchyUsage="9"/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ASTER_CPC_2019_07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ablaDinámica9" cacheId="4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compact="0" compactData="0" multipleFieldFilters="0">
  <location ref="A3:F432" firstHeaderRow="1" firstDataRow="1" firstDataCol="6"/>
  <pivotFields count="29">
    <pivotField compact="0" outline="0" showAll="0" defaultSubtotal="0"/>
    <pivotField compact="0" outline="0" showAll="0" defaultSubtotal="0"/>
    <pivotField axis="axisRow" compact="0" outline="0" showAll="0" defaultSubtotal="0">
      <items count="259">
        <item x="99"/>
        <item x="243"/>
        <item x="247"/>
        <item x="246"/>
        <item x="245"/>
        <item x="244"/>
        <item x="249"/>
        <item x="248"/>
        <item x="197"/>
        <item x="188"/>
        <item x="75"/>
        <item x="230"/>
        <item x="125"/>
        <item x="192"/>
        <item x="193"/>
        <item x="119"/>
        <item x="120"/>
        <item x="229"/>
        <item x="198"/>
        <item x="180"/>
        <item x="82"/>
        <item x="81"/>
        <item x="76"/>
        <item x="71"/>
        <item x="36"/>
        <item x="77"/>
        <item x="156"/>
        <item x="162"/>
        <item x="161"/>
        <item x="155"/>
        <item x="227"/>
        <item x="106"/>
        <item x="177"/>
        <item x="100"/>
        <item x="30"/>
        <item x="26"/>
        <item x="25"/>
        <item x="73"/>
        <item x="74"/>
        <item x="28"/>
        <item x="29"/>
        <item x="20"/>
        <item x="143"/>
        <item x="54"/>
        <item x="179"/>
        <item x="4"/>
        <item x="142"/>
        <item x="160"/>
        <item x="196"/>
        <item x="212"/>
        <item x="195"/>
        <item x="211"/>
        <item x="31"/>
        <item x="35"/>
        <item x="38"/>
        <item x="34"/>
        <item x="32"/>
        <item x="48"/>
        <item x="49"/>
        <item x="39"/>
        <item x="33"/>
        <item x="61"/>
        <item x="70"/>
        <item x="69"/>
        <item x="80"/>
        <item x="209"/>
        <item x="194"/>
        <item x="167"/>
        <item x="210"/>
        <item x="173"/>
        <item x="208"/>
        <item x="151"/>
        <item x="123"/>
        <item x="101"/>
        <item x="232"/>
        <item x="3"/>
        <item x="181"/>
        <item x="171"/>
        <item x="228"/>
        <item x="67"/>
        <item x="19"/>
        <item x="53"/>
        <item x="55"/>
        <item x="57"/>
        <item x="58"/>
        <item x="59"/>
        <item x="52"/>
        <item x="78"/>
        <item x="168"/>
        <item x="187"/>
        <item x="0"/>
        <item x="102"/>
        <item x="207"/>
        <item x="27"/>
        <item x="40"/>
        <item x="7"/>
        <item x="231"/>
        <item x="176"/>
        <item x="233"/>
        <item x="144"/>
        <item x="190"/>
        <item x="183"/>
        <item x="14"/>
        <item x="18"/>
        <item x="15"/>
        <item x="65"/>
        <item x="117"/>
        <item x="158"/>
        <item x="13"/>
        <item x="159"/>
        <item x="16"/>
        <item x="60"/>
        <item x="62"/>
        <item x="17"/>
        <item x="104"/>
        <item x="118"/>
        <item x="109"/>
        <item x="214"/>
        <item x="191"/>
        <item x="199"/>
        <item x="200"/>
        <item x="103"/>
        <item x="147"/>
        <item x="175"/>
        <item x="105"/>
        <item x="6"/>
        <item x="9"/>
        <item x="131"/>
        <item x="221"/>
        <item x="213"/>
        <item x="178"/>
        <item x="108"/>
        <item x="146"/>
        <item x="170"/>
        <item x="169"/>
        <item x="129"/>
        <item x="185"/>
        <item x="189"/>
        <item x="184"/>
        <item x="150"/>
        <item x="172"/>
        <item x="107"/>
        <item x="149"/>
        <item x="225"/>
        <item x="148"/>
        <item x="220"/>
        <item x="46"/>
        <item x="44"/>
        <item x="43"/>
        <item x="41"/>
        <item x="42"/>
        <item x="45"/>
        <item x="47"/>
        <item x="68"/>
        <item x="127"/>
        <item x="130"/>
        <item x="128"/>
        <item x="56"/>
        <item x="126"/>
        <item x="174"/>
        <item x="133"/>
        <item x="135"/>
        <item x="134"/>
        <item x="186"/>
        <item x="124"/>
        <item x="12"/>
        <item x="121"/>
        <item x="122"/>
        <item x="97"/>
        <item x="84"/>
        <item x="222"/>
        <item x="96"/>
        <item x="85"/>
        <item x="95"/>
        <item x="92"/>
        <item x="90"/>
        <item x="89"/>
        <item x="217"/>
        <item x="83"/>
        <item x="219"/>
        <item x="98"/>
        <item x="224"/>
        <item x="86"/>
        <item x="93"/>
        <item x="87"/>
        <item x="223"/>
        <item x="91"/>
        <item x="94"/>
        <item x="88"/>
        <item x="114"/>
        <item x="110"/>
        <item x="215"/>
        <item x="112"/>
        <item x="113"/>
        <item x="216"/>
        <item x="66"/>
        <item x="218"/>
        <item x="111"/>
        <item x="51"/>
        <item x="234"/>
        <item x="238"/>
        <item x="237"/>
        <item x="1"/>
        <item x="5"/>
        <item x="164"/>
        <item x="202"/>
        <item x="165"/>
        <item x="203"/>
        <item x="182"/>
        <item x="205"/>
        <item x="166"/>
        <item x="204"/>
        <item x="157"/>
        <item x="206"/>
        <item x="163"/>
        <item x="226"/>
        <item x="23"/>
        <item x="22"/>
        <item x="201"/>
        <item x="37"/>
        <item x="115"/>
        <item x="116"/>
        <item x="72"/>
        <item x="50"/>
        <item x="145"/>
        <item x="154"/>
        <item x="132"/>
        <item x="136"/>
        <item x="141"/>
        <item x="137"/>
        <item x="138"/>
        <item x="139"/>
        <item x="140"/>
        <item x="152"/>
        <item x="153"/>
        <item x="10"/>
        <item x="21"/>
        <item x="24"/>
        <item x="11"/>
        <item x="79"/>
        <item x="8"/>
        <item x="63"/>
        <item x="64"/>
        <item x="235"/>
        <item x="236"/>
        <item x="239"/>
        <item x="240"/>
        <item x="241"/>
        <item x="242"/>
        <item x="250"/>
        <item x="251"/>
        <item x="252"/>
        <item x="253"/>
        <item x="254"/>
        <item x="255"/>
        <item x="256"/>
        <item x="257"/>
        <item x="2"/>
        <item x="258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366">
        <item x="258"/>
        <item x="208"/>
        <item x="189"/>
        <item x="316"/>
        <item x="323"/>
        <item x="249"/>
        <item x="267"/>
        <item x="275"/>
        <item x="274"/>
        <item x="317"/>
        <item x="62"/>
        <item x="198"/>
        <item x="321"/>
        <item x="287"/>
        <item x="30"/>
        <item x="206"/>
        <item x="260"/>
        <item x="306"/>
        <item x="242"/>
        <item x="213"/>
        <item x="327"/>
        <item x="253"/>
        <item x="199"/>
        <item x="295"/>
        <item x="50"/>
        <item x="23"/>
        <item x="128"/>
        <item x="130"/>
        <item x="13"/>
        <item x="5"/>
        <item x="15"/>
        <item x="16"/>
        <item x="17"/>
        <item x="18"/>
        <item x="19"/>
        <item x="20"/>
        <item x="68"/>
        <item x="69"/>
        <item x="70"/>
        <item x="71"/>
        <item x="72"/>
        <item x="14"/>
        <item x="115"/>
        <item x="134"/>
        <item x="116"/>
        <item x="24"/>
        <item x="45"/>
        <item x="21"/>
        <item x="89"/>
        <item x="90"/>
        <item x="91"/>
        <item x="92"/>
        <item x="87"/>
        <item x="88"/>
        <item x="83"/>
        <item x="84"/>
        <item x="85"/>
        <item x="86"/>
        <item x="81"/>
        <item x="125"/>
        <item x="82"/>
        <item x="97"/>
        <item x="98"/>
        <item x="96"/>
        <item x="94"/>
        <item x="95"/>
        <item x="93"/>
        <item x="79"/>
        <item x="103"/>
        <item x="102"/>
        <item x="100"/>
        <item x="101"/>
        <item x="99"/>
        <item x="80"/>
        <item x="59"/>
        <item x="77"/>
        <item x="57"/>
        <item x="56"/>
        <item x="55"/>
        <item x="75"/>
        <item x="76"/>
        <item x="40"/>
        <item x="39"/>
        <item x="37"/>
        <item x="36"/>
        <item x="38"/>
        <item x="26"/>
        <item x="63"/>
        <item x="25"/>
        <item x="22"/>
        <item x="145"/>
        <item x="146"/>
        <item x="147"/>
        <item x="152"/>
        <item x="148"/>
        <item x="149"/>
        <item x="150"/>
        <item x="151"/>
        <item x="3"/>
        <item x="133"/>
        <item x="235"/>
        <item x="65"/>
        <item x="200"/>
        <item x="257"/>
        <item x="247"/>
        <item x="156"/>
        <item x="217"/>
        <item x="302"/>
        <item x="307"/>
        <item x="284"/>
        <item x="318"/>
        <item x="312"/>
        <item x="304"/>
        <item x="313"/>
        <item x="299"/>
        <item x="297"/>
        <item x="309"/>
        <item x="311"/>
        <item x="289"/>
        <item x="218"/>
        <item x="271"/>
        <item x="179"/>
        <item x="232"/>
        <item x="181"/>
        <item x="180"/>
        <item x="254"/>
        <item x="259"/>
        <item x="113"/>
        <item x="118"/>
        <item x="119"/>
        <item x="120"/>
        <item x="121"/>
        <item x="166"/>
        <item x="168"/>
        <item x="173"/>
        <item x="176"/>
        <item x="192"/>
        <item x="207"/>
        <item x="209"/>
        <item x="268"/>
        <item x="261"/>
        <item x="197"/>
        <item x="184"/>
        <item x="212"/>
        <item x="246"/>
        <item x="283"/>
        <item x="330"/>
        <item x="106"/>
        <item x="188"/>
        <item x="288"/>
        <item x="301"/>
        <item x="303"/>
        <item x="305"/>
        <item x="236"/>
        <item x="290"/>
        <item x="219"/>
        <item x="233"/>
        <item x="244"/>
        <item x="136"/>
        <item x="114"/>
        <item x="221"/>
        <item x="202"/>
        <item x="182"/>
        <item x="195"/>
        <item x="222"/>
        <item x="186"/>
        <item x="234"/>
        <item x="216"/>
        <item x="215"/>
        <item x="187"/>
        <item x="243"/>
        <item x="196"/>
        <item x="315"/>
        <item x="33"/>
        <item x="204"/>
        <item x="31"/>
        <item x="138"/>
        <item x="139"/>
        <item x="140"/>
        <item x="141"/>
        <item x="142"/>
        <item x="144"/>
        <item x="129"/>
        <item x="131"/>
        <item x="225"/>
        <item x="273"/>
        <item x="272"/>
        <item x="177"/>
        <item x="256"/>
        <item x="277"/>
        <item x="276"/>
        <item x="143"/>
        <item x="175"/>
        <item x="210"/>
        <item x="211"/>
        <item x="329"/>
        <item x="205"/>
        <item x="231"/>
        <item x="0"/>
        <item x="183"/>
        <item x="282"/>
        <item x="132"/>
        <item x="32"/>
        <item x="245"/>
        <item x="164"/>
        <item x="227"/>
        <item x="163"/>
        <item x="172"/>
        <item x="111"/>
        <item x="110"/>
        <item x="123"/>
        <item x="117"/>
        <item x="191"/>
        <item x="61"/>
        <item x="228"/>
        <item x="193"/>
        <item x="237"/>
        <item x="126"/>
        <item x="294"/>
        <item x="107"/>
        <item x="325"/>
        <item x="326"/>
        <item x="161"/>
        <item x="226"/>
        <item x="201"/>
        <item x="238"/>
        <item x="108"/>
        <item x="35"/>
        <item x="286"/>
        <item x="250"/>
        <item x="324"/>
        <item x="296"/>
        <item x="241"/>
        <item x="124"/>
        <item x="239"/>
        <item x="279"/>
        <item x="280"/>
        <item x="240"/>
        <item x="174"/>
        <item x="285"/>
        <item x="157"/>
        <item x="158"/>
        <item x="159"/>
        <item x="160"/>
        <item x="314"/>
        <item x="170"/>
        <item x="155"/>
        <item x="291"/>
        <item x="292"/>
        <item x="34"/>
        <item x="319"/>
        <item x="322"/>
        <item x="328"/>
        <item x="122"/>
        <item x="224"/>
        <item x="167"/>
        <item x="112"/>
        <item x="44"/>
        <item x="42"/>
        <item x="9"/>
        <item x="28"/>
        <item x="27"/>
        <item x="8"/>
        <item x="109"/>
        <item x="43"/>
        <item x="11"/>
        <item x="29"/>
        <item x="48"/>
        <item x="10"/>
        <item x="6"/>
        <item x="41"/>
        <item x="49"/>
        <item x="53"/>
        <item x="1"/>
        <item x="7"/>
        <item x="78"/>
        <item x="137"/>
        <item x="105"/>
        <item x="104"/>
        <item x="169"/>
        <item x="12"/>
        <item x="165"/>
        <item x="135"/>
        <item x="47"/>
        <item x="58"/>
        <item x="74"/>
        <item x="51"/>
        <item x="54"/>
        <item x="73"/>
        <item x="60"/>
        <item x="64"/>
        <item x="52"/>
        <item x="127"/>
        <item x="252"/>
        <item x="154"/>
        <item x="251"/>
        <item x="153"/>
        <item x="266"/>
        <item x="262"/>
        <item x="263"/>
        <item x="264"/>
        <item x="265"/>
        <item x="220"/>
        <item x="248"/>
        <item x="269"/>
        <item x="255"/>
        <item x="270"/>
        <item x="67"/>
        <item x="320"/>
        <item x="300"/>
        <item x="214"/>
        <item x="190"/>
        <item x="229"/>
        <item x="171"/>
        <item x="185"/>
        <item x="194"/>
        <item x="308"/>
        <item x="310"/>
        <item x="298"/>
        <item x="223"/>
        <item x="203"/>
        <item x="230"/>
        <item x="178"/>
        <item x="66"/>
        <item x="2"/>
        <item x="4"/>
        <item x="46"/>
        <item x="281"/>
        <item x="162"/>
        <item x="278"/>
        <item x="293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</items>
    </pivotField>
    <pivotField axis="axisRow" compact="0" outline="0" showAll="0" defaultSubtotal="0">
      <items count="211">
        <item x="166"/>
        <item x="172"/>
        <item x="33"/>
        <item x="147"/>
        <item x="18"/>
        <item x="21"/>
        <item x="7"/>
        <item x="150"/>
        <item x="167"/>
        <item x="133"/>
        <item x="170"/>
        <item x="156"/>
        <item x="23"/>
        <item x="22"/>
        <item x="138"/>
        <item x="6"/>
        <item x="5"/>
        <item x="162"/>
        <item x="175"/>
        <item x="116"/>
        <item x="134"/>
        <item x="93"/>
        <item x="94"/>
        <item x="95"/>
        <item x="96"/>
        <item x="81"/>
        <item x="9"/>
        <item x="4"/>
        <item x="10"/>
        <item x="11"/>
        <item x="12"/>
        <item x="13"/>
        <item x="14"/>
        <item x="15"/>
        <item x="51"/>
        <item x="52"/>
        <item x="53"/>
        <item x="54"/>
        <item x="55"/>
        <item x="135"/>
        <item x="111"/>
        <item x="107"/>
        <item x="87"/>
        <item x="121"/>
        <item x="145"/>
        <item x="32"/>
        <item x="16"/>
        <item x="19"/>
        <item x="34"/>
        <item x="123"/>
        <item x="131"/>
        <item x="126"/>
        <item x="142"/>
        <item x="90"/>
        <item x="118"/>
        <item x="1"/>
        <item x="132"/>
        <item x="165"/>
        <item x="139"/>
        <item x="92"/>
        <item x="100"/>
        <item x="101"/>
        <item x="102"/>
        <item x="103"/>
        <item x="104"/>
        <item x="106"/>
        <item x="46"/>
        <item x="149"/>
        <item x="151"/>
        <item x="97"/>
        <item x="119"/>
        <item x="105"/>
        <item x="60"/>
        <item x="44"/>
        <item x="43"/>
        <item x="42"/>
        <item x="140"/>
        <item x="58"/>
        <item x="59"/>
        <item x="98"/>
        <item x="177"/>
        <item x="137"/>
        <item x="124"/>
        <item x="144"/>
        <item x="8"/>
        <item x="29"/>
        <item x="161"/>
        <item x="0"/>
        <item x="45"/>
        <item x="117"/>
        <item x="84"/>
        <item x="86"/>
        <item x="85"/>
        <item x="88"/>
        <item x="128"/>
        <item x="79"/>
        <item x="80"/>
        <item x="78"/>
        <item x="76"/>
        <item x="77"/>
        <item x="75"/>
        <item x="71"/>
        <item x="72"/>
        <item x="73"/>
        <item x="74"/>
        <item x="69"/>
        <item x="70"/>
        <item x="65"/>
        <item x="66"/>
        <item x="67"/>
        <item x="68"/>
        <item x="63"/>
        <item x="64"/>
        <item x="61"/>
        <item x="28"/>
        <item x="62"/>
        <item x="26"/>
        <item x="25"/>
        <item x="27"/>
        <item x="89"/>
        <item x="129"/>
        <item x="91"/>
        <item x="83"/>
        <item x="173"/>
        <item x="174"/>
        <item x="24"/>
        <item x="155"/>
        <item x="36"/>
        <item x="153"/>
        <item x="112"/>
        <item x="113"/>
        <item x="122"/>
        <item x="157"/>
        <item x="158"/>
        <item x="168"/>
        <item x="171"/>
        <item x="176"/>
        <item x="30"/>
        <item x="37"/>
        <item x="57"/>
        <item x="40"/>
        <item x="38"/>
        <item x="41"/>
        <item x="56"/>
        <item x="109"/>
        <item x="108"/>
        <item x="99"/>
        <item x="82"/>
        <item x="31"/>
        <item x="143"/>
        <item x="48"/>
        <item x="47"/>
        <item x="148"/>
        <item x="146"/>
        <item x="49"/>
        <item x="39"/>
        <item x="169"/>
        <item x="141"/>
        <item x="127"/>
        <item x="125"/>
        <item x="17"/>
        <item x="20"/>
        <item x="163"/>
        <item x="130"/>
        <item x="110"/>
        <item x="164"/>
        <item x="160"/>
        <item x="115"/>
        <item x="136"/>
        <item x="120"/>
        <item x="50"/>
        <item x="2"/>
        <item x="3"/>
        <item x="35"/>
        <item x="154"/>
        <item x="114"/>
        <item x="152"/>
        <item x="159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axis="axisRow" compact="0" outline="0" showAll="0" defaultSubtotal="0">
      <items count="15">
        <item x="12"/>
        <item x="3"/>
        <item sd="0" x="1"/>
        <item sd="0" x="11"/>
        <item x="0"/>
        <item x="9"/>
        <item x="4"/>
        <item x="8"/>
        <item x="7"/>
        <item n="," x="5"/>
        <item sd="0" x="10"/>
        <item m="1" x="14"/>
        <item x="13"/>
        <item x="2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7"/>
        <item x="2"/>
        <item x="3"/>
        <item x="1"/>
        <item x="8"/>
        <item x="0"/>
        <item x="4"/>
        <item x="6"/>
        <item x="5"/>
        <item x="9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7">
        <item x="24"/>
        <item x="18"/>
        <item x="30"/>
        <item x="32"/>
        <item x="6"/>
        <item x="27"/>
        <item x="11"/>
        <item x="9"/>
        <item x="28"/>
        <item x="19"/>
        <item x="33"/>
        <item x="14"/>
        <item x="4"/>
        <item x="13"/>
        <item x="16"/>
        <item x="17"/>
        <item x="1"/>
        <item x="22"/>
        <item x="21"/>
        <item x="29"/>
        <item x="2"/>
        <item x="8"/>
        <item x="20"/>
        <item x="26"/>
        <item x="7"/>
        <item x="12"/>
        <item x="0"/>
        <item x="31"/>
        <item x="15"/>
        <item x="5"/>
        <item x="10"/>
        <item x="3"/>
        <item x="23"/>
        <item x="25"/>
        <item x="34"/>
        <item x="35"/>
        <item x="36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</pivotFields>
  <rowFields count="6">
    <field x="9"/>
    <field x="8"/>
    <field x="13"/>
    <field x="6"/>
    <field x="5"/>
    <field x="2"/>
  </rowFields>
  <rowItems count="429">
    <i>
      <x/>
      <x v="9"/>
      <x v="19"/>
      <x v="134"/>
      <x v="250"/>
      <x v="253"/>
    </i>
    <i r="2">
      <x v="26"/>
      <x v="120"/>
      <x v="214"/>
      <x v="257"/>
    </i>
    <i r="4">
      <x v="215"/>
      <x v="89"/>
    </i>
    <i r="2">
      <x v="27"/>
      <x v="135"/>
      <x v="251"/>
      <x v="254"/>
    </i>
    <i r="1">
      <x v="10"/>
    </i>
    <i>
      <x v="1"/>
      <x/>
      <x v="2"/>
      <x v="10"/>
      <x v="12"/>
      <x v="257"/>
    </i>
    <i r="3">
      <x v="156"/>
      <x v="308"/>
      <x v="257"/>
    </i>
    <i r="2">
      <x v="5"/>
      <x/>
      <x v="3"/>
      <x v="252"/>
    </i>
    <i r="2">
      <x v="22"/>
      <x v="87"/>
      <x v="335"/>
      <x v="257"/>
    </i>
    <i r="1">
      <x v="3"/>
    </i>
    <i r="1">
      <x v="5"/>
      <x v="6"/>
      <x v="7"/>
      <x v="7"/>
      <x v="257"/>
    </i>
    <i r="4">
      <x v="8"/>
      <x v="11"/>
    </i>
    <i r="3">
      <x v="146"/>
      <x v="276"/>
      <x v="26"/>
    </i>
    <i r="4">
      <x v="293"/>
      <x v="257"/>
    </i>
    <i r="1">
      <x v="7"/>
      <x v="22"/>
      <x v="126"/>
      <x v="114"/>
      <x v="257"/>
    </i>
    <i r="4">
      <x v="228"/>
      <x v="244"/>
    </i>
    <i r="1">
      <x v="9"/>
      <x v="4"/>
      <x v="158"/>
      <x v="148"/>
      <x v="101"/>
    </i>
    <i r="4">
      <x v="169"/>
      <x v="101"/>
    </i>
    <i r="2">
      <x v="6"/>
      <x v="44"/>
      <x v="125"/>
      <x v="257"/>
    </i>
    <i r="3">
      <x v="87"/>
      <x v="283"/>
      <x v="16"/>
    </i>
    <i r="3">
      <x v="153"/>
      <x v="305"/>
      <x v="257"/>
    </i>
    <i r="4">
      <x v="306"/>
      <x v="30"/>
    </i>
    <i r="3">
      <x v="169"/>
      <x v="322"/>
      <x v="32"/>
    </i>
    <i r="2">
      <x v="21"/>
      <x v="17"/>
      <x v="17"/>
      <x v="5"/>
    </i>
    <i r="4">
      <x v="108"/>
      <x v="4"/>
    </i>
    <i r="3">
      <x v="165"/>
      <x v="117"/>
      <x v="6"/>
    </i>
    <i r="4">
      <x v="317"/>
      <x v="7"/>
    </i>
    <i r="3">
      <x v="168"/>
      <x v="320"/>
      <x v="50"/>
    </i>
    <i r="4">
      <x v="321"/>
      <x v="51"/>
    </i>
    <i r="2">
      <x v="22"/>
      <x v="152"/>
      <x v="304"/>
      <x v="215"/>
    </i>
    <i r="3">
      <x v="174"/>
      <x v="327"/>
      <x v="257"/>
    </i>
    <i r="2">
      <x v="26"/>
      <x v="159"/>
      <x v="314"/>
      <x v="76"/>
    </i>
    <i r="3">
      <x v="163"/>
      <x v="315"/>
      <x v="9"/>
    </i>
    <i r="2">
      <x v="28"/>
      <x v="52"/>
      <x v="168"/>
      <x v="120"/>
    </i>
    <i r="3">
      <x v="157"/>
      <x v="18"/>
      <x v="257"/>
    </i>
    <i r="4">
      <x v="19"/>
      <x v="119"/>
    </i>
    <i r="1">
      <x v="10"/>
    </i>
    <i r="1">
      <x v="13"/>
      <x v="20"/>
      <x v="171"/>
      <x v="324"/>
      <x v="257"/>
    </i>
    <i r="2">
      <x v="31"/>
      <x v="172"/>
      <x v="325"/>
      <x v="257"/>
    </i>
    <i r="1">
      <x v="14"/>
      <x v="6"/>
      <x v="170"/>
      <x v="323"/>
      <x v="257"/>
    </i>
    <i>
      <x v="2"/>
      <x v="1"/>
      <x v="6"/>
      <x v="67"/>
      <x v="185"/>
      <x v="257"/>
    </i>
    <i r="4">
      <x v="186"/>
      <x v="17"/>
    </i>
    <i r="3">
      <x v="68"/>
      <x v="189"/>
      <x v="257"/>
    </i>
    <i r="4">
      <x v="190"/>
      <x v="96"/>
    </i>
    <i r="3">
      <x v="70"/>
      <x v="187"/>
      <x v="97"/>
    </i>
    <i r="4">
      <x v="188"/>
      <x v="257"/>
    </i>
    <i r="3">
      <x v="79"/>
      <x v="276"/>
      <x v="29"/>
    </i>
    <i r="3">
      <x v="144"/>
      <x v="294"/>
      <x v="27"/>
    </i>
    <i r="4">
      <x v="295"/>
      <x v="257"/>
    </i>
    <i r="3">
      <x v="145"/>
      <x v="296"/>
      <x v="28"/>
    </i>
    <i r="2">
      <x v="9"/>
      <x v="3"/>
      <x v="6"/>
      <x v="166"/>
    </i>
    <i r="4">
      <x v="139"/>
      <x v="166"/>
    </i>
    <i r="3">
      <x v="34"/>
      <x v="36"/>
      <x v="166"/>
    </i>
    <i r="3">
      <x v="35"/>
      <x v="37"/>
      <x v="166"/>
    </i>
    <i r="3">
      <x v="36"/>
      <x v="38"/>
      <x v="166"/>
    </i>
    <i r="3">
      <x v="37"/>
      <x v="39"/>
      <x v="166"/>
    </i>
    <i r="3">
      <x v="38"/>
      <x v="40"/>
      <x v="166"/>
    </i>
    <i r="3">
      <x v="143"/>
      <x v="127"/>
      <x v="167"/>
    </i>
    <i r="4">
      <x v="288"/>
      <x v="167"/>
    </i>
    <i r="2">
      <x v="11"/>
      <x v="141"/>
      <x v="286"/>
      <x/>
    </i>
    <i r="3">
      <x v="155"/>
      <x v="291"/>
      <x v="257"/>
    </i>
    <i r="2">
      <x v="12"/>
      <x v="26"/>
      <x v="28"/>
      <x v="45"/>
    </i>
    <i r="3">
      <x v="27"/>
      <x v="29"/>
      <x v="45"/>
    </i>
    <i r="3">
      <x v="41"/>
      <x v="90"/>
      <x v="47"/>
    </i>
    <i r="4">
      <x v="91"/>
      <x v="47"/>
    </i>
    <i r="4">
      <x v="92"/>
      <x v="47"/>
    </i>
    <i r="4">
      <x v="93"/>
      <x v="47"/>
    </i>
    <i r="4">
      <x v="94"/>
      <x v="47"/>
    </i>
    <i r="4">
      <x v="95"/>
      <x v="47"/>
    </i>
    <i r="4">
      <x v="96"/>
      <x v="47"/>
    </i>
    <i r="4">
      <x v="97"/>
      <x v="47"/>
    </i>
    <i r="3">
      <x v="42"/>
      <x v="42"/>
      <x v="46"/>
    </i>
    <i r="4">
      <x v="43"/>
      <x v="46"/>
    </i>
    <i r="4">
      <x v="44"/>
      <x v="46"/>
    </i>
    <i r="3">
      <x v="49"/>
      <x v="161"/>
      <x v="44"/>
    </i>
    <i r="4">
      <x v="162"/>
      <x v="44"/>
    </i>
    <i r="3">
      <x v="66"/>
      <x v="74"/>
      <x v="10"/>
    </i>
    <i r="3">
      <x v="69"/>
      <x v="158"/>
      <x v="10"/>
    </i>
    <i r="4">
      <x v="282"/>
      <x v="10"/>
    </i>
    <i r="3">
      <x v="138"/>
      <x v="271"/>
      <x v="10"/>
    </i>
    <i r="2">
      <x v="17"/>
      <x v="51"/>
      <x v="164"/>
      <x v="209"/>
    </i>
    <i r="4">
      <x v="165"/>
      <x v="208"/>
    </i>
    <i r="2">
      <x v="21"/>
      <x v="21"/>
      <x v="26"/>
      <x v="164"/>
    </i>
    <i r="3">
      <x v="22"/>
      <x v="182"/>
      <x v="164"/>
    </i>
    <i r="3">
      <x v="23"/>
      <x v="27"/>
      <x v="164"/>
    </i>
    <i r="3">
      <x v="24"/>
      <x v="183"/>
      <x v="164"/>
    </i>
    <i r="3">
      <x v="28"/>
      <x v="30"/>
      <x v="165"/>
    </i>
    <i r="3">
      <x v="29"/>
      <x v="31"/>
      <x v="165"/>
    </i>
    <i r="3">
      <x v="30"/>
      <x v="32"/>
      <x v="165"/>
    </i>
    <i r="3">
      <x v="31"/>
      <x v="33"/>
      <x v="165"/>
    </i>
    <i r="3">
      <x v="32"/>
      <x v="34"/>
      <x v="165"/>
    </i>
    <i r="3">
      <x v="33"/>
      <x v="35"/>
      <x v="165"/>
    </i>
    <i r="3">
      <x v="43"/>
      <x v="121"/>
      <x v="164"/>
    </i>
    <i r="3">
      <x v="54"/>
      <x v="135"/>
      <x v="109"/>
    </i>
    <i r="4">
      <x v="192"/>
      <x v="109"/>
    </i>
    <i r="3">
      <x v="59"/>
      <x v="184"/>
      <x v="70"/>
    </i>
    <i r="4">
      <x v="292"/>
      <x v="71"/>
    </i>
    <i r="3">
      <x v="60"/>
      <x v="176"/>
      <x v="107"/>
    </i>
    <i r="3">
      <x v="61"/>
      <x v="177"/>
      <x v="107"/>
    </i>
    <i r="3">
      <x v="62"/>
      <x v="178"/>
      <x v="107"/>
    </i>
    <i r="3">
      <x v="63"/>
      <x v="179"/>
      <x v="107"/>
    </i>
    <i r="3">
      <x v="64"/>
      <x v="180"/>
      <x v="107"/>
    </i>
    <i r="3">
      <x v="65"/>
      <x v="181"/>
      <x v="107"/>
    </i>
    <i r="3">
      <x v="71"/>
      <x v="191"/>
      <x v="109"/>
    </i>
    <i r="3">
      <x v="72"/>
      <x v="75"/>
      <x v="164"/>
    </i>
    <i r="3">
      <x v="73"/>
      <x v="76"/>
      <x v="91"/>
    </i>
    <i r="3">
      <x v="74"/>
      <x v="77"/>
      <x v="91"/>
    </i>
    <i r="3">
      <x v="75"/>
      <x v="78"/>
      <x v="91"/>
    </i>
    <i r="3">
      <x v="77"/>
      <x v="79"/>
      <x v="72"/>
    </i>
    <i r="3">
      <x v="78"/>
      <x v="80"/>
      <x v="72"/>
    </i>
    <i r="3">
      <x v="139"/>
      <x v="159"/>
      <x v="72"/>
    </i>
    <i r="4">
      <x v="285"/>
      <x v="72"/>
    </i>
    <i r="3">
      <x v="140"/>
      <x v="256"/>
      <x v="73"/>
    </i>
    <i r="4">
      <x v="272"/>
      <x v="73"/>
    </i>
    <i r="3">
      <x v="142"/>
      <x v="253"/>
      <x v="91"/>
    </i>
    <i r="4">
      <x v="254"/>
      <x v="92"/>
    </i>
    <i r="4">
      <x v="287"/>
      <x v="165"/>
    </i>
    <i r="2">
      <x v="22"/>
      <x v="76"/>
      <x v="143"/>
      <x v="257"/>
    </i>
    <i r="4">
      <x v="193"/>
      <x v="257"/>
    </i>
    <i r="4">
      <x v="194"/>
      <x v="257"/>
    </i>
    <i r="3">
      <x v="86"/>
      <x v="150"/>
      <x v="1"/>
    </i>
    <i r="4">
      <x v="244"/>
      <x v="1"/>
    </i>
    <i r="4">
      <x v="309"/>
      <x v="1"/>
    </i>
    <i r="2">
      <x v="23"/>
      <x v="166"/>
      <x v="318"/>
      <x v="248"/>
    </i>
    <i>
      <x v="3"/>
      <x v="2"/>
    </i>
    <i>
      <x v="4"/>
      <x/>
      <x v="22"/>
      <x v="180"/>
      <x v="333"/>
      <x v="257"/>
    </i>
    <i r="1">
      <x v="3"/>
    </i>
    <i r="1">
      <x v="9"/>
      <x v="21"/>
      <x v="81"/>
      <x v="196"/>
      <x v="48"/>
    </i>
    <i r="4">
      <x v="197"/>
      <x v="49"/>
    </i>
    <i r="2">
      <x v="32"/>
      <x v="175"/>
      <x v="328"/>
      <x v="257"/>
    </i>
    <i r="1">
      <x v="10"/>
    </i>
    <i>
      <x v="5"/>
      <x v="4"/>
      <x/>
      <x v="87"/>
      <x v="2"/>
      <x v="138"/>
    </i>
    <i r="4">
      <x v="174"/>
      <x v="257"/>
    </i>
    <i r="4">
      <x v="245"/>
      <x v="140"/>
    </i>
    <i r="4">
      <x v="310"/>
      <x v="136"/>
    </i>
    <i r="4">
      <x v="311"/>
      <x v="136"/>
    </i>
    <i r="3">
      <x v="177"/>
      <x v="330"/>
      <x v="257"/>
    </i>
    <i r="2">
      <x v="1"/>
      <x v="87"/>
      <x v="283"/>
      <x v="220"/>
    </i>
    <i r="2">
      <x v="4"/>
      <x v="87"/>
      <x v="280"/>
      <x v="235"/>
    </i>
    <i r="2">
      <x v="5"/>
      <x v="87"/>
      <x v="230"/>
      <x v="257"/>
    </i>
    <i r="2">
      <x v="6"/>
      <x v="87"/>
      <x v="266"/>
      <x v="15"/>
    </i>
    <i r="5">
      <x v="20"/>
    </i>
    <i r="5">
      <x v="23"/>
    </i>
    <i r="5">
      <x v="24"/>
    </i>
    <i r="5">
      <x v="31"/>
    </i>
    <i r="4">
      <x v="275"/>
      <x v="12"/>
    </i>
    <i r="4">
      <x v="283"/>
      <x v="21"/>
    </i>
    <i r="5">
      <x v="22"/>
    </i>
    <i r="5">
      <x v="25"/>
    </i>
    <i r="3">
      <x v="170"/>
      <x v="323"/>
      <x v="257"/>
    </i>
    <i r="2">
      <x v="7"/>
      <x v="12"/>
      <x v="260"/>
      <x v="217"/>
    </i>
    <i r="3">
      <x v="13"/>
      <x v="261"/>
      <x v="236"/>
    </i>
    <i r="3">
      <x v="87"/>
      <x v="86"/>
      <x v="142"/>
    </i>
    <i r="5">
      <x v="144"/>
    </i>
    <i r="4">
      <x v="229"/>
      <x v="143"/>
    </i>
    <i r="4">
      <x v="231"/>
      <x v="247"/>
    </i>
    <i r="4">
      <x v="232"/>
      <x v="145"/>
    </i>
    <i r="4">
      <x v="233"/>
      <x v="144"/>
    </i>
    <i r="4">
      <x v="283"/>
      <x v="142"/>
    </i>
    <i r="5">
      <x v="221"/>
    </i>
    <i r="3">
      <x v="127"/>
      <x v="267"/>
      <x v="222"/>
    </i>
    <i r="2">
      <x v="15"/>
      <x v="87"/>
      <x v="86"/>
      <x v="116"/>
    </i>
    <i r="4">
      <x v="166"/>
      <x v="117"/>
    </i>
    <i r="4">
      <x v="167"/>
      <x v="218"/>
    </i>
    <i r="4">
      <x v="283"/>
      <x v="116"/>
    </i>
    <i r="2">
      <x v="16"/>
      <x v="87"/>
      <x v="269"/>
      <x v="203"/>
    </i>
    <i r="2">
      <x v="18"/>
      <x v="87"/>
      <x v="276"/>
      <x v="212"/>
    </i>
    <i r="4">
      <x v="319"/>
      <x v="213"/>
    </i>
    <i r="2">
      <x v="21"/>
      <x v="87"/>
      <x v="14"/>
      <x v="52"/>
    </i>
    <i r="4">
      <x v="86"/>
      <x v="52"/>
    </i>
    <i r="5">
      <x v="53"/>
    </i>
    <i r="5">
      <x v="54"/>
    </i>
    <i r="5">
      <x v="55"/>
    </i>
    <i r="5">
      <x v="56"/>
    </i>
    <i r="5">
      <x v="57"/>
    </i>
    <i r="5">
      <x v="58"/>
    </i>
    <i r="5">
      <x v="59"/>
    </i>
    <i r="5">
      <x v="60"/>
    </i>
    <i r="5">
      <x v="61"/>
    </i>
    <i r="4">
      <x v="109"/>
      <x v="199"/>
    </i>
    <i r="4">
      <x v="173"/>
      <x v="55"/>
    </i>
    <i r="4">
      <x v="175"/>
      <x v="56"/>
    </i>
    <i r="4">
      <x v="202"/>
      <x v="60"/>
    </i>
    <i r="4">
      <x v="222"/>
      <x v="67"/>
    </i>
    <i r="4">
      <x v="223"/>
      <x v="65"/>
    </i>
    <i r="4">
      <x v="224"/>
      <x v="66"/>
    </i>
    <i r="4">
      <x v="249"/>
      <x v="53"/>
    </i>
    <i r="4">
      <x v="283"/>
      <x v="52"/>
    </i>
    <i r="5">
      <x v="53"/>
    </i>
    <i r="5">
      <x v="54"/>
    </i>
    <i r="5">
      <x v="55"/>
    </i>
    <i r="5">
      <x v="56"/>
    </i>
    <i r="5">
      <x v="59"/>
    </i>
    <i r="5">
      <x v="60"/>
    </i>
    <i r="5">
      <x v="62"/>
    </i>
    <i r="5">
      <x v="63"/>
    </i>
    <i r="5">
      <x v="64"/>
    </i>
    <i r="4">
      <x v="312"/>
      <x v="68"/>
    </i>
    <i r="4">
      <x v="313"/>
      <x v="69"/>
    </i>
    <i r="2">
      <x v="22"/>
      <x v="164"/>
      <x v="246"/>
      <x v="214"/>
    </i>
    <i r="2">
      <x v="24"/>
      <x v="87"/>
      <x v="41"/>
      <x v="238"/>
    </i>
    <i r="4">
      <x v="266"/>
      <x v="223"/>
    </i>
    <i r="4">
      <x v="283"/>
      <x v="238"/>
    </i>
    <i r="5">
      <x v="239"/>
    </i>
    <i r="2">
      <x v="25"/>
      <x v="125"/>
      <x v="227"/>
      <x v="219"/>
    </i>
    <i r="2">
      <x v="26"/>
      <x v="87"/>
      <x v="86"/>
      <x v="33"/>
    </i>
    <i r="5">
      <x v="34"/>
    </i>
    <i r="5">
      <x v="35"/>
    </i>
    <i r="5">
      <x v="36"/>
    </i>
    <i r="5">
      <x v="37"/>
    </i>
    <i r="5">
      <x v="38"/>
    </i>
    <i r="5">
      <x v="39"/>
    </i>
    <i r="5">
      <x v="40"/>
    </i>
    <i r="5">
      <x v="41"/>
    </i>
    <i r="5">
      <x v="80"/>
    </i>
    <i r="5">
      <x v="81"/>
    </i>
    <i r="5">
      <x v="82"/>
    </i>
    <i r="5">
      <x v="83"/>
    </i>
    <i r="5">
      <x v="84"/>
    </i>
    <i r="5">
      <x v="85"/>
    </i>
    <i r="5">
      <x v="86"/>
    </i>
    <i r="5">
      <x v="87"/>
    </i>
    <i r="5">
      <x v="93"/>
    </i>
    <i r="5">
      <x v="94"/>
    </i>
    <i r="4">
      <x v="98"/>
      <x v="75"/>
    </i>
    <i r="4">
      <x v="101"/>
      <x v="36"/>
    </i>
    <i r="4">
      <x v="120"/>
      <x v="78"/>
    </i>
    <i r="4">
      <x v="198"/>
      <x v="90"/>
    </i>
    <i r="4">
      <x v="204"/>
      <x v="88"/>
    </i>
    <i r="4">
      <x v="205"/>
      <x v="257"/>
    </i>
    <i r="4">
      <x v="206"/>
      <x v="88"/>
    </i>
    <i r="4">
      <x v="226"/>
      <x v="226"/>
    </i>
    <i r="4">
      <x v="239"/>
      <x v="243"/>
    </i>
    <i r="4">
      <x v="279"/>
      <x v="77"/>
    </i>
    <i r="4">
      <x v="283"/>
      <x v="33"/>
    </i>
    <i r="5">
      <x v="34"/>
    </i>
    <i r="5">
      <x v="35"/>
    </i>
    <i r="5">
      <x v="37"/>
    </i>
    <i r="5">
      <x v="38"/>
    </i>
    <i r="5">
      <x v="39"/>
    </i>
    <i r="5">
      <x v="40"/>
    </i>
    <i r="5">
      <x v="41"/>
    </i>
    <i r="5">
      <x v="75"/>
    </i>
    <i r="5">
      <x v="79"/>
    </i>
    <i r="5">
      <x v="80"/>
    </i>
    <i r="5">
      <x v="93"/>
    </i>
    <i r="5">
      <x v="94"/>
    </i>
    <i r="5">
      <x v="227"/>
    </i>
    <i r="5">
      <x v="228"/>
    </i>
    <i r="5">
      <x v="229"/>
    </i>
    <i r="5">
      <x v="230"/>
    </i>
    <i r="5">
      <x v="231"/>
    </i>
    <i r="5">
      <x v="232"/>
    </i>
    <i r="4">
      <x v="298"/>
      <x v="257"/>
    </i>
    <i r="4">
      <x v="299"/>
      <x v="257"/>
    </i>
    <i r="2">
      <x v="28"/>
      <x v="9"/>
      <x v="11"/>
      <x v="118"/>
    </i>
    <i r="3">
      <x v="87"/>
      <x v="238"/>
      <x v="123"/>
    </i>
    <i r="4">
      <x v="283"/>
      <x v="99"/>
    </i>
    <i r="5">
      <x v="122"/>
    </i>
    <i r="5">
      <x v="224"/>
    </i>
    <i r="5">
      <x v="225"/>
    </i>
    <i r="5">
      <x v="233"/>
    </i>
    <i r="5">
      <x v="234"/>
    </i>
    <i r="4">
      <x v="297"/>
      <x v="257"/>
    </i>
    <i r="4">
      <x v="300"/>
      <x v="257"/>
    </i>
    <i r="4">
      <x v="301"/>
      <x v="257"/>
    </i>
    <i r="3">
      <x v="88"/>
      <x v="284"/>
      <x v="121"/>
    </i>
    <i r="3">
      <x v="132"/>
      <x v="247"/>
      <x v="245"/>
    </i>
    <i r="2">
      <x v="29"/>
      <x v="87"/>
      <x v="266"/>
      <x v="241"/>
    </i>
    <i r="5">
      <x v="242"/>
    </i>
    <i r="4">
      <x v="268"/>
      <x v="240"/>
    </i>
    <i r="4">
      <x v="307"/>
      <x v="242"/>
    </i>
    <i r="2">
      <x v="30"/>
      <x v="87"/>
      <x v="5"/>
      <x v="181"/>
    </i>
    <i r="4">
      <x v="24"/>
      <x v="180"/>
    </i>
    <i r="4">
      <x v="86"/>
      <x v="146"/>
    </i>
    <i r="5">
      <x v="147"/>
    </i>
    <i r="5">
      <x v="148"/>
    </i>
    <i r="5">
      <x v="149"/>
    </i>
    <i r="5">
      <x v="150"/>
    </i>
    <i r="5">
      <x v="151"/>
    </i>
    <i r="5">
      <x v="152"/>
    </i>
    <i r="5">
      <x v="153"/>
    </i>
    <i r="5">
      <x v="168"/>
    </i>
    <i r="5">
      <x v="169"/>
    </i>
    <i r="5">
      <x v="171"/>
    </i>
    <i r="5">
      <x v="172"/>
    </i>
    <i r="5">
      <x v="173"/>
    </i>
    <i r="5">
      <x v="174"/>
    </i>
    <i r="5">
      <x v="175"/>
    </i>
    <i r="5">
      <x v="176"/>
    </i>
    <i r="5">
      <x v="178"/>
    </i>
    <i r="5">
      <x v="182"/>
    </i>
    <i r="5">
      <x v="183"/>
    </i>
    <i r="5">
      <x v="184"/>
    </i>
    <i r="5">
      <x v="186"/>
    </i>
    <i r="5">
      <x v="187"/>
    </i>
    <i r="5">
      <x v="188"/>
    </i>
    <i r="5">
      <x v="198"/>
    </i>
    <i r="4">
      <x v="99"/>
      <x v="190"/>
    </i>
    <i r="4">
      <x v="100"/>
      <x v="191"/>
    </i>
    <i r="4">
      <x v="104"/>
      <x v="170"/>
    </i>
    <i r="4">
      <x v="153"/>
      <x v="191"/>
    </i>
    <i r="4">
      <x v="201"/>
      <x v="172"/>
    </i>
    <i r="4">
      <x v="216"/>
      <x v="194"/>
    </i>
    <i r="4">
      <x v="225"/>
      <x v="177"/>
    </i>
    <i r="4">
      <x v="234"/>
      <x v="196"/>
    </i>
    <i r="4">
      <x v="237"/>
      <x v="179"/>
    </i>
    <i r="4">
      <x v="266"/>
      <x v="216"/>
    </i>
    <i r="5">
      <x v="237"/>
    </i>
    <i r="4">
      <x v="283"/>
      <x v="168"/>
    </i>
    <i r="5">
      <x v="169"/>
    </i>
    <i r="5">
      <x v="171"/>
    </i>
    <i r="5">
      <x v="172"/>
    </i>
    <i r="5">
      <x v="173"/>
    </i>
    <i r="5">
      <x v="174"/>
    </i>
    <i r="5">
      <x v="175"/>
    </i>
    <i r="5">
      <x v="176"/>
    </i>
    <i r="5">
      <x v="178"/>
    </i>
    <i r="5">
      <x v="180"/>
    </i>
    <i r="5">
      <x v="182"/>
    </i>
    <i r="5">
      <x v="183"/>
    </i>
    <i r="5">
      <x v="184"/>
    </i>
    <i r="5">
      <x v="186"/>
    </i>
    <i r="5">
      <x v="187"/>
    </i>
    <i r="5">
      <x v="188"/>
    </i>
    <i r="5">
      <x v="189"/>
    </i>
    <i r="5">
      <x v="190"/>
    </i>
    <i r="5">
      <x v="192"/>
    </i>
    <i r="5">
      <x v="193"/>
    </i>
    <i r="5">
      <x v="195"/>
    </i>
    <i r="5">
      <x v="197"/>
    </i>
    <i r="4">
      <x v="303"/>
      <x v="185"/>
    </i>
    <i r="3">
      <x v="173"/>
      <x v="326"/>
      <x v="257"/>
    </i>
    <i>
      <x v="6"/>
      <x v="5"/>
      <x v="36"/>
      <x v="182"/>
      <x v="336"/>
      <x v="257"/>
    </i>
    <i r="1">
      <x v="6"/>
      <x v="13"/>
      <x v="2"/>
      <x v="257"/>
      <x v="157"/>
    </i>
    <i r="3">
      <x v="53"/>
      <x v="59"/>
      <x v="158"/>
    </i>
    <i r="3">
      <x v="85"/>
      <x v="81"/>
      <x v="157"/>
    </i>
    <i r="3">
      <x v="89"/>
      <x v="134"/>
      <x v="159"/>
    </i>
    <i r="4">
      <x v="207"/>
      <x v="159"/>
    </i>
    <i r="3">
      <x v="90"/>
      <x v="128"/>
      <x v="160"/>
    </i>
    <i r="4">
      <x v="263"/>
      <x v="160"/>
    </i>
    <i r="3">
      <x v="91"/>
      <x v="130"/>
      <x v="161"/>
    </i>
    <i r="4">
      <x v="208"/>
      <x v="161"/>
    </i>
    <i r="3">
      <x v="92"/>
      <x v="129"/>
      <x v="162"/>
    </i>
    <i r="4">
      <x v="209"/>
      <x v="162"/>
    </i>
    <i r="3">
      <x v="93"/>
      <x v="131"/>
      <x v="42"/>
    </i>
    <i r="4">
      <x v="211"/>
      <x v="42"/>
    </i>
    <i r="3">
      <x v="94"/>
      <x v="136"/>
      <x v="163"/>
    </i>
    <i r="4">
      <x v="212"/>
      <x v="163"/>
    </i>
    <i r="3">
      <x v="95"/>
      <x v="61"/>
      <x v="156"/>
    </i>
    <i r="3">
      <x v="96"/>
      <x v="62"/>
      <x v="156"/>
    </i>
    <i r="3">
      <x v="97"/>
      <x v="63"/>
      <x v="156"/>
    </i>
    <i r="3">
      <x v="98"/>
      <x v="64"/>
      <x v="156"/>
    </i>
    <i r="3">
      <x v="99"/>
      <x v="65"/>
      <x v="156"/>
    </i>
    <i r="3">
      <x v="100"/>
      <x v="66"/>
      <x v="156"/>
    </i>
    <i r="3">
      <x v="101"/>
      <x v="48"/>
      <x v="158"/>
    </i>
    <i r="3">
      <x v="102"/>
      <x v="49"/>
      <x v="154"/>
    </i>
    <i r="3">
      <x v="103"/>
      <x v="50"/>
      <x v="158"/>
    </i>
    <i r="3">
      <x v="104"/>
      <x v="51"/>
      <x v="154"/>
    </i>
    <i r="3">
      <x v="105"/>
      <x v="52"/>
      <x v="158"/>
    </i>
    <i r="3">
      <x v="106"/>
      <x v="53"/>
      <x v="154"/>
    </i>
    <i r="3">
      <x v="107"/>
      <x v="54"/>
      <x v="158"/>
    </i>
    <i r="3">
      <x v="108"/>
      <x v="55"/>
      <x v="154"/>
    </i>
    <i r="3">
      <x v="109"/>
      <x v="56"/>
      <x v="158"/>
    </i>
    <i r="3">
      <x v="110"/>
      <x v="57"/>
      <x v="154"/>
    </i>
    <i r="3">
      <x v="111"/>
      <x v="58"/>
      <x v="158"/>
    </i>
    <i r="3">
      <x v="112"/>
      <x v="60"/>
      <x v="154"/>
    </i>
    <i r="3">
      <x v="113"/>
      <x v="67"/>
      <x v="43"/>
    </i>
    <i r="5">
      <x v="158"/>
    </i>
    <i r="3">
      <x v="114"/>
      <x v="68"/>
      <x v="158"/>
    </i>
    <i r="4">
      <x v="82"/>
      <x v="43"/>
    </i>
    <i r="3">
      <x v="115"/>
      <x v="69"/>
      <x v="158"/>
    </i>
    <i r="4">
      <x v="73"/>
      <x v="43"/>
    </i>
    <i r="3">
      <x v="116"/>
      <x v="70"/>
      <x v="158"/>
    </i>
    <i r="4">
      <x v="83"/>
      <x v="43"/>
    </i>
    <i r="3">
      <x v="117"/>
      <x v="71"/>
      <x v="158"/>
    </i>
    <i r="4">
      <x v="84"/>
      <x v="43"/>
    </i>
    <i r="3">
      <x v="118"/>
      <x v="72"/>
      <x v="158"/>
    </i>
    <i r="4">
      <x v="85"/>
      <x v="43"/>
    </i>
    <i r="3">
      <x v="147"/>
      <x v="147"/>
      <x v="155"/>
    </i>
    <i r="4">
      <x v="277"/>
      <x v="155"/>
    </i>
    <i r="3">
      <x v="148"/>
      <x v="258"/>
      <x v="43"/>
    </i>
    <i r="2">
      <x v="14"/>
      <x v="87"/>
      <x v="10"/>
      <x v="131"/>
    </i>
    <i r="4">
      <x v="213"/>
      <x v="141"/>
    </i>
    <i r="3">
      <x v="119"/>
      <x v="210"/>
      <x v="132"/>
    </i>
    <i r="2">
      <x v="20"/>
      <x v="16"/>
      <x v="274"/>
      <x v="125"/>
    </i>
    <i r="3">
      <x v="84"/>
      <x v="265"/>
      <x v="126"/>
    </i>
    <i r="3">
      <x v="87"/>
      <x v="283"/>
      <x v="124"/>
    </i>
    <i r="3">
      <x v="122"/>
      <x v="219"/>
      <x v="127"/>
    </i>
    <i>
      <x v="7"/>
      <x v="7"/>
      <x v="22"/>
      <x v="121"/>
      <x v="113"/>
      <x v="250"/>
    </i>
    <i r="4">
      <x v="217"/>
      <x v="139"/>
    </i>
    <i r="4">
      <x v="218"/>
      <x v="139"/>
    </i>
    <i r="5">
      <x v="257"/>
    </i>
    <i r="3">
      <x v="183"/>
      <x v="337"/>
      <x v="257"/>
    </i>
    <i r="3">
      <x v="184"/>
      <x v="338"/>
      <x v="257"/>
    </i>
    <i r="3">
      <x v="185"/>
      <x v="339"/>
      <x v="257"/>
    </i>
    <i r="4">
      <x v="340"/>
      <x v="257"/>
    </i>
    <i r="3">
      <x v="186"/>
      <x v="341"/>
      <x v="257"/>
    </i>
    <i r="3">
      <x v="187"/>
      <x v="342"/>
      <x v="257"/>
    </i>
    <i r="3">
      <x v="188"/>
      <x v="343"/>
      <x v="257"/>
    </i>
    <i r="3">
      <x v="189"/>
      <x v="344"/>
      <x v="257"/>
    </i>
    <i r="3">
      <x v="190"/>
      <x v="345"/>
      <x v="257"/>
    </i>
    <i r="3">
      <x v="191"/>
      <x v="346"/>
      <x v="257"/>
    </i>
    <i r="3">
      <x v="192"/>
      <x v="347"/>
      <x v="257"/>
    </i>
    <i r="3">
      <x v="193"/>
      <x v="348"/>
      <x v="257"/>
    </i>
    <i r="3">
      <x v="194"/>
      <x v="349"/>
      <x v="257"/>
    </i>
    <i r="3">
      <x v="195"/>
      <x v="350"/>
      <x v="257"/>
    </i>
    <i r="3">
      <x v="196"/>
      <x v="351"/>
      <x v="257"/>
    </i>
    <i r="3">
      <x v="197"/>
      <x v="352"/>
      <x v="257"/>
    </i>
    <i r="3">
      <x v="198"/>
      <x v="353"/>
      <x v="257"/>
    </i>
    <i r="3">
      <x v="199"/>
      <x v="354"/>
      <x v="257"/>
    </i>
    <i r="3">
      <x v="200"/>
      <x v="355"/>
      <x v="257"/>
    </i>
    <i r="3">
      <x v="201"/>
      <x v="356"/>
      <x v="257"/>
    </i>
    <i r="3">
      <x v="202"/>
      <x v="357"/>
      <x v="257"/>
    </i>
    <i r="3">
      <x v="203"/>
      <x v="358"/>
      <x v="257"/>
    </i>
    <i r="3">
      <x v="204"/>
      <x v="359"/>
      <x v="257"/>
    </i>
    <i r="3">
      <x v="205"/>
      <x v="360"/>
      <x v="257"/>
    </i>
    <i r="3">
      <x v="206"/>
      <x v="361"/>
      <x v="257"/>
    </i>
    <i r="3">
      <x v="207"/>
      <x v="362"/>
      <x v="257"/>
    </i>
    <i r="3">
      <x v="208"/>
      <x v="363"/>
      <x v="257"/>
    </i>
    <i r="3">
      <x v="209"/>
      <x v="364"/>
      <x v="257"/>
    </i>
    <i r="3">
      <x v="210"/>
      <x v="365"/>
      <x v="257"/>
    </i>
    <i>
      <x v="8"/>
      <x v="8"/>
      <x v="22"/>
      <x v="25"/>
      <x v="23"/>
      <x v="135"/>
    </i>
    <i r="5">
      <x v="257"/>
    </i>
    <i r="4">
      <x v="111"/>
      <x v="249"/>
    </i>
    <i r="4">
      <x v="278"/>
      <x v="135"/>
    </i>
    <i r="3">
      <x v="50"/>
      <x v="163"/>
      <x v="137"/>
    </i>
    <i>
      <x v="9"/>
      <x v="12"/>
      <x v="10"/>
      <x v="123"/>
      <x v="220"/>
      <x v="255"/>
    </i>
    <i r="3">
      <x v="124"/>
      <x v="221"/>
      <x v="255"/>
    </i>
  </rowItems>
  <colItems count="1">
    <i/>
  </colItems>
  <formats count="4">
    <format dxfId="3">
      <pivotArea type="all" dataOnly="0" outline="0" fieldPosition="0"/>
    </format>
    <format dxfId="2">
      <pivotArea field="9" type="button" dataOnly="0" labelOnly="1" outline="0" axis="axisRow" fieldPosition="0"/>
    </format>
    <format dxfId="1">
      <pivotArea field="8" type="button" dataOnly="0" labelOnly="1" outline="0" axis="axisRow" fieldPosition="1"/>
    </format>
    <format dxfId="0">
      <pivotArea dataOnly="0" labelOnly="1" outline="0" fieldPosition="0">
        <references count="1">
          <reference field="9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AK659" totalsRowShown="0" headerRowDxfId="32" headerRowCellStyle="Normal_Hoja2">
  <autoFilter ref="A1:AK659" xr:uid="{00000000-000C-0000-FFFF-FFFF00000000}">
    <filterColumn colId="10">
      <filters>
        <filter val="Nubico"/>
      </filters>
    </filterColumn>
  </autoFilter>
  <tableColumns count="37">
    <tableColumn id="34" xr3:uid="{00000000-0010-0000-0000-000022000000}" name="Nº" dataDxfId="31" dataCellStyle="Normal_Hoja2"/>
    <tableColumn id="1" xr3:uid="{00000000-0010-0000-0000-000001000000}" name="CPC" dataDxfId="30" dataCellStyle="Normal_Hoja2"/>
    <tableColumn id="2" xr3:uid="{00000000-0010-0000-0000-000002000000}" name="CPC to upgrade" dataDxfId="29" dataCellStyle="Normal_Hoja2"/>
    <tableColumn id="3" xr3:uid="{00000000-0010-0000-0000-000003000000}" name="APP_ID" dataDxfId="28" dataCellStyle="Normal_Hoja2"/>
    <tableColumn id="4" xr3:uid="{00000000-0010-0000-0000-000004000000}" name="PACK_ID" dataDxfId="27" dataCellStyle="Normal_Hoja2"/>
    <tableColumn id="5" xr3:uid="{00000000-0010-0000-0000-000005000000}" name="Service_id" dataDxfId="26" dataCellStyle="Normal_Hoja2"/>
    <tableColumn id="6" xr3:uid="{00000000-0010-0000-0000-000006000000}" name="Short Description" dataDxfId="25" dataCellStyle="Normal_Hoja2"/>
    <tableColumn id="7" xr3:uid="{00000000-0010-0000-0000-000007000000}" name="Billing Description" dataDxfId="24" dataCellStyle="Normal_Hoja2"/>
    <tableColumn id="8" xr3:uid="{00000000-0010-0000-0000-000008000000}" name="Is a CVAS CPC?" dataDxfId="23" dataCellStyle="Normal_Hoja2"/>
    <tableColumn id="9" xr3:uid="{00000000-0010-0000-0000-000009000000}" name="Old TME Category" dataDxfId="22" dataCellStyle="Normal_Hoja2"/>
    <tableColumn id="10" xr3:uid="{00000000-0010-0000-0000-00000A000000}" name="TME Category" dataDxfId="21" dataCellStyle="Normal_Hoja2"/>
    <tableColumn id="11" xr3:uid="{00000000-0010-0000-0000-00000B000000}" name="TME SubCategory" dataDxfId="20" dataCellStyle="Normal_Hoja2"/>
    <tableColumn id="12" xr3:uid="{00000000-0010-0000-0000-00000C000000}" name="OM Category" dataDxfId="19" dataCellStyle="Normal_Hoja2"/>
    <tableColumn id="13" xr3:uid="{00000000-0010-0000-0000-00000D000000}" name="OM SubCategory" dataDxfId="18" dataCellStyle="Normal_Hoja2"/>
    <tableColumn id="14" xr3:uid="{00000000-0010-0000-0000-00000E000000}" name="Content Provider" dataDxfId="17" dataCellStyle="Normal_Hoja2"/>
    <tableColumn id="15" xr3:uid="{00000000-0010-0000-0000-00000F000000}" name="Estado" dataDxfId="16" dataCellStyle="Normal_Hoja2"/>
    <tableColumn id="16" xr3:uid="{00000000-0010-0000-0000-000010000000}" name="New Billing OM" dataDxfId="15" dataCellStyle="Normal_Hoja2"/>
    <tableColumn id="17" xr3:uid="{00000000-0010-0000-0000-000011000000}" name="Code of Content" dataDxfId="14" dataCellStyle="Normal_Hoja2"/>
    <tableColumn id="18" xr3:uid="{00000000-0010-0000-0000-000012000000}" name="Service Name" dataDxfId="13" dataCellStyle="Normal_Hoja2"/>
    <tableColumn id="19" xr3:uid="{00000000-0010-0000-0000-000013000000}" name="Description Level of Pricing" dataDxfId="12" dataCellStyle="Normal_Hoja2"/>
    <tableColumn id="20" xr3:uid="{00000000-0010-0000-0000-000014000000}" name="Cod Level  of  Pricing" dataDxfId="11" dataCellStyle="Normal_Hoja2"/>
    <tableColumn id="21" xr3:uid="{00000000-0010-0000-0000-000015000000}" name="Subscription Model" dataDxfId="10" dataCellStyle="Normal_Hoja2"/>
    <tableColumn id="22" xr3:uid="{00000000-0010-0000-0000-000016000000}" name="Cod of Profile"/>
    <tableColumn id="23" xr3:uid="{00000000-0010-0000-0000-000017000000}" name="Price" dataDxfId="9" dataCellStyle="Normal_Hoja2"/>
    <tableColumn id="24" xr3:uid="{00000000-0010-0000-0000-000018000000}" name="% Margin CP" dataDxfId="8" dataCellStyle="Normal_Hoja2"/>
    <tableColumn id="25" xr3:uid="{00000000-0010-0000-0000-000019000000}" name="% Margin TME" dataDxfId="7" dataCellStyle="Normal_Hoja2"/>
    <tableColumn id="26" xr3:uid="{00000000-0010-0000-0000-00001A000000}" name="% Margin Recording Company"/>
    <tableColumn id="27" xr3:uid="{00000000-0010-0000-0000-00001B000000}" name="% Margin SGAE/AIE"/>
    <tableColumn id="28" xr3:uid="{00000000-0010-0000-0000-00001C000000}" name="Recording Company"/>
    <tableColumn id="29" xr3:uid="{00000000-0010-0000-0000-00001D000000}" name="Unique_ID"/>
    <tableColumn id="30" xr3:uid="{00000000-0010-0000-0000-00001E000000}" name="Nº Renewals" dataDxfId="6"/>
    <tableColumn id="31" xr3:uid="{00000000-0010-0000-0000-00001F000000}" name="FUNNEL CAT" dataDxfId="5"/>
    <tableColumn id="32" xr3:uid="{00000000-0010-0000-0000-000020000000}" name="Rol CP" dataDxfId="4"/>
    <tableColumn id="33" xr3:uid="{9EFE36A1-0D10-42F6-9ACF-F2D97CC319D4}" name="Tipo_Servicio"/>
    <tableColumn id="36" xr3:uid="{285B48A6-A1AA-4C3B-9535-20DE15267FD9}" name="Rol"/>
    <tableColumn id="35" xr3:uid="{86A64287-1AEF-43A8-A203-DBC902AA42D1}" name="%COGS">
      <calculatedColumnFormula>VLOOKUP(Tabla1[[#This Row],[CPC]],[1]Sheet3!$A:$D,4,0)</calculatedColumnFormula>
    </tableColumn>
    <tableColumn id="37" xr3:uid="{F1DE4B69-E87D-4278-9C50-258186EFD789}" name="Finance Categor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187"/>
  <sheetViews>
    <sheetView workbookViewId="0">
      <selection activeCell="D1" sqref="D1:E1048576"/>
    </sheetView>
  </sheetViews>
  <sheetFormatPr defaultColWidth="11.42578125" defaultRowHeight="15" x14ac:dyDescent="0.25"/>
  <cols>
    <col min="1" max="1" width="21" bestFit="1" customWidth="1"/>
    <col min="2" max="2" width="19.5703125" bestFit="1" customWidth="1"/>
    <col min="3" max="3" width="21" bestFit="1" customWidth="1"/>
    <col min="4" max="4" width="52.7109375" bestFit="1" customWidth="1"/>
    <col min="5" max="5" width="12.42578125" bestFit="1" customWidth="1"/>
    <col min="6" max="6" width="30.5703125" bestFit="1" customWidth="1"/>
    <col min="9" max="9" width="30.5703125" bestFit="1" customWidth="1"/>
  </cols>
  <sheetData>
    <row r="3" spans="1:9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</row>
    <row r="4" spans="1:9" x14ac:dyDescent="0.25">
      <c r="A4" s="4" t="s">
        <v>5</v>
      </c>
      <c r="B4" s="4" t="s">
        <v>6</v>
      </c>
      <c r="C4" s="4" t="s">
        <v>7</v>
      </c>
      <c r="D4" s="4" t="s">
        <v>8</v>
      </c>
      <c r="E4" s="4">
        <v>41644</v>
      </c>
      <c r="I4" t="s">
        <v>9</v>
      </c>
    </row>
    <row r="5" spans="1:9" x14ac:dyDescent="0.25">
      <c r="A5" s="4"/>
      <c r="B5" s="4"/>
      <c r="C5" s="4"/>
      <c r="D5" s="4" t="s">
        <v>10</v>
      </c>
      <c r="E5" s="4">
        <v>40651</v>
      </c>
      <c r="I5" t="s">
        <v>6</v>
      </c>
    </row>
    <row r="6" spans="1:9" x14ac:dyDescent="0.25">
      <c r="A6" s="4"/>
      <c r="B6" s="4"/>
      <c r="C6" s="4" t="s">
        <v>11</v>
      </c>
      <c r="D6" s="4" t="s">
        <v>11</v>
      </c>
      <c r="E6" s="4">
        <v>44051</v>
      </c>
      <c r="I6" t="s">
        <v>6</v>
      </c>
    </row>
    <row r="7" spans="1:9" x14ac:dyDescent="0.25">
      <c r="A7" s="4"/>
      <c r="B7" s="4" t="s">
        <v>12</v>
      </c>
      <c r="C7" s="4" t="s">
        <v>13</v>
      </c>
      <c r="D7" s="4" t="s">
        <v>14</v>
      </c>
      <c r="E7" s="4">
        <v>39322</v>
      </c>
      <c r="I7" t="s">
        <v>6</v>
      </c>
    </row>
    <row r="8" spans="1:9" x14ac:dyDescent="0.25">
      <c r="A8" s="4"/>
      <c r="B8" s="4"/>
      <c r="C8" s="4"/>
      <c r="D8" s="4" t="s">
        <v>15</v>
      </c>
      <c r="E8" s="4">
        <v>39321</v>
      </c>
    </row>
    <row r="9" spans="1:9" x14ac:dyDescent="0.25">
      <c r="A9" s="4"/>
      <c r="B9" s="4"/>
      <c r="C9" s="4" t="s">
        <v>16</v>
      </c>
      <c r="D9" s="4" t="s">
        <v>17</v>
      </c>
      <c r="E9" s="4">
        <v>41794</v>
      </c>
      <c r="I9" s="5"/>
    </row>
    <row r="10" spans="1:9" x14ac:dyDescent="0.25">
      <c r="A10" s="4"/>
      <c r="B10" s="4"/>
      <c r="C10" s="4"/>
      <c r="D10" s="4" t="s">
        <v>18</v>
      </c>
      <c r="E10" s="4">
        <v>40953</v>
      </c>
    </row>
    <row r="11" spans="1:9" x14ac:dyDescent="0.25">
      <c r="A11" s="4"/>
      <c r="B11" s="4"/>
      <c r="C11" s="4" t="s">
        <v>19</v>
      </c>
      <c r="D11" s="4" t="s">
        <v>20</v>
      </c>
      <c r="E11" s="4">
        <v>41593</v>
      </c>
    </row>
    <row r="12" spans="1:9" x14ac:dyDescent="0.25">
      <c r="A12" s="4"/>
      <c r="B12" s="4"/>
      <c r="C12" s="4"/>
      <c r="D12" s="4" t="s">
        <v>21</v>
      </c>
      <c r="E12" s="4">
        <v>41594</v>
      </c>
    </row>
    <row r="13" spans="1:9" x14ac:dyDescent="0.25">
      <c r="A13" s="4"/>
      <c r="B13" s="4"/>
      <c r="C13" s="4"/>
      <c r="D13" s="4" t="s">
        <v>22</v>
      </c>
      <c r="E13" s="4">
        <v>38971</v>
      </c>
      <c r="I13" s="5"/>
    </row>
    <row r="14" spans="1:9" x14ac:dyDescent="0.25">
      <c r="A14" s="4"/>
      <c r="B14" s="4"/>
      <c r="C14" s="4"/>
      <c r="D14" s="4" t="s">
        <v>23</v>
      </c>
      <c r="E14" s="4">
        <v>38972</v>
      </c>
      <c r="I14" s="5"/>
    </row>
    <row r="15" spans="1:9" x14ac:dyDescent="0.25">
      <c r="A15" s="4"/>
      <c r="B15" s="4"/>
      <c r="C15" s="4" t="s">
        <v>24</v>
      </c>
      <c r="D15" s="4" t="s">
        <v>25</v>
      </c>
      <c r="E15" s="4">
        <v>41654</v>
      </c>
      <c r="I15" s="5"/>
    </row>
    <row r="16" spans="1:9" x14ac:dyDescent="0.25">
      <c r="A16" s="4"/>
      <c r="B16" s="4"/>
      <c r="C16" s="4"/>
      <c r="D16" s="4" t="s">
        <v>26</v>
      </c>
      <c r="E16" s="4">
        <v>40062</v>
      </c>
      <c r="I16" s="5"/>
    </row>
    <row r="17" spans="1:9" x14ac:dyDescent="0.25">
      <c r="A17" s="4"/>
      <c r="B17" s="4"/>
      <c r="C17" s="4"/>
      <c r="D17" s="4" t="s">
        <v>27</v>
      </c>
      <c r="E17" s="4">
        <v>40061</v>
      </c>
      <c r="I17" s="5"/>
    </row>
    <row r="18" spans="1:9" x14ac:dyDescent="0.25">
      <c r="A18" s="4"/>
      <c r="B18" s="4"/>
      <c r="C18" s="4"/>
      <c r="D18" s="4" t="s">
        <v>28</v>
      </c>
      <c r="E18" s="4">
        <v>41655</v>
      </c>
      <c r="I18" s="5"/>
    </row>
    <row r="19" spans="1:9" x14ac:dyDescent="0.25">
      <c r="A19" s="4"/>
      <c r="B19" s="4"/>
      <c r="C19" s="4" t="s">
        <v>29</v>
      </c>
      <c r="D19" s="4" t="s">
        <v>30</v>
      </c>
      <c r="E19" s="4">
        <v>43349</v>
      </c>
      <c r="I19" s="5"/>
    </row>
    <row r="20" spans="1:9" x14ac:dyDescent="0.25">
      <c r="A20" s="4"/>
      <c r="B20" s="4"/>
      <c r="C20" s="4"/>
      <c r="D20" s="4" t="s">
        <v>31</v>
      </c>
      <c r="E20" s="4">
        <v>42911</v>
      </c>
      <c r="I20" s="5"/>
    </row>
    <row r="21" spans="1:9" x14ac:dyDescent="0.25">
      <c r="A21" s="4"/>
      <c r="B21" s="4"/>
      <c r="C21" s="4" t="s">
        <v>32</v>
      </c>
      <c r="D21" s="4" t="s">
        <v>33</v>
      </c>
      <c r="E21" s="4">
        <v>39302</v>
      </c>
      <c r="I21" s="5"/>
    </row>
    <row r="22" spans="1:9" x14ac:dyDescent="0.25">
      <c r="A22" s="4"/>
      <c r="B22" s="4"/>
      <c r="C22" s="4"/>
      <c r="D22" s="4" t="s">
        <v>34</v>
      </c>
      <c r="E22" s="4">
        <v>39301</v>
      </c>
      <c r="I22" s="5"/>
    </row>
    <row r="23" spans="1:9" x14ac:dyDescent="0.25">
      <c r="A23" s="4"/>
      <c r="B23" s="4"/>
      <c r="C23" s="4" t="s">
        <v>35</v>
      </c>
      <c r="D23" s="4" t="s">
        <v>35</v>
      </c>
      <c r="E23" s="4">
        <v>84666</v>
      </c>
      <c r="I23" s="5"/>
    </row>
    <row r="24" spans="1:9" x14ac:dyDescent="0.25">
      <c r="A24" s="4" t="s">
        <v>36</v>
      </c>
      <c r="B24" s="4" t="s">
        <v>36</v>
      </c>
      <c r="C24" s="4" t="s">
        <v>37</v>
      </c>
      <c r="D24" s="4" t="s">
        <v>38</v>
      </c>
      <c r="E24" s="4">
        <v>44009</v>
      </c>
    </row>
    <row r="25" spans="1:9" x14ac:dyDescent="0.25">
      <c r="A25" s="4"/>
      <c r="B25" s="4"/>
      <c r="C25" s="4" t="s">
        <v>39</v>
      </c>
      <c r="D25" s="4" t="s">
        <v>40</v>
      </c>
      <c r="E25" s="4">
        <v>44171</v>
      </c>
    </row>
    <row r="26" spans="1:9" x14ac:dyDescent="0.25">
      <c r="A26" s="4"/>
      <c r="B26" s="4"/>
      <c r="C26" s="4" t="s">
        <v>41</v>
      </c>
      <c r="D26" s="4" t="s">
        <v>42</v>
      </c>
      <c r="E26" s="4">
        <v>44169</v>
      </c>
    </row>
    <row r="27" spans="1:9" x14ac:dyDescent="0.25">
      <c r="A27" s="4"/>
      <c r="B27" s="4" t="s">
        <v>43</v>
      </c>
      <c r="C27" s="4" t="s">
        <v>44</v>
      </c>
      <c r="D27" s="4" t="s">
        <v>45</v>
      </c>
      <c r="E27" s="4">
        <v>42073</v>
      </c>
    </row>
    <row r="28" spans="1:9" x14ac:dyDescent="0.25">
      <c r="A28" s="4"/>
      <c r="B28" s="4"/>
      <c r="C28" s="4"/>
      <c r="D28" s="4" t="s">
        <v>46</v>
      </c>
      <c r="E28" s="4">
        <v>42071</v>
      </c>
    </row>
    <row r="29" spans="1:9" x14ac:dyDescent="0.25">
      <c r="A29" s="4"/>
      <c r="B29" s="4"/>
      <c r="C29" s="4" t="s">
        <v>47</v>
      </c>
      <c r="D29" s="4" t="s">
        <v>48</v>
      </c>
      <c r="E29" s="4">
        <v>37843</v>
      </c>
    </row>
    <row r="30" spans="1:9" x14ac:dyDescent="0.25">
      <c r="A30" s="4"/>
      <c r="B30" s="4"/>
      <c r="C30" s="4"/>
      <c r="D30" s="4" t="s">
        <v>49</v>
      </c>
      <c r="E30" s="4">
        <v>41792</v>
      </c>
    </row>
    <row r="31" spans="1:9" x14ac:dyDescent="0.25">
      <c r="A31" s="4"/>
      <c r="B31" s="4" t="s">
        <v>50</v>
      </c>
      <c r="C31" s="4" t="s">
        <v>51</v>
      </c>
      <c r="D31" s="4" t="s">
        <v>52</v>
      </c>
      <c r="E31" s="4">
        <v>43549</v>
      </c>
    </row>
    <row r="32" spans="1:9" x14ac:dyDescent="0.25">
      <c r="A32" s="4"/>
      <c r="B32" s="4"/>
      <c r="C32" s="4"/>
      <c r="D32" s="4" t="s">
        <v>53</v>
      </c>
      <c r="E32" s="4">
        <v>42609</v>
      </c>
    </row>
    <row r="33" spans="1:5" x14ac:dyDescent="0.25">
      <c r="A33" s="4"/>
      <c r="B33" s="4" t="s">
        <v>6</v>
      </c>
      <c r="C33" s="4" t="s">
        <v>54</v>
      </c>
      <c r="D33" s="4" t="s">
        <v>55</v>
      </c>
      <c r="E33" s="4">
        <v>43609</v>
      </c>
    </row>
    <row r="34" spans="1:5" x14ac:dyDescent="0.25">
      <c r="A34" s="4"/>
      <c r="B34" s="4"/>
      <c r="C34" s="4"/>
      <c r="D34" s="4" t="s">
        <v>56</v>
      </c>
      <c r="E34" s="4">
        <v>43611</v>
      </c>
    </row>
    <row r="35" spans="1:5" x14ac:dyDescent="0.25">
      <c r="A35" s="4"/>
      <c r="B35" s="4"/>
      <c r="C35" s="4" t="s">
        <v>57</v>
      </c>
      <c r="D35" s="4" t="s">
        <v>58</v>
      </c>
      <c r="E35" s="4">
        <v>41796</v>
      </c>
    </row>
    <row r="36" spans="1:5" x14ac:dyDescent="0.25">
      <c r="A36" s="4"/>
      <c r="B36" s="4"/>
      <c r="C36" s="4" t="s">
        <v>59</v>
      </c>
      <c r="D36" s="4" t="s">
        <v>60</v>
      </c>
      <c r="E36" s="4">
        <v>41529</v>
      </c>
    </row>
    <row r="37" spans="1:5" x14ac:dyDescent="0.25">
      <c r="A37" s="4"/>
      <c r="B37" s="4"/>
      <c r="C37" s="4" t="s">
        <v>61</v>
      </c>
      <c r="D37" s="4" t="s">
        <v>62</v>
      </c>
      <c r="E37" s="4">
        <v>32067</v>
      </c>
    </row>
    <row r="38" spans="1:5" x14ac:dyDescent="0.25">
      <c r="A38" s="4"/>
      <c r="B38" s="4"/>
      <c r="C38" s="4" t="s">
        <v>63</v>
      </c>
      <c r="D38" s="4" t="s">
        <v>64</v>
      </c>
      <c r="E38" s="4">
        <v>41909</v>
      </c>
    </row>
    <row r="39" spans="1:5" x14ac:dyDescent="0.25">
      <c r="A39" s="4"/>
      <c r="B39" s="4"/>
      <c r="C39" s="4" t="s">
        <v>65</v>
      </c>
      <c r="D39" s="4" t="s">
        <v>66</v>
      </c>
      <c r="E39" s="4">
        <v>41798</v>
      </c>
    </row>
    <row r="40" spans="1:5" x14ac:dyDescent="0.25">
      <c r="A40" s="4"/>
      <c r="B40" s="4"/>
      <c r="C40" s="4"/>
      <c r="D40" s="4" t="s">
        <v>67</v>
      </c>
      <c r="E40" s="4">
        <v>41949</v>
      </c>
    </row>
    <row r="41" spans="1:5" x14ac:dyDescent="0.25">
      <c r="A41" s="4"/>
      <c r="B41" s="4"/>
      <c r="C41" s="4" t="s">
        <v>68</v>
      </c>
      <c r="D41" s="4" t="s">
        <v>69</v>
      </c>
      <c r="E41" s="4">
        <v>41696</v>
      </c>
    </row>
    <row r="42" spans="1:5" x14ac:dyDescent="0.25">
      <c r="A42" s="4"/>
      <c r="B42" s="4"/>
      <c r="C42" s="4"/>
      <c r="D42" s="4" t="s">
        <v>70</v>
      </c>
      <c r="E42" s="4">
        <v>41247</v>
      </c>
    </row>
    <row r="43" spans="1:5" x14ac:dyDescent="0.25">
      <c r="A43" s="4"/>
      <c r="B43" s="4"/>
      <c r="C43" s="4" t="s">
        <v>71</v>
      </c>
      <c r="D43" s="4" t="s">
        <v>72</v>
      </c>
      <c r="E43" s="4">
        <v>40342</v>
      </c>
    </row>
    <row r="44" spans="1:5" x14ac:dyDescent="0.25">
      <c r="A44" s="4"/>
      <c r="B44" s="4"/>
      <c r="C44" s="4"/>
      <c r="D44" s="4" t="s">
        <v>73</v>
      </c>
      <c r="E44" s="4">
        <v>40341</v>
      </c>
    </row>
    <row r="45" spans="1:5" x14ac:dyDescent="0.25">
      <c r="A45" s="4"/>
      <c r="B45" s="4"/>
      <c r="C45" s="4" t="s">
        <v>74</v>
      </c>
      <c r="D45" s="4" t="s">
        <v>75</v>
      </c>
      <c r="E45" s="4">
        <v>40221</v>
      </c>
    </row>
    <row r="46" spans="1:5" x14ac:dyDescent="0.25">
      <c r="A46" s="4"/>
      <c r="B46" s="4"/>
      <c r="C46" s="4" t="s">
        <v>76</v>
      </c>
      <c r="D46" s="4" t="s">
        <v>77</v>
      </c>
      <c r="E46" s="4">
        <v>40675</v>
      </c>
    </row>
    <row r="47" spans="1:5" x14ac:dyDescent="0.25">
      <c r="A47" s="4"/>
      <c r="B47" s="4"/>
      <c r="C47" s="4" t="s">
        <v>78</v>
      </c>
      <c r="D47" s="4" t="s">
        <v>79</v>
      </c>
      <c r="E47" s="4">
        <v>43619</v>
      </c>
    </row>
    <row r="48" spans="1:5" x14ac:dyDescent="0.25">
      <c r="A48" s="4"/>
      <c r="B48" s="4"/>
      <c r="C48" s="4"/>
      <c r="D48" s="4" t="s">
        <v>80</v>
      </c>
      <c r="E48" s="4">
        <v>43617</v>
      </c>
    </row>
    <row r="49" spans="1:5" x14ac:dyDescent="0.25">
      <c r="A49" s="4"/>
      <c r="B49" s="4"/>
      <c r="C49" s="4" t="s">
        <v>81</v>
      </c>
      <c r="D49" s="4" t="s">
        <v>82</v>
      </c>
      <c r="E49" s="4">
        <v>82380</v>
      </c>
    </row>
    <row r="50" spans="1:5" x14ac:dyDescent="0.25">
      <c r="A50" s="4"/>
      <c r="B50" s="4"/>
      <c r="C50" s="4"/>
      <c r="D50" s="4" t="s">
        <v>83</v>
      </c>
      <c r="E50" s="4">
        <v>41650</v>
      </c>
    </row>
    <row r="51" spans="1:5" x14ac:dyDescent="0.25">
      <c r="A51" s="4"/>
      <c r="B51" s="4"/>
      <c r="C51" s="4" t="s">
        <v>84</v>
      </c>
      <c r="D51" s="4" t="s">
        <v>85</v>
      </c>
      <c r="E51" s="4">
        <v>39923</v>
      </c>
    </row>
    <row r="52" spans="1:5" x14ac:dyDescent="0.25">
      <c r="A52" s="4"/>
      <c r="B52" s="4"/>
      <c r="C52" s="4" t="s">
        <v>86</v>
      </c>
      <c r="D52" s="4" t="s">
        <v>86</v>
      </c>
      <c r="E52" s="4">
        <v>42371</v>
      </c>
    </row>
    <row r="53" spans="1:5" x14ac:dyDescent="0.25">
      <c r="A53" s="4"/>
      <c r="B53" s="4" t="s">
        <v>12</v>
      </c>
      <c r="C53" s="4" t="s">
        <v>87</v>
      </c>
      <c r="D53" s="4" t="s">
        <v>88</v>
      </c>
      <c r="E53" s="4">
        <v>41177</v>
      </c>
    </row>
    <row r="54" spans="1:5" x14ac:dyDescent="0.25">
      <c r="A54" s="4"/>
      <c r="B54" s="4"/>
      <c r="C54" s="4"/>
      <c r="D54" s="4" t="s">
        <v>89</v>
      </c>
      <c r="E54" s="4">
        <v>41809</v>
      </c>
    </row>
    <row r="55" spans="1:5" x14ac:dyDescent="0.25">
      <c r="A55" s="4"/>
      <c r="B55" s="4"/>
      <c r="C55" s="4"/>
      <c r="D55" s="4" t="s">
        <v>90</v>
      </c>
      <c r="E55" s="4">
        <v>41178</v>
      </c>
    </row>
    <row r="56" spans="1:5" x14ac:dyDescent="0.25">
      <c r="A56" s="4"/>
      <c r="B56" s="4"/>
      <c r="C56" s="4"/>
      <c r="D56" s="4" t="s">
        <v>91</v>
      </c>
      <c r="E56" s="4">
        <v>41810</v>
      </c>
    </row>
    <row r="57" spans="1:5" x14ac:dyDescent="0.25">
      <c r="A57" s="4"/>
      <c r="B57" s="4"/>
      <c r="C57" s="4" t="s">
        <v>92</v>
      </c>
      <c r="D57" s="4" t="s">
        <v>93</v>
      </c>
      <c r="E57" s="4">
        <v>38967</v>
      </c>
    </row>
    <row r="58" spans="1:5" x14ac:dyDescent="0.25">
      <c r="A58" s="4"/>
      <c r="B58" s="4"/>
      <c r="C58" s="4"/>
      <c r="D58" s="4" t="s">
        <v>94</v>
      </c>
      <c r="E58" s="4">
        <v>41589</v>
      </c>
    </row>
    <row r="59" spans="1:5" x14ac:dyDescent="0.25">
      <c r="A59" s="4"/>
      <c r="B59" s="4"/>
      <c r="C59" s="4"/>
      <c r="D59" s="4" t="s">
        <v>95</v>
      </c>
      <c r="E59" s="4">
        <v>43571</v>
      </c>
    </row>
    <row r="60" spans="1:5" x14ac:dyDescent="0.25">
      <c r="A60" s="4"/>
      <c r="B60" s="4"/>
      <c r="C60" s="4"/>
      <c r="D60" s="4" t="s">
        <v>96</v>
      </c>
      <c r="E60" s="4">
        <v>43575</v>
      </c>
    </row>
    <row r="61" spans="1:5" x14ac:dyDescent="0.25">
      <c r="A61" s="4"/>
      <c r="B61" s="4"/>
      <c r="C61" s="4"/>
      <c r="D61" s="4" t="s">
        <v>97</v>
      </c>
      <c r="E61" s="4">
        <v>43573</v>
      </c>
    </row>
    <row r="62" spans="1:5" x14ac:dyDescent="0.25">
      <c r="A62" s="4"/>
      <c r="B62" s="4"/>
      <c r="C62" s="4"/>
      <c r="D62" s="4" t="s">
        <v>98</v>
      </c>
      <c r="E62" s="4">
        <v>43577</v>
      </c>
    </row>
    <row r="63" spans="1:5" x14ac:dyDescent="0.25">
      <c r="A63" s="4"/>
      <c r="B63" s="4"/>
      <c r="C63" s="4" t="s">
        <v>99</v>
      </c>
      <c r="D63" s="4" t="s">
        <v>100</v>
      </c>
      <c r="E63" s="4">
        <v>40772</v>
      </c>
    </row>
    <row r="64" spans="1:5" x14ac:dyDescent="0.25">
      <c r="A64" s="4"/>
      <c r="B64" s="4"/>
      <c r="C64" s="4"/>
      <c r="D64" s="4" t="s">
        <v>101</v>
      </c>
      <c r="E64" s="4">
        <v>41701</v>
      </c>
    </row>
    <row r="65" spans="1:5" x14ac:dyDescent="0.25">
      <c r="A65" s="4"/>
      <c r="B65" s="4"/>
      <c r="C65" s="4"/>
      <c r="D65" s="4" t="s">
        <v>102</v>
      </c>
      <c r="E65" s="4">
        <v>41700</v>
      </c>
    </row>
    <row r="66" spans="1:5" x14ac:dyDescent="0.25">
      <c r="A66" s="4"/>
      <c r="B66" s="4"/>
      <c r="C66" s="4"/>
      <c r="D66" s="4" t="s">
        <v>103</v>
      </c>
      <c r="E66" s="4">
        <v>40771</v>
      </c>
    </row>
    <row r="67" spans="1:5" x14ac:dyDescent="0.25">
      <c r="A67" s="4"/>
      <c r="B67" s="4"/>
      <c r="C67" s="4" t="s">
        <v>104</v>
      </c>
      <c r="D67" s="4" t="s">
        <v>105</v>
      </c>
      <c r="E67" s="4">
        <v>41804</v>
      </c>
    </row>
    <row r="68" spans="1:5" x14ac:dyDescent="0.25">
      <c r="A68" s="4"/>
      <c r="B68" s="4"/>
      <c r="C68" s="4"/>
      <c r="D68" s="4" t="s">
        <v>106</v>
      </c>
      <c r="E68" s="4">
        <v>41181</v>
      </c>
    </row>
    <row r="69" spans="1:5" x14ac:dyDescent="0.25">
      <c r="A69" s="4"/>
      <c r="B69" s="4"/>
      <c r="C69" s="4"/>
      <c r="D69" s="4" t="s">
        <v>107</v>
      </c>
      <c r="E69" s="4">
        <v>41805</v>
      </c>
    </row>
    <row r="70" spans="1:5" x14ac:dyDescent="0.25">
      <c r="A70" s="4"/>
      <c r="B70" s="4"/>
      <c r="C70" s="4"/>
      <c r="D70" s="4" t="s">
        <v>108</v>
      </c>
      <c r="E70" s="4">
        <v>41182</v>
      </c>
    </row>
    <row r="71" spans="1:5" x14ac:dyDescent="0.25">
      <c r="A71" s="4"/>
      <c r="B71" s="4"/>
      <c r="C71" s="4" t="s">
        <v>109</v>
      </c>
      <c r="D71" s="4" t="s">
        <v>110</v>
      </c>
      <c r="E71" s="4">
        <v>41759</v>
      </c>
    </row>
    <row r="72" spans="1:5" x14ac:dyDescent="0.25">
      <c r="A72" s="4"/>
      <c r="B72" s="4"/>
      <c r="C72" s="4"/>
      <c r="D72" s="4" t="s">
        <v>111</v>
      </c>
      <c r="E72" s="4">
        <v>41758</v>
      </c>
    </row>
    <row r="73" spans="1:5" x14ac:dyDescent="0.25">
      <c r="A73" s="4"/>
      <c r="B73" s="4"/>
      <c r="C73" s="4" t="s">
        <v>112</v>
      </c>
      <c r="D73" s="4" t="s">
        <v>113</v>
      </c>
      <c r="E73" s="4">
        <v>39015</v>
      </c>
    </row>
    <row r="74" spans="1:5" x14ac:dyDescent="0.25">
      <c r="A74" s="4"/>
      <c r="B74" s="4"/>
      <c r="C74" s="4"/>
      <c r="D74" s="4" t="s">
        <v>114</v>
      </c>
      <c r="E74" s="4">
        <v>39016</v>
      </c>
    </row>
    <row r="75" spans="1:5" x14ac:dyDescent="0.25">
      <c r="A75" s="4"/>
      <c r="B75" s="4"/>
      <c r="C75" s="4" t="s">
        <v>115</v>
      </c>
      <c r="D75" s="4" t="s">
        <v>116</v>
      </c>
      <c r="E75" s="4">
        <v>41598</v>
      </c>
    </row>
    <row r="76" spans="1:5" x14ac:dyDescent="0.25">
      <c r="A76" s="4"/>
      <c r="B76" s="4"/>
      <c r="C76" s="4"/>
      <c r="D76" s="4" t="s">
        <v>117</v>
      </c>
      <c r="E76" s="4">
        <v>41597</v>
      </c>
    </row>
    <row r="77" spans="1:5" x14ac:dyDescent="0.25">
      <c r="A77" s="4"/>
      <c r="B77" s="4" t="s">
        <v>118</v>
      </c>
      <c r="C77" s="4" t="s">
        <v>119</v>
      </c>
      <c r="D77" s="4" t="s">
        <v>119</v>
      </c>
      <c r="E77" s="4">
        <v>6250</v>
      </c>
    </row>
    <row r="78" spans="1:5" x14ac:dyDescent="0.25">
      <c r="A78" s="4"/>
      <c r="B78" s="4"/>
      <c r="C78" s="4" t="s">
        <v>120</v>
      </c>
      <c r="D78" s="4" t="s">
        <v>120</v>
      </c>
      <c r="E78" s="4">
        <v>5645</v>
      </c>
    </row>
    <row r="79" spans="1:5" x14ac:dyDescent="0.25">
      <c r="A79" s="4"/>
      <c r="B79" s="4" t="s">
        <v>121</v>
      </c>
      <c r="C79" s="4" t="s">
        <v>122</v>
      </c>
      <c r="D79" s="4" t="s">
        <v>122</v>
      </c>
      <c r="E79" s="4">
        <v>33752</v>
      </c>
    </row>
    <row r="80" spans="1:5" x14ac:dyDescent="0.25">
      <c r="A80" s="4" t="s">
        <v>123</v>
      </c>
      <c r="B80" s="4" t="s">
        <v>123</v>
      </c>
      <c r="C80" s="4" t="s">
        <v>124</v>
      </c>
      <c r="D80" s="4" t="s">
        <v>125</v>
      </c>
      <c r="E80" s="4">
        <v>41824</v>
      </c>
    </row>
    <row r="81" spans="1:5" x14ac:dyDescent="0.25">
      <c r="A81" s="4"/>
      <c r="B81" s="4"/>
      <c r="C81" s="4"/>
      <c r="D81" s="4" t="s">
        <v>126</v>
      </c>
      <c r="E81" s="4">
        <v>41825</v>
      </c>
    </row>
    <row r="82" spans="1:5" x14ac:dyDescent="0.25">
      <c r="A82" s="4"/>
      <c r="B82" s="4"/>
      <c r="C82" s="4" t="s">
        <v>127</v>
      </c>
      <c r="D82" s="4" t="s">
        <v>128</v>
      </c>
      <c r="E82" s="4">
        <v>36894</v>
      </c>
    </row>
    <row r="83" spans="1:5" x14ac:dyDescent="0.25">
      <c r="A83" s="4"/>
      <c r="B83" s="4"/>
      <c r="C83" s="4" t="s">
        <v>129</v>
      </c>
      <c r="D83" s="4" t="s">
        <v>130</v>
      </c>
      <c r="E83" s="4">
        <v>36896</v>
      </c>
    </row>
    <row r="84" spans="1:5" x14ac:dyDescent="0.25">
      <c r="A84" s="4"/>
      <c r="B84" s="4"/>
      <c r="C84" s="4" t="s">
        <v>131</v>
      </c>
      <c r="D84" s="4" t="s">
        <v>132</v>
      </c>
      <c r="E84" s="4">
        <v>36898</v>
      </c>
    </row>
    <row r="85" spans="1:5" x14ac:dyDescent="0.25">
      <c r="A85" s="4"/>
      <c r="B85" s="4"/>
      <c r="C85" s="4" t="s">
        <v>133</v>
      </c>
      <c r="D85" s="4" t="s">
        <v>134</v>
      </c>
      <c r="E85" s="4">
        <v>36900</v>
      </c>
    </row>
    <row r="86" spans="1:5" x14ac:dyDescent="0.25">
      <c r="A86" s="4"/>
      <c r="B86" s="4"/>
      <c r="C86" s="4" t="s">
        <v>135</v>
      </c>
      <c r="D86" s="4" t="s">
        <v>136</v>
      </c>
      <c r="E86" s="4">
        <v>18965</v>
      </c>
    </row>
    <row r="87" spans="1:5" x14ac:dyDescent="0.25">
      <c r="A87" s="4"/>
      <c r="B87" s="4"/>
      <c r="C87" s="4" t="s">
        <v>137</v>
      </c>
      <c r="D87" s="4" t="s">
        <v>138</v>
      </c>
      <c r="E87" s="4">
        <v>8778</v>
      </c>
    </row>
    <row r="88" spans="1:5" x14ac:dyDescent="0.25">
      <c r="A88" s="4"/>
      <c r="B88" s="4"/>
      <c r="C88" s="4" t="s">
        <v>139</v>
      </c>
      <c r="D88" s="4" t="s">
        <v>140</v>
      </c>
      <c r="E88" s="4">
        <v>20508</v>
      </c>
    </row>
    <row r="89" spans="1:5" x14ac:dyDescent="0.25">
      <c r="A89" s="4"/>
      <c r="B89" s="4"/>
      <c r="C89" s="4" t="s">
        <v>141</v>
      </c>
      <c r="D89" s="4" t="s">
        <v>142</v>
      </c>
      <c r="E89" s="4">
        <v>20510</v>
      </c>
    </row>
    <row r="90" spans="1:5" x14ac:dyDescent="0.25">
      <c r="A90" s="4"/>
      <c r="B90" s="4"/>
      <c r="C90" s="4" t="s">
        <v>143</v>
      </c>
      <c r="D90" s="4" t="s">
        <v>144</v>
      </c>
      <c r="E90" s="4">
        <v>20512</v>
      </c>
    </row>
    <row r="91" spans="1:5" x14ac:dyDescent="0.25">
      <c r="A91" s="4"/>
      <c r="B91" s="4"/>
      <c r="C91" s="4" t="s">
        <v>145</v>
      </c>
      <c r="D91" s="4" t="s">
        <v>146</v>
      </c>
      <c r="E91" s="4">
        <v>20514</v>
      </c>
    </row>
    <row r="92" spans="1:5" x14ac:dyDescent="0.25">
      <c r="A92" s="4"/>
      <c r="B92" s="4"/>
      <c r="C92" s="4" t="s">
        <v>147</v>
      </c>
      <c r="D92" s="4" t="s">
        <v>148</v>
      </c>
      <c r="E92" s="4">
        <v>20516</v>
      </c>
    </row>
    <row r="93" spans="1:5" x14ac:dyDescent="0.25">
      <c r="A93" s="4"/>
      <c r="B93" s="4"/>
      <c r="C93" s="4" t="s">
        <v>149</v>
      </c>
      <c r="D93" s="4" t="s">
        <v>150</v>
      </c>
      <c r="E93" s="4">
        <v>20518</v>
      </c>
    </row>
    <row r="94" spans="1:5" x14ac:dyDescent="0.25">
      <c r="A94" s="4"/>
      <c r="B94" s="4"/>
      <c r="C94" s="4" t="s">
        <v>151</v>
      </c>
      <c r="D94" s="4" t="s">
        <v>152</v>
      </c>
      <c r="E94" s="4">
        <v>32668</v>
      </c>
    </row>
    <row r="95" spans="1:5" x14ac:dyDescent="0.25">
      <c r="A95" s="4"/>
      <c r="B95" s="4"/>
      <c r="C95" s="4" t="s">
        <v>153</v>
      </c>
      <c r="D95" s="4" t="s">
        <v>154</v>
      </c>
      <c r="E95" s="4">
        <v>32670</v>
      </c>
    </row>
    <row r="96" spans="1:5" x14ac:dyDescent="0.25">
      <c r="A96" s="4"/>
      <c r="B96" s="4"/>
      <c r="C96" s="4" t="s">
        <v>155</v>
      </c>
      <c r="D96" s="4" t="s">
        <v>156</v>
      </c>
      <c r="E96" s="4">
        <v>32672</v>
      </c>
    </row>
    <row r="97" spans="1:5" x14ac:dyDescent="0.25">
      <c r="A97" s="4"/>
      <c r="B97" s="4"/>
      <c r="C97" s="4" t="s">
        <v>157</v>
      </c>
      <c r="D97" s="4" t="s">
        <v>158</v>
      </c>
      <c r="E97" s="4">
        <v>32674</v>
      </c>
    </row>
    <row r="98" spans="1:5" x14ac:dyDescent="0.25">
      <c r="A98" s="4"/>
      <c r="B98" s="4"/>
      <c r="C98" s="4" t="s">
        <v>159</v>
      </c>
      <c r="D98" s="4" t="s">
        <v>160</v>
      </c>
      <c r="E98" s="4">
        <v>32676</v>
      </c>
    </row>
    <row r="99" spans="1:5" x14ac:dyDescent="0.25">
      <c r="A99" s="4"/>
      <c r="B99" s="4"/>
      <c r="C99" s="4" t="s">
        <v>161</v>
      </c>
      <c r="D99" s="4" t="s">
        <v>162</v>
      </c>
      <c r="E99" s="4">
        <v>38661</v>
      </c>
    </row>
    <row r="100" spans="1:5" x14ac:dyDescent="0.25">
      <c r="A100" s="4"/>
      <c r="B100" s="4"/>
      <c r="C100" s="4"/>
      <c r="D100" s="4" t="s">
        <v>163</v>
      </c>
      <c r="E100" s="4">
        <v>38663</v>
      </c>
    </row>
    <row r="101" spans="1:5" x14ac:dyDescent="0.25">
      <c r="A101" s="4"/>
      <c r="B101" s="4"/>
      <c r="C101" s="4"/>
      <c r="D101" s="4" t="s">
        <v>164</v>
      </c>
      <c r="E101" s="4">
        <v>38665</v>
      </c>
    </row>
    <row r="102" spans="1:5" x14ac:dyDescent="0.25">
      <c r="A102" s="4"/>
      <c r="B102" s="4"/>
      <c r="C102" s="4"/>
      <c r="D102" s="4" t="s">
        <v>165</v>
      </c>
      <c r="E102" s="4">
        <v>38687</v>
      </c>
    </row>
    <row r="103" spans="1:5" x14ac:dyDescent="0.25">
      <c r="A103" s="4"/>
      <c r="B103" s="4"/>
      <c r="C103" s="4"/>
      <c r="D103" s="4" t="s">
        <v>166</v>
      </c>
      <c r="E103" s="4">
        <v>38667</v>
      </c>
    </row>
    <row r="104" spans="1:5" x14ac:dyDescent="0.25">
      <c r="A104" s="4"/>
      <c r="B104" s="4"/>
      <c r="C104" s="4"/>
      <c r="D104" s="4" t="s">
        <v>167</v>
      </c>
      <c r="E104" s="4">
        <v>38681</v>
      </c>
    </row>
    <row r="105" spans="1:5" x14ac:dyDescent="0.25">
      <c r="A105" s="4"/>
      <c r="B105" s="4"/>
      <c r="C105" s="4"/>
      <c r="D105" s="4" t="s">
        <v>168</v>
      </c>
      <c r="E105" s="4">
        <v>38683</v>
      </c>
    </row>
    <row r="106" spans="1:5" x14ac:dyDescent="0.25">
      <c r="A106" s="4"/>
      <c r="B106" s="4"/>
      <c r="C106" s="4"/>
      <c r="D106" s="4" t="s">
        <v>169</v>
      </c>
      <c r="E106" s="4">
        <v>38685</v>
      </c>
    </row>
    <row r="107" spans="1:5" x14ac:dyDescent="0.25">
      <c r="A107" s="4"/>
      <c r="B107" s="4"/>
      <c r="C107" s="4" t="s">
        <v>170</v>
      </c>
      <c r="D107" s="4" t="s">
        <v>171</v>
      </c>
      <c r="E107" s="4">
        <v>35308</v>
      </c>
    </row>
    <row r="108" spans="1:5" x14ac:dyDescent="0.25">
      <c r="A108" s="4"/>
      <c r="B108" s="4"/>
      <c r="C108" s="4"/>
      <c r="D108" s="4" t="s">
        <v>172</v>
      </c>
      <c r="E108" s="4">
        <v>74578</v>
      </c>
    </row>
    <row r="109" spans="1:5" x14ac:dyDescent="0.25">
      <c r="A109" s="4"/>
      <c r="B109" s="4"/>
      <c r="C109" s="4"/>
      <c r="D109" s="4" t="s">
        <v>173</v>
      </c>
      <c r="E109" s="4">
        <v>105945</v>
      </c>
    </row>
    <row r="110" spans="1:5" x14ac:dyDescent="0.25">
      <c r="A110" s="4"/>
      <c r="B110" s="4"/>
      <c r="C110" s="4" t="s">
        <v>174</v>
      </c>
      <c r="D110" s="4" t="s">
        <v>175</v>
      </c>
      <c r="E110" s="4">
        <v>40021</v>
      </c>
    </row>
    <row r="111" spans="1:5" x14ac:dyDescent="0.25">
      <c r="A111" s="4"/>
      <c r="B111" s="4"/>
      <c r="C111" s="4" t="s">
        <v>176</v>
      </c>
      <c r="D111" s="4" t="s">
        <v>177</v>
      </c>
      <c r="E111" s="4">
        <v>41049</v>
      </c>
    </row>
    <row r="112" spans="1:5" x14ac:dyDescent="0.25">
      <c r="A112" s="4"/>
      <c r="B112" s="4"/>
      <c r="C112" s="4"/>
      <c r="D112" s="4" t="s">
        <v>178</v>
      </c>
      <c r="E112" s="4">
        <v>40101</v>
      </c>
    </row>
    <row r="113" spans="1:5" x14ac:dyDescent="0.25">
      <c r="A113" s="4"/>
      <c r="B113" s="4"/>
      <c r="C113" s="4" t="s">
        <v>179</v>
      </c>
      <c r="D113" s="4" t="s">
        <v>180</v>
      </c>
      <c r="E113" s="4">
        <v>41601</v>
      </c>
    </row>
    <row r="114" spans="1:5" x14ac:dyDescent="0.25">
      <c r="A114" s="4"/>
      <c r="B114" s="4"/>
      <c r="C114" s="4"/>
      <c r="D114" s="4" t="s">
        <v>181</v>
      </c>
      <c r="E114" s="4">
        <v>40261</v>
      </c>
    </row>
    <row r="115" spans="1:5" x14ac:dyDescent="0.25">
      <c r="A115" s="4"/>
      <c r="B115" s="4"/>
      <c r="C115" s="4" t="s">
        <v>182</v>
      </c>
      <c r="D115" s="4" t="s">
        <v>183</v>
      </c>
      <c r="E115" s="4">
        <v>39682</v>
      </c>
    </row>
    <row r="116" spans="1:5" x14ac:dyDescent="0.25">
      <c r="A116" s="4"/>
      <c r="B116" s="4"/>
      <c r="C116" s="4"/>
      <c r="D116" s="4" t="s">
        <v>184</v>
      </c>
      <c r="E116" s="4">
        <v>39681</v>
      </c>
    </row>
    <row r="117" spans="1:5" x14ac:dyDescent="0.25">
      <c r="A117" s="4"/>
      <c r="B117" s="4"/>
      <c r="C117" s="4" t="s">
        <v>185</v>
      </c>
      <c r="D117" s="4" t="s">
        <v>186</v>
      </c>
      <c r="E117" s="4">
        <v>41636</v>
      </c>
    </row>
    <row r="118" spans="1:5" x14ac:dyDescent="0.25">
      <c r="A118" s="4"/>
      <c r="B118" s="4"/>
      <c r="C118" s="4"/>
      <c r="D118" s="4" t="s">
        <v>187</v>
      </c>
      <c r="E118" s="4">
        <v>36827</v>
      </c>
    </row>
    <row r="119" spans="1:5" x14ac:dyDescent="0.25">
      <c r="A119" s="4"/>
      <c r="B119" s="4"/>
      <c r="C119" s="4" t="s">
        <v>188</v>
      </c>
      <c r="D119" s="4" t="s">
        <v>188</v>
      </c>
      <c r="E119" s="4">
        <v>37922</v>
      </c>
    </row>
    <row r="120" spans="1:5" x14ac:dyDescent="0.25">
      <c r="A120" s="4"/>
      <c r="B120" s="4"/>
      <c r="C120" s="4" t="s">
        <v>189</v>
      </c>
      <c r="D120" s="4" t="s">
        <v>189</v>
      </c>
      <c r="E120" s="4">
        <v>37924</v>
      </c>
    </row>
    <row r="121" spans="1:5" x14ac:dyDescent="0.25">
      <c r="A121" s="4"/>
      <c r="B121" s="4"/>
      <c r="C121" s="4" t="s">
        <v>190</v>
      </c>
      <c r="D121" s="4" t="s">
        <v>190</v>
      </c>
      <c r="E121" s="4">
        <v>37941</v>
      </c>
    </row>
    <row r="122" spans="1:5" x14ac:dyDescent="0.25">
      <c r="A122" s="4"/>
      <c r="B122" s="4"/>
      <c r="C122" s="4" t="s">
        <v>191</v>
      </c>
      <c r="D122" s="4" t="s">
        <v>191</v>
      </c>
      <c r="E122" s="4">
        <v>37943</v>
      </c>
    </row>
    <row r="123" spans="1:5" x14ac:dyDescent="0.25">
      <c r="A123" s="4"/>
      <c r="B123" s="4"/>
      <c r="C123" s="4" t="s">
        <v>192</v>
      </c>
      <c r="D123" s="4" t="s">
        <v>192</v>
      </c>
      <c r="E123" s="4">
        <v>37945</v>
      </c>
    </row>
    <row r="124" spans="1:5" x14ac:dyDescent="0.25">
      <c r="A124" s="4"/>
      <c r="B124" s="4"/>
      <c r="C124" s="4" t="s">
        <v>193</v>
      </c>
      <c r="D124" s="4" t="s">
        <v>194</v>
      </c>
      <c r="E124" s="4">
        <v>37951</v>
      </c>
    </row>
    <row r="125" spans="1:5" x14ac:dyDescent="0.25">
      <c r="A125" s="4"/>
      <c r="B125" s="4"/>
      <c r="C125" s="4" t="s">
        <v>195</v>
      </c>
      <c r="D125" s="4" t="s">
        <v>196</v>
      </c>
      <c r="E125" s="4">
        <v>31150</v>
      </c>
    </row>
    <row r="126" spans="1:5" x14ac:dyDescent="0.25">
      <c r="A126" s="4"/>
      <c r="B126" s="4"/>
      <c r="C126" s="4" t="s">
        <v>197</v>
      </c>
      <c r="D126" s="4" t="s">
        <v>198</v>
      </c>
      <c r="E126" s="4">
        <v>42069</v>
      </c>
    </row>
    <row r="127" spans="1:5" x14ac:dyDescent="0.25">
      <c r="A127" s="4"/>
      <c r="B127" s="4"/>
      <c r="C127" s="4"/>
      <c r="D127" s="4" t="s">
        <v>199</v>
      </c>
      <c r="E127" s="4">
        <v>42049</v>
      </c>
    </row>
    <row r="128" spans="1:5" x14ac:dyDescent="0.25">
      <c r="A128" s="4"/>
      <c r="B128" s="4"/>
      <c r="C128" s="4" t="s">
        <v>200</v>
      </c>
      <c r="D128" s="4" t="s">
        <v>201</v>
      </c>
      <c r="E128" s="4">
        <v>42078</v>
      </c>
    </row>
    <row r="129" spans="1:5" x14ac:dyDescent="0.25">
      <c r="A129" s="4"/>
      <c r="B129" s="4"/>
      <c r="C129" s="4"/>
      <c r="D129" s="4" t="s">
        <v>202</v>
      </c>
      <c r="E129" s="4">
        <v>42076</v>
      </c>
    </row>
    <row r="130" spans="1:5" x14ac:dyDescent="0.25">
      <c r="A130" s="4"/>
      <c r="B130" s="4"/>
      <c r="C130" s="4" t="s">
        <v>203</v>
      </c>
      <c r="D130" s="4" t="s">
        <v>204</v>
      </c>
      <c r="E130" s="4">
        <v>37449</v>
      </c>
    </row>
    <row r="131" spans="1:5" x14ac:dyDescent="0.25">
      <c r="A131" s="4"/>
      <c r="B131" s="4"/>
      <c r="C131" s="4"/>
      <c r="D131" s="4" t="s">
        <v>205</v>
      </c>
      <c r="E131" s="4">
        <v>37448</v>
      </c>
    </row>
    <row r="132" spans="1:5" x14ac:dyDescent="0.25">
      <c r="A132" s="4"/>
      <c r="B132" s="4"/>
      <c r="C132" s="4" t="s">
        <v>206</v>
      </c>
      <c r="D132" s="4" t="s">
        <v>207</v>
      </c>
      <c r="E132" s="4">
        <v>39721</v>
      </c>
    </row>
    <row r="133" spans="1:5" x14ac:dyDescent="0.25">
      <c r="A133" s="4"/>
      <c r="B133" s="4"/>
      <c r="C133" s="4"/>
      <c r="D133" s="4" t="s">
        <v>208</v>
      </c>
      <c r="E133" s="4">
        <v>41800</v>
      </c>
    </row>
    <row r="134" spans="1:5" x14ac:dyDescent="0.25">
      <c r="A134" s="4"/>
      <c r="B134" s="4"/>
      <c r="C134" s="4" t="s">
        <v>209</v>
      </c>
      <c r="D134" s="4" t="s">
        <v>210</v>
      </c>
      <c r="E134" s="4">
        <v>37947</v>
      </c>
    </row>
    <row r="135" spans="1:5" x14ac:dyDescent="0.25">
      <c r="A135" s="4"/>
      <c r="B135" s="4"/>
      <c r="C135" s="4" t="s">
        <v>211</v>
      </c>
      <c r="D135" s="4" t="s">
        <v>212</v>
      </c>
      <c r="E135" s="4">
        <v>33289</v>
      </c>
    </row>
    <row r="136" spans="1:5" x14ac:dyDescent="0.25">
      <c r="A136" s="4"/>
      <c r="B136" s="4"/>
      <c r="C136" s="4" t="s">
        <v>213</v>
      </c>
      <c r="D136" s="4" t="s">
        <v>214</v>
      </c>
      <c r="E136" s="4">
        <v>31043</v>
      </c>
    </row>
    <row r="137" spans="1:5" x14ac:dyDescent="0.25">
      <c r="A137" s="4"/>
      <c r="B137" s="4"/>
      <c r="C137" s="4" t="s">
        <v>215</v>
      </c>
      <c r="D137" s="4" t="s">
        <v>216</v>
      </c>
      <c r="E137" s="4">
        <v>31041</v>
      </c>
    </row>
    <row r="138" spans="1:5" x14ac:dyDescent="0.25">
      <c r="A138" s="4"/>
      <c r="B138" s="4"/>
      <c r="C138" s="4" t="s">
        <v>217</v>
      </c>
      <c r="D138" s="4" t="s">
        <v>218</v>
      </c>
      <c r="E138" s="4">
        <v>31039</v>
      </c>
    </row>
    <row r="139" spans="1:5" x14ac:dyDescent="0.25">
      <c r="A139" s="4"/>
      <c r="B139" s="4"/>
      <c r="C139" s="4" t="s">
        <v>219</v>
      </c>
      <c r="D139" s="4" t="s">
        <v>220</v>
      </c>
      <c r="E139" s="4">
        <v>41236</v>
      </c>
    </row>
    <row r="140" spans="1:5" x14ac:dyDescent="0.25">
      <c r="A140" s="4"/>
      <c r="B140" s="4"/>
      <c r="C140" s="4"/>
      <c r="D140" s="4" t="s">
        <v>221</v>
      </c>
      <c r="E140" s="4">
        <v>41233</v>
      </c>
    </row>
    <row r="141" spans="1:5" x14ac:dyDescent="0.25">
      <c r="A141" s="4"/>
      <c r="B141" s="4"/>
      <c r="C141" s="4"/>
      <c r="D141" s="4" t="s">
        <v>222</v>
      </c>
      <c r="E141" s="4">
        <v>41235</v>
      </c>
    </row>
    <row r="142" spans="1:5" x14ac:dyDescent="0.25">
      <c r="A142" s="4"/>
      <c r="B142" s="4"/>
      <c r="C142" s="4" t="s">
        <v>223</v>
      </c>
      <c r="D142" s="4" t="s">
        <v>224</v>
      </c>
      <c r="E142" s="4">
        <v>33109</v>
      </c>
    </row>
    <row r="143" spans="1:5" x14ac:dyDescent="0.25">
      <c r="A143" s="4"/>
      <c r="B143" s="4"/>
      <c r="C143" s="4" t="s">
        <v>225</v>
      </c>
      <c r="D143" s="4" t="s">
        <v>226</v>
      </c>
      <c r="E143" s="4">
        <v>33115</v>
      </c>
    </row>
    <row r="144" spans="1:5" x14ac:dyDescent="0.25">
      <c r="A144" s="4"/>
      <c r="B144" s="4"/>
      <c r="C144" s="4" t="s">
        <v>227</v>
      </c>
      <c r="D144" s="4" t="s">
        <v>48</v>
      </c>
      <c r="E144" s="4">
        <v>37841</v>
      </c>
    </row>
    <row r="145" spans="1:5" x14ac:dyDescent="0.25">
      <c r="A145" s="4"/>
      <c r="B145" s="4"/>
      <c r="C145" s="4" t="s">
        <v>228</v>
      </c>
      <c r="D145" s="4" t="s">
        <v>229</v>
      </c>
      <c r="E145" s="4">
        <v>43553</v>
      </c>
    </row>
    <row r="146" spans="1:5" x14ac:dyDescent="0.25">
      <c r="A146" s="4"/>
      <c r="B146" s="4"/>
      <c r="C146" s="4"/>
      <c r="D146" s="4" t="s">
        <v>230</v>
      </c>
      <c r="E146" s="4">
        <v>43789</v>
      </c>
    </row>
    <row r="147" spans="1:5" x14ac:dyDescent="0.25">
      <c r="A147" s="4"/>
      <c r="B147" s="4"/>
      <c r="C147" s="4"/>
      <c r="D147" s="4" t="s">
        <v>231</v>
      </c>
      <c r="E147" s="4">
        <v>43551</v>
      </c>
    </row>
    <row r="148" spans="1:5" x14ac:dyDescent="0.25">
      <c r="A148" s="4"/>
      <c r="B148" s="4"/>
      <c r="C148" s="4" t="s">
        <v>232</v>
      </c>
      <c r="D148" s="4" t="s">
        <v>233</v>
      </c>
      <c r="E148" s="4">
        <v>29158</v>
      </c>
    </row>
    <row r="149" spans="1:5" x14ac:dyDescent="0.25">
      <c r="A149" s="4"/>
      <c r="B149" s="4"/>
      <c r="C149" s="4" t="s">
        <v>234</v>
      </c>
      <c r="D149" s="4" t="s">
        <v>235</v>
      </c>
      <c r="E149" s="4">
        <v>35299</v>
      </c>
    </row>
    <row r="150" spans="1:5" x14ac:dyDescent="0.25">
      <c r="A150" s="4"/>
      <c r="B150" s="4"/>
      <c r="C150" s="4"/>
      <c r="D150" s="4" t="s">
        <v>236</v>
      </c>
      <c r="E150" s="4">
        <v>32848</v>
      </c>
    </row>
    <row r="151" spans="1:5" x14ac:dyDescent="0.25">
      <c r="A151" s="4"/>
      <c r="B151" s="4"/>
      <c r="C151" s="4" t="s">
        <v>237</v>
      </c>
      <c r="D151" s="4" t="s">
        <v>238</v>
      </c>
      <c r="E151" s="4">
        <v>35293</v>
      </c>
    </row>
    <row r="152" spans="1:5" x14ac:dyDescent="0.25">
      <c r="A152" s="4"/>
      <c r="B152" s="4"/>
      <c r="C152" s="4"/>
      <c r="D152" s="4" t="s">
        <v>239</v>
      </c>
      <c r="E152" s="4">
        <v>30880</v>
      </c>
    </row>
    <row r="153" spans="1:5" x14ac:dyDescent="0.25">
      <c r="A153" s="4"/>
      <c r="B153" s="4"/>
      <c r="C153" s="4" t="s">
        <v>240</v>
      </c>
      <c r="D153" s="4" t="s">
        <v>241</v>
      </c>
      <c r="E153" s="4">
        <v>30710</v>
      </c>
    </row>
    <row r="154" spans="1:5" x14ac:dyDescent="0.25">
      <c r="A154" s="4"/>
      <c r="B154" s="4"/>
      <c r="C154" s="4" t="s">
        <v>242</v>
      </c>
      <c r="D154" s="4" t="s">
        <v>243</v>
      </c>
      <c r="E154" s="4">
        <v>36211</v>
      </c>
    </row>
    <row r="155" spans="1:5" x14ac:dyDescent="0.25">
      <c r="A155" s="4"/>
      <c r="B155" s="4"/>
      <c r="C155" s="4"/>
      <c r="D155" s="4" t="s">
        <v>244</v>
      </c>
      <c r="E155" s="4">
        <v>41633</v>
      </c>
    </row>
    <row r="156" spans="1:5" x14ac:dyDescent="0.25">
      <c r="A156" s="4"/>
      <c r="B156" s="4"/>
      <c r="C156" s="4"/>
      <c r="D156" s="4" t="s">
        <v>245</v>
      </c>
      <c r="E156" s="4">
        <v>31036</v>
      </c>
    </row>
    <row r="157" spans="1:5" x14ac:dyDescent="0.25">
      <c r="A157" s="4"/>
      <c r="B157" s="4"/>
      <c r="C157" s="4" t="s">
        <v>246</v>
      </c>
      <c r="D157" s="4" t="s">
        <v>247</v>
      </c>
      <c r="E157" s="4">
        <v>35298</v>
      </c>
    </row>
    <row r="158" spans="1:5" x14ac:dyDescent="0.25">
      <c r="A158" s="4"/>
      <c r="B158" s="4"/>
      <c r="C158" s="4"/>
      <c r="D158" s="4" t="s">
        <v>248</v>
      </c>
      <c r="E158" s="4">
        <v>32680</v>
      </c>
    </row>
    <row r="159" spans="1:5" x14ac:dyDescent="0.25">
      <c r="A159" s="4"/>
      <c r="B159" s="4"/>
      <c r="C159" s="4" t="s">
        <v>249</v>
      </c>
      <c r="D159" s="4" t="s">
        <v>249</v>
      </c>
      <c r="E159" s="4">
        <v>38904</v>
      </c>
    </row>
    <row r="160" spans="1:5" x14ac:dyDescent="0.25">
      <c r="A160" s="4"/>
      <c r="B160" s="4"/>
      <c r="C160" s="4"/>
      <c r="D160" s="4" t="s">
        <v>250</v>
      </c>
      <c r="E160" s="4">
        <v>41790</v>
      </c>
    </row>
    <row r="161" spans="1:5" x14ac:dyDescent="0.25">
      <c r="A161" s="4"/>
      <c r="B161" s="4"/>
      <c r="C161" s="4" t="s">
        <v>251</v>
      </c>
      <c r="D161" s="4" t="s">
        <v>251</v>
      </c>
      <c r="E161" s="4">
        <v>38903</v>
      </c>
    </row>
    <row r="162" spans="1:5" x14ac:dyDescent="0.25">
      <c r="A162" s="4"/>
      <c r="B162" s="4"/>
      <c r="C162" s="4" t="s">
        <v>252</v>
      </c>
      <c r="D162" s="4" t="s">
        <v>253</v>
      </c>
      <c r="E162" s="4">
        <v>30714</v>
      </c>
    </row>
    <row r="163" spans="1:5" x14ac:dyDescent="0.25">
      <c r="A163" s="4"/>
      <c r="B163" s="4"/>
      <c r="C163" s="4" t="s">
        <v>254</v>
      </c>
      <c r="D163" s="4" t="s">
        <v>255</v>
      </c>
      <c r="E163" s="4">
        <v>43429</v>
      </c>
    </row>
    <row r="164" spans="1:5" x14ac:dyDescent="0.25">
      <c r="A164" s="4" t="s">
        <v>256</v>
      </c>
      <c r="B164" s="4" t="s">
        <v>256</v>
      </c>
      <c r="C164" s="4"/>
      <c r="D164" s="4"/>
      <c r="E164" s="4">
        <v>329673</v>
      </c>
    </row>
    <row r="165" spans="1:5" x14ac:dyDescent="0.25">
      <c r="A165" s="4" t="s">
        <v>257</v>
      </c>
      <c r="B165" s="4" t="s">
        <v>257</v>
      </c>
      <c r="C165" s="4"/>
      <c r="D165" s="4"/>
      <c r="E165" s="4">
        <v>174337</v>
      </c>
    </row>
    <row r="166" spans="1:5" x14ac:dyDescent="0.25">
      <c r="A166" s="4"/>
      <c r="B166" s="4" t="s">
        <v>6</v>
      </c>
      <c r="C166" s="4" t="s">
        <v>258</v>
      </c>
      <c r="D166" s="4" t="s">
        <v>259</v>
      </c>
      <c r="E166" s="4">
        <v>41149</v>
      </c>
    </row>
    <row r="167" spans="1:5" x14ac:dyDescent="0.25">
      <c r="A167" s="4"/>
      <c r="B167" s="4"/>
      <c r="C167" s="4"/>
      <c r="D167" s="4" t="s">
        <v>260</v>
      </c>
      <c r="E167" s="4">
        <v>41652</v>
      </c>
    </row>
    <row r="168" spans="1:5" x14ac:dyDescent="0.25">
      <c r="A168" s="4"/>
      <c r="B168" s="4"/>
      <c r="C168" s="4" t="s">
        <v>261</v>
      </c>
      <c r="D168" s="4" t="s">
        <v>261</v>
      </c>
      <c r="E168" s="4">
        <v>39071</v>
      </c>
    </row>
    <row r="169" spans="1:5" x14ac:dyDescent="0.25">
      <c r="A169" s="4"/>
      <c r="B169" s="4" t="s">
        <v>12</v>
      </c>
      <c r="C169" s="4" t="s">
        <v>262</v>
      </c>
      <c r="D169" s="4" t="s">
        <v>263</v>
      </c>
      <c r="E169" s="4">
        <v>42689</v>
      </c>
    </row>
    <row r="170" spans="1:5" x14ac:dyDescent="0.25">
      <c r="A170" s="4"/>
      <c r="B170" s="4"/>
      <c r="C170" s="4"/>
      <c r="D170" s="4" t="s">
        <v>264</v>
      </c>
      <c r="E170" s="4">
        <v>42709</v>
      </c>
    </row>
    <row r="171" spans="1:5" x14ac:dyDescent="0.25">
      <c r="A171" s="4"/>
      <c r="B171" s="4"/>
      <c r="C171" s="4"/>
      <c r="D171" s="4" t="s">
        <v>265</v>
      </c>
      <c r="E171" s="4">
        <v>42691</v>
      </c>
    </row>
    <row r="172" spans="1:5" x14ac:dyDescent="0.25">
      <c r="A172" s="4"/>
      <c r="B172" s="4"/>
      <c r="C172" s="4"/>
      <c r="D172" s="4" t="s">
        <v>266</v>
      </c>
      <c r="E172" s="4">
        <v>42712</v>
      </c>
    </row>
    <row r="173" spans="1:5" x14ac:dyDescent="0.25">
      <c r="A173" s="4"/>
      <c r="B173" s="4"/>
      <c r="C173" s="4" t="s">
        <v>267</v>
      </c>
      <c r="D173" s="4" t="s">
        <v>268</v>
      </c>
      <c r="E173" s="4">
        <v>40962</v>
      </c>
    </row>
    <row r="174" spans="1:5" x14ac:dyDescent="0.25">
      <c r="A174" s="4"/>
      <c r="B174" s="4"/>
      <c r="C174" s="4"/>
      <c r="D174" s="4" t="s">
        <v>269</v>
      </c>
      <c r="E174" s="4">
        <v>41802</v>
      </c>
    </row>
    <row r="175" spans="1:5" x14ac:dyDescent="0.25">
      <c r="A175" s="4"/>
      <c r="B175" s="4"/>
      <c r="C175" s="4" t="s">
        <v>270</v>
      </c>
      <c r="D175" s="4" t="s">
        <v>271</v>
      </c>
      <c r="E175" s="4">
        <v>40162</v>
      </c>
    </row>
    <row r="176" spans="1:5" x14ac:dyDescent="0.25">
      <c r="A176" s="4"/>
      <c r="B176" s="4"/>
      <c r="C176" s="4"/>
      <c r="D176" s="4" t="s">
        <v>272</v>
      </c>
      <c r="E176" s="4">
        <v>40161</v>
      </c>
    </row>
    <row r="177" spans="1:5" x14ac:dyDescent="0.25">
      <c r="A177" s="4"/>
      <c r="B177" s="4"/>
      <c r="C177" s="4"/>
      <c r="D177" s="4" t="s">
        <v>273</v>
      </c>
      <c r="E177" s="4">
        <v>42389</v>
      </c>
    </row>
    <row r="178" spans="1:5" x14ac:dyDescent="0.25">
      <c r="A178" s="4"/>
      <c r="B178" s="4"/>
      <c r="C178" s="4" t="s">
        <v>274</v>
      </c>
      <c r="D178" s="4" t="s">
        <v>274</v>
      </c>
      <c r="E178" s="4">
        <v>42339</v>
      </c>
    </row>
    <row r="179" spans="1:5" x14ac:dyDescent="0.25">
      <c r="A179" s="4"/>
      <c r="B179" s="4"/>
      <c r="C179" s="4"/>
      <c r="D179" s="4" t="s">
        <v>275</v>
      </c>
      <c r="E179" s="4">
        <v>42341</v>
      </c>
    </row>
    <row r="180" spans="1:5" x14ac:dyDescent="0.25">
      <c r="A180" s="4"/>
      <c r="B180" s="4"/>
      <c r="C180" s="4" t="s">
        <v>276</v>
      </c>
      <c r="D180" s="4" t="s">
        <v>277</v>
      </c>
      <c r="E180" s="4">
        <v>43615</v>
      </c>
    </row>
    <row r="181" spans="1:5" x14ac:dyDescent="0.25">
      <c r="A181" s="4"/>
      <c r="B181" s="4"/>
      <c r="C181" s="4"/>
      <c r="D181" s="4" t="s">
        <v>278</v>
      </c>
      <c r="E181" s="4">
        <v>43613</v>
      </c>
    </row>
    <row r="182" spans="1:5" x14ac:dyDescent="0.25">
      <c r="A182" s="4" t="s">
        <v>279</v>
      </c>
      <c r="B182" s="4" t="s">
        <v>279</v>
      </c>
      <c r="C182" s="4"/>
      <c r="D182" s="4"/>
      <c r="E182" s="4">
        <v>6895888</v>
      </c>
    </row>
    <row r="183" spans="1:5" x14ac:dyDescent="0.25">
      <c r="A183" s="4" t="s">
        <v>280</v>
      </c>
      <c r="B183" s="4" t="s">
        <v>280</v>
      </c>
      <c r="C183" s="4"/>
      <c r="D183" s="4"/>
      <c r="E183" s="4">
        <v>1814265</v>
      </c>
    </row>
    <row r="184" spans="1:5" x14ac:dyDescent="0.25">
      <c r="A184" s="4" t="s">
        <v>50</v>
      </c>
      <c r="B184" s="4" t="s">
        <v>50</v>
      </c>
      <c r="C184" s="4" t="s">
        <v>281</v>
      </c>
      <c r="D184" s="4" t="s">
        <v>282</v>
      </c>
      <c r="E184" s="4">
        <v>43751</v>
      </c>
    </row>
    <row r="185" spans="1:5" x14ac:dyDescent="0.25">
      <c r="A185" s="4"/>
      <c r="B185" s="4"/>
      <c r="C185" s="4"/>
      <c r="D185" s="4" t="s">
        <v>283</v>
      </c>
      <c r="E185" s="4">
        <v>36649</v>
      </c>
    </row>
    <row r="186" spans="1:5" x14ac:dyDescent="0.25">
      <c r="A186" s="4"/>
      <c r="B186" s="4"/>
      <c r="C186" s="4"/>
      <c r="D186" s="4" t="s">
        <v>284</v>
      </c>
      <c r="E186" s="4">
        <v>43091</v>
      </c>
    </row>
    <row r="187" spans="1:5" x14ac:dyDescent="0.25">
      <c r="A187" s="4" t="s">
        <v>285</v>
      </c>
      <c r="B187" s="4" t="s">
        <v>285</v>
      </c>
      <c r="C187" s="4"/>
      <c r="D187" s="4"/>
      <c r="E187" s="4">
        <v>161919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F495"/>
  <sheetViews>
    <sheetView workbookViewId="0">
      <selection activeCell="D3" sqref="D3"/>
    </sheetView>
  </sheetViews>
  <sheetFormatPr defaultColWidth="11.42578125" defaultRowHeight="15" x14ac:dyDescent="0.25"/>
  <cols>
    <col min="1" max="2" width="19.140625" bestFit="1" customWidth="1"/>
    <col min="3" max="3" width="32.42578125" bestFit="1" customWidth="1"/>
    <col min="4" max="4" width="27.7109375" bestFit="1" customWidth="1"/>
    <col min="5" max="5" width="61.7109375" bestFit="1" customWidth="1"/>
    <col min="6" max="6" width="27.28515625" bestFit="1" customWidth="1"/>
  </cols>
  <sheetData>
    <row r="3" spans="1:6" x14ac:dyDescent="0.25">
      <c r="A3" s="7" t="s">
        <v>0</v>
      </c>
      <c r="B3" s="7" t="s">
        <v>1</v>
      </c>
      <c r="C3" s="7" t="s">
        <v>286</v>
      </c>
      <c r="D3" s="7" t="s">
        <v>2</v>
      </c>
      <c r="E3" s="7" t="s">
        <v>3</v>
      </c>
      <c r="F3" s="7" t="s">
        <v>287</v>
      </c>
    </row>
    <row r="4" spans="1:6" x14ac:dyDescent="0.25">
      <c r="A4" t="s">
        <v>5</v>
      </c>
      <c r="B4" t="s">
        <v>6</v>
      </c>
      <c r="C4" t="s">
        <v>288</v>
      </c>
      <c r="D4" t="s">
        <v>11</v>
      </c>
      <c r="E4" t="s">
        <v>11</v>
      </c>
      <c r="F4" t="s">
        <v>289</v>
      </c>
    </row>
    <row r="5" spans="1:6" x14ac:dyDescent="0.25">
      <c r="C5" t="s">
        <v>290</v>
      </c>
      <c r="D5" t="s">
        <v>7</v>
      </c>
      <c r="E5" t="s">
        <v>8</v>
      </c>
      <c r="F5" t="s">
        <v>291</v>
      </c>
    </row>
    <row r="6" spans="1:6" x14ac:dyDescent="0.25">
      <c r="E6" t="s">
        <v>10</v>
      </c>
      <c r="F6" t="s">
        <v>291</v>
      </c>
    </row>
    <row r="7" spans="1:6" x14ac:dyDescent="0.25">
      <c r="C7" t="s">
        <v>292</v>
      </c>
      <c r="D7" t="s">
        <v>293</v>
      </c>
      <c r="E7" t="s">
        <v>294</v>
      </c>
      <c r="F7" t="s">
        <v>295</v>
      </c>
    </row>
    <row r="8" spans="1:6" x14ac:dyDescent="0.25">
      <c r="B8" t="s">
        <v>12</v>
      </c>
      <c r="C8" t="s">
        <v>296</v>
      </c>
      <c r="D8" t="s">
        <v>296</v>
      </c>
      <c r="E8" t="s">
        <v>297</v>
      </c>
      <c r="F8" t="s">
        <v>298</v>
      </c>
    </row>
    <row r="9" spans="1:6" x14ac:dyDescent="0.25">
      <c r="C9" t="s">
        <v>299</v>
      </c>
      <c r="D9" t="s">
        <v>300</v>
      </c>
      <c r="E9" t="s">
        <v>301</v>
      </c>
      <c r="F9" t="s">
        <v>302</v>
      </c>
    </row>
    <row r="10" spans="1:6" x14ac:dyDescent="0.25">
      <c r="F10" t="s">
        <v>303</v>
      </c>
    </row>
    <row r="11" spans="1:6" x14ac:dyDescent="0.25">
      <c r="C11" t="s">
        <v>122</v>
      </c>
      <c r="D11" t="s">
        <v>16</v>
      </c>
      <c r="E11" t="s">
        <v>17</v>
      </c>
      <c r="F11" t="s">
        <v>304</v>
      </c>
    </row>
    <row r="12" spans="1:6" x14ac:dyDescent="0.25">
      <c r="E12" t="s">
        <v>18</v>
      </c>
      <c r="F12" t="s">
        <v>304</v>
      </c>
    </row>
    <row r="13" spans="1:6" x14ac:dyDescent="0.25">
      <c r="C13" t="s">
        <v>305</v>
      </c>
      <c r="D13" t="s">
        <v>24</v>
      </c>
      <c r="E13" t="s">
        <v>25</v>
      </c>
      <c r="F13" t="s">
        <v>306</v>
      </c>
    </row>
    <row r="14" spans="1:6" x14ac:dyDescent="0.25">
      <c r="E14" t="s">
        <v>26</v>
      </c>
      <c r="F14" t="s">
        <v>306</v>
      </c>
    </row>
    <row r="15" spans="1:6" x14ac:dyDescent="0.25">
      <c r="E15" t="s">
        <v>27</v>
      </c>
      <c r="F15" t="s">
        <v>306</v>
      </c>
    </row>
    <row r="16" spans="1:6" x14ac:dyDescent="0.25">
      <c r="E16" t="s">
        <v>28</v>
      </c>
      <c r="F16" t="s">
        <v>306</v>
      </c>
    </row>
    <row r="17" spans="1:6" x14ac:dyDescent="0.25">
      <c r="C17" t="s">
        <v>307</v>
      </c>
      <c r="D17" t="s">
        <v>19</v>
      </c>
      <c r="E17" t="s">
        <v>20</v>
      </c>
      <c r="F17" t="s">
        <v>308</v>
      </c>
    </row>
    <row r="18" spans="1:6" x14ac:dyDescent="0.25">
      <c r="E18" t="s">
        <v>21</v>
      </c>
      <c r="F18" t="s">
        <v>308</v>
      </c>
    </row>
    <row r="19" spans="1:6" x14ac:dyDescent="0.25">
      <c r="E19" t="s">
        <v>22</v>
      </c>
      <c r="F19" t="s">
        <v>308</v>
      </c>
    </row>
    <row r="20" spans="1:6" x14ac:dyDescent="0.25">
      <c r="E20" t="s">
        <v>23</v>
      </c>
      <c r="F20" t="s">
        <v>308</v>
      </c>
    </row>
    <row r="21" spans="1:6" x14ac:dyDescent="0.25">
      <c r="C21" t="s">
        <v>86</v>
      </c>
      <c r="D21" t="s">
        <v>13</v>
      </c>
      <c r="E21" t="s">
        <v>14</v>
      </c>
      <c r="F21" t="s">
        <v>309</v>
      </c>
    </row>
    <row r="22" spans="1:6" x14ac:dyDescent="0.25">
      <c r="E22" t="s">
        <v>15</v>
      </c>
      <c r="F22" t="s">
        <v>309</v>
      </c>
    </row>
    <row r="23" spans="1:6" x14ac:dyDescent="0.25">
      <c r="D23" t="s">
        <v>29</v>
      </c>
      <c r="E23" t="s">
        <v>30</v>
      </c>
      <c r="F23" t="s">
        <v>310</v>
      </c>
    </row>
    <row r="24" spans="1:6" x14ac:dyDescent="0.25">
      <c r="E24" t="s">
        <v>31</v>
      </c>
      <c r="F24" t="s">
        <v>310</v>
      </c>
    </row>
    <row r="25" spans="1:6" x14ac:dyDescent="0.25">
      <c r="D25" t="s">
        <v>32</v>
      </c>
      <c r="E25" t="s">
        <v>33</v>
      </c>
      <c r="F25" t="s">
        <v>311</v>
      </c>
    </row>
    <row r="26" spans="1:6" x14ac:dyDescent="0.25">
      <c r="E26" t="s">
        <v>34</v>
      </c>
      <c r="F26" t="s">
        <v>311</v>
      </c>
    </row>
    <row r="27" spans="1:6" x14ac:dyDescent="0.25">
      <c r="C27" t="s">
        <v>35</v>
      </c>
      <c r="D27" t="s">
        <v>35</v>
      </c>
      <c r="E27" t="s">
        <v>35</v>
      </c>
      <c r="F27" t="s">
        <v>312</v>
      </c>
    </row>
    <row r="28" spans="1:6" x14ac:dyDescent="0.25">
      <c r="C28" t="s">
        <v>313</v>
      </c>
      <c r="D28" t="s">
        <v>314</v>
      </c>
      <c r="E28" t="s">
        <v>315</v>
      </c>
      <c r="F28" t="s">
        <v>303</v>
      </c>
    </row>
    <row r="29" spans="1:6" x14ac:dyDescent="0.25">
      <c r="A29" t="s">
        <v>36</v>
      </c>
      <c r="B29" t="s">
        <v>118</v>
      </c>
      <c r="C29" t="s">
        <v>119</v>
      </c>
      <c r="D29" t="s">
        <v>119</v>
      </c>
      <c r="E29" t="s">
        <v>119</v>
      </c>
      <c r="F29" t="s">
        <v>316</v>
      </c>
    </row>
    <row r="30" spans="1:6" x14ac:dyDescent="0.25">
      <c r="F30" t="s">
        <v>317</v>
      </c>
    </row>
    <row r="31" spans="1:6" x14ac:dyDescent="0.25">
      <c r="C31" t="s">
        <v>120</v>
      </c>
      <c r="D31" t="s">
        <v>120</v>
      </c>
      <c r="E31" t="s">
        <v>120</v>
      </c>
      <c r="F31" t="s">
        <v>318</v>
      </c>
    </row>
    <row r="32" spans="1:6" x14ac:dyDescent="0.25">
      <c r="B32" t="s">
        <v>36</v>
      </c>
      <c r="C32" t="s">
        <v>319</v>
      </c>
      <c r="D32" t="s">
        <v>39</v>
      </c>
      <c r="E32" t="s">
        <v>40</v>
      </c>
      <c r="F32" t="s">
        <v>320</v>
      </c>
    </row>
    <row r="33" spans="2:6" x14ac:dyDescent="0.25">
      <c r="D33" t="s">
        <v>41</v>
      </c>
      <c r="E33" t="s">
        <v>42</v>
      </c>
      <c r="F33" t="s">
        <v>321</v>
      </c>
    </row>
    <row r="34" spans="2:6" x14ac:dyDescent="0.25">
      <c r="C34" t="s">
        <v>299</v>
      </c>
      <c r="D34" t="s">
        <v>37</v>
      </c>
      <c r="E34" t="s">
        <v>38</v>
      </c>
      <c r="F34" t="s">
        <v>322</v>
      </c>
    </row>
    <row r="35" spans="2:6" x14ac:dyDescent="0.25">
      <c r="C35" t="s">
        <v>86</v>
      </c>
      <c r="D35" t="s">
        <v>61</v>
      </c>
      <c r="E35" t="s">
        <v>323</v>
      </c>
      <c r="F35" t="s">
        <v>303</v>
      </c>
    </row>
    <row r="36" spans="2:6" x14ac:dyDescent="0.25">
      <c r="B36" t="s">
        <v>121</v>
      </c>
      <c r="C36" t="s">
        <v>122</v>
      </c>
      <c r="D36" t="s">
        <v>122</v>
      </c>
      <c r="E36" t="s">
        <v>122</v>
      </c>
      <c r="F36" t="s">
        <v>324</v>
      </c>
    </row>
    <row r="37" spans="2:6" x14ac:dyDescent="0.25">
      <c r="B37" t="s">
        <v>257</v>
      </c>
      <c r="C37" t="s">
        <v>325</v>
      </c>
      <c r="D37" t="s">
        <v>326</v>
      </c>
      <c r="E37" t="s">
        <v>327</v>
      </c>
      <c r="F37" t="s">
        <v>303</v>
      </c>
    </row>
    <row r="38" spans="2:6" x14ac:dyDescent="0.25">
      <c r="C38" t="s">
        <v>328</v>
      </c>
      <c r="D38" t="s">
        <v>329</v>
      </c>
      <c r="E38" t="s">
        <v>330</v>
      </c>
      <c r="F38" t="s">
        <v>303</v>
      </c>
    </row>
    <row r="39" spans="2:6" x14ac:dyDescent="0.25">
      <c r="B39" t="s">
        <v>43</v>
      </c>
      <c r="C39" t="s">
        <v>122</v>
      </c>
      <c r="D39" t="s">
        <v>44</v>
      </c>
      <c r="E39" t="s">
        <v>45</v>
      </c>
      <c r="F39" t="s">
        <v>331</v>
      </c>
    </row>
    <row r="40" spans="2:6" x14ac:dyDescent="0.25">
      <c r="E40" t="s">
        <v>46</v>
      </c>
      <c r="F40" t="s">
        <v>331</v>
      </c>
    </row>
    <row r="41" spans="2:6" x14ac:dyDescent="0.25">
      <c r="D41" t="s">
        <v>47</v>
      </c>
      <c r="E41" t="s">
        <v>48</v>
      </c>
      <c r="F41" t="s">
        <v>332</v>
      </c>
    </row>
    <row r="42" spans="2:6" x14ac:dyDescent="0.25">
      <c r="E42" t="s">
        <v>49</v>
      </c>
      <c r="F42" t="s">
        <v>332</v>
      </c>
    </row>
    <row r="43" spans="2:6" x14ac:dyDescent="0.25">
      <c r="B43" t="s">
        <v>50</v>
      </c>
      <c r="C43" t="s">
        <v>86</v>
      </c>
      <c r="D43" t="s">
        <v>51</v>
      </c>
      <c r="E43" t="s">
        <v>52</v>
      </c>
      <c r="F43" t="s">
        <v>333</v>
      </c>
    </row>
    <row r="44" spans="2:6" x14ac:dyDescent="0.25">
      <c r="E44" t="s">
        <v>53</v>
      </c>
      <c r="F44" t="s">
        <v>333</v>
      </c>
    </row>
    <row r="45" spans="2:6" x14ac:dyDescent="0.25">
      <c r="B45" t="s">
        <v>6</v>
      </c>
      <c r="C45" t="s">
        <v>334</v>
      </c>
      <c r="D45" t="s">
        <v>71</v>
      </c>
      <c r="E45" t="s">
        <v>72</v>
      </c>
      <c r="F45" t="s">
        <v>335</v>
      </c>
    </row>
    <row r="46" spans="2:6" x14ac:dyDescent="0.25">
      <c r="E46" t="s">
        <v>73</v>
      </c>
      <c r="F46" t="s">
        <v>335</v>
      </c>
    </row>
    <row r="47" spans="2:6" x14ac:dyDescent="0.25">
      <c r="C47" t="s">
        <v>122</v>
      </c>
      <c r="D47" t="s">
        <v>57</v>
      </c>
      <c r="E47" t="s">
        <v>58</v>
      </c>
      <c r="F47" t="s">
        <v>336</v>
      </c>
    </row>
    <row r="48" spans="2:6" x14ac:dyDescent="0.25">
      <c r="D48" t="s">
        <v>61</v>
      </c>
      <c r="E48" t="s">
        <v>62</v>
      </c>
      <c r="F48" t="s">
        <v>336</v>
      </c>
    </row>
    <row r="49" spans="3:6" x14ac:dyDescent="0.25">
      <c r="D49" t="s">
        <v>65</v>
      </c>
      <c r="E49" t="s">
        <v>66</v>
      </c>
      <c r="F49" t="s">
        <v>337</v>
      </c>
    </row>
    <row r="50" spans="3:6" x14ac:dyDescent="0.25">
      <c r="E50" t="s">
        <v>67</v>
      </c>
      <c r="F50" t="s">
        <v>337</v>
      </c>
    </row>
    <row r="51" spans="3:6" x14ac:dyDescent="0.25">
      <c r="D51" t="s">
        <v>84</v>
      </c>
      <c r="E51" t="s">
        <v>85</v>
      </c>
      <c r="F51" t="s">
        <v>338</v>
      </c>
    </row>
    <row r="52" spans="3:6" x14ac:dyDescent="0.25">
      <c r="C52" t="s">
        <v>325</v>
      </c>
      <c r="D52" t="s">
        <v>54</v>
      </c>
      <c r="E52" t="s">
        <v>55</v>
      </c>
      <c r="F52" t="s">
        <v>339</v>
      </c>
    </row>
    <row r="53" spans="3:6" x14ac:dyDescent="0.25">
      <c r="E53" t="s">
        <v>56</v>
      </c>
      <c r="F53" t="s">
        <v>339</v>
      </c>
    </row>
    <row r="54" spans="3:6" x14ac:dyDescent="0.25">
      <c r="D54" t="s">
        <v>78</v>
      </c>
      <c r="E54" t="s">
        <v>79</v>
      </c>
      <c r="F54" t="s">
        <v>340</v>
      </c>
    </row>
    <row r="55" spans="3:6" x14ac:dyDescent="0.25">
      <c r="E55" t="s">
        <v>80</v>
      </c>
      <c r="F55" t="s">
        <v>340</v>
      </c>
    </row>
    <row r="56" spans="3:6" x14ac:dyDescent="0.25">
      <c r="D56" t="s">
        <v>81</v>
      </c>
      <c r="E56" t="s">
        <v>82</v>
      </c>
      <c r="F56" t="s">
        <v>341</v>
      </c>
    </row>
    <row r="57" spans="3:6" x14ac:dyDescent="0.25">
      <c r="E57" t="s">
        <v>83</v>
      </c>
      <c r="F57" t="s">
        <v>341</v>
      </c>
    </row>
    <row r="58" spans="3:6" x14ac:dyDescent="0.25">
      <c r="C58" t="s">
        <v>86</v>
      </c>
      <c r="D58" t="s">
        <v>86</v>
      </c>
      <c r="E58" t="s">
        <v>86</v>
      </c>
      <c r="F58" t="s">
        <v>342</v>
      </c>
    </row>
    <row r="59" spans="3:6" x14ac:dyDescent="0.25">
      <c r="D59" t="s">
        <v>63</v>
      </c>
      <c r="E59" t="s">
        <v>64</v>
      </c>
      <c r="F59" t="s">
        <v>343</v>
      </c>
    </row>
    <row r="60" spans="3:6" x14ac:dyDescent="0.25">
      <c r="C60" t="s">
        <v>290</v>
      </c>
      <c r="D60" t="s">
        <v>74</v>
      </c>
      <c r="E60" t="s">
        <v>75</v>
      </c>
      <c r="F60" t="s">
        <v>344</v>
      </c>
    </row>
    <row r="61" spans="3:6" x14ac:dyDescent="0.25">
      <c r="D61" t="s">
        <v>76</v>
      </c>
      <c r="E61" t="s">
        <v>77</v>
      </c>
      <c r="F61" t="s">
        <v>345</v>
      </c>
    </row>
    <row r="62" spans="3:6" x14ac:dyDescent="0.25">
      <c r="C62" t="s">
        <v>346</v>
      </c>
      <c r="D62" t="s">
        <v>59</v>
      </c>
      <c r="E62" t="s">
        <v>60</v>
      </c>
      <c r="F62" t="s">
        <v>347</v>
      </c>
    </row>
    <row r="63" spans="3:6" x14ac:dyDescent="0.25">
      <c r="D63" t="s">
        <v>68</v>
      </c>
      <c r="E63" t="s">
        <v>69</v>
      </c>
      <c r="F63" t="s">
        <v>348</v>
      </c>
    </row>
    <row r="64" spans="3:6" x14ac:dyDescent="0.25">
      <c r="E64" t="s">
        <v>70</v>
      </c>
      <c r="F64" t="s">
        <v>348</v>
      </c>
    </row>
    <row r="65" spans="2:6" x14ac:dyDescent="0.25">
      <c r="B65" t="s">
        <v>12</v>
      </c>
      <c r="C65" t="s">
        <v>334</v>
      </c>
      <c r="D65" t="s">
        <v>99</v>
      </c>
      <c r="E65" t="s">
        <v>100</v>
      </c>
      <c r="F65" t="s">
        <v>349</v>
      </c>
    </row>
    <row r="66" spans="2:6" x14ac:dyDescent="0.25">
      <c r="E66" t="s">
        <v>101</v>
      </c>
      <c r="F66" t="s">
        <v>349</v>
      </c>
    </row>
    <row r="67" spans="2:6" x14ac:dyDescent="0.25">
      <c r="E67" t="s">
        <v>102</v>
      </c>
      <c r="F67" t="s">
        <v>349</v>
      </c>
    </row>
    <row r="68" spans="2:6" x14ac:dyDescent="0.25">
      <c r="E68" t="s">
        <v>103</v>
      </c>
      <c r="F68" t="s">
        <v>349</v>
      </c>
    </row>
    <row r="69" spans="2:6" x14ac:dyDescent="0.25">
      <c r="C69" t="s">
        <v>122</v>
      </c>
      <c r="D69" t="s">
        <v>87</v>
      </c>
      <c r="E69" t="s">
        <v>88</v>
      </c>
      <c r="F69" t="s">
        <v>350</v>
      </c>
    </row>
    <row r="70" spans="2:6" x14ac:dyDescent="0.25">
      <c r="E70" t="s">
        <v>89</v>
      </c>
      <c r="F70" t="s">
        <v>350</v>
      </c>
    </row>
    <row r="71" spans="2:6" x14ac:dyDescent="0.25">
      <c r="E71" t="s">
        <v>90</v>
      </c>
      <c r="F71" t="s">
        <v>350</v>
      </c>
    </row>
    <row r="72" spans="2:6" x14ac:dyDescent="0.25">
      <c r="E72" t="s">
        <v>91</v>
      </c>
      <c r="F72" t="s">
        <v>350</v>
      </c>
    </row>
    <row r="73" spans="2:6" x14ac:dyDescent="0.25">
      <c r="D73" t="s">
        <v>104</v>
      </c>
      <c r="E73" t="s">
        <v>105</v>
      </c>
      <c r="F73" t="s">
        <v>351</v>
      </c>
    </row>
    <row r="74" spans="2:6" x14ac:dyDescent="0.25">
      <c r="E74" t="s">
        <v>106</v>
      </c>
      <c r="F74" t="s">
        <v>351</v>
      </c>
    </row>
    <row r="75" spans="2:6" x14ac:dyDescent="0.25">
      <c r="E75" t="s">
        <v>107</v>
      </c>
      <c r="F75" t="s">
        <v>351</v>
      </c>
    </row>
    <row r="76" spans="2:6" x14ac:dyDescent="0.25">
      <c r="E76" t="s">
        <v>108</v>
      </c>
      <c r="F76" t="s">
        <v>351</v>
      </c>
    </row>
    <row r="77" spans="2:6" x14ac:dyDescent="0.25">
      <c r="C77" t="s">
        <v>305</v>
      </c>
      <c r="D77" t="s">
        <v>109</v>
      </c>
      <c r="E77" t="s">
        <v>110</v>
      </c>
      <c r="F77" t="s">
        <v>352</v>
      </c>
    </row>
    <row r="78" spans="2:6" x14ac:dyDescent="0.25">
      <c r="E78" t="s">
        <v>111</v>
      </c>
      <c r="F78" t="s">
        <v>352</v>
      </c>
    </row>
    <row r="79" spans="2:6" x14ac:dyDescent="0.25">
      <c r="C79" t="s">
        <v>307</v>
      </c>
      <c r="D79" t="s">
        <v>92</v>
      </c>
      <c r="E79" t="s">
        <v>93</v>
      </c>
      <c r="F79" t="s">
        <v>353</v>
      </c>
    </row>
    <row r="80" spans="2:6" x14ac:dyDescent="0.25">
      <c r="E80" t="s">
        <v>94</v>
      </c>
      <c r="F80" t="s">
        <v>353</v>
      </c>
    </row>
    <row r="81" spans="1:6" x14ac:dyDescent="0.25">
      <c r="E81" t="s">
        <v>95</v>
      </c>
      <c r="F81" t="s">
        <v>353</v>
      </c>
    </row>
    <row r="82" spans="1:6" x14ac:dyDescent="0.25">
      <c r="E82" t="s">
        <v>96</v>
      </c>
      <c r="F82" t="s">
        <v>353</v>
      </c>
    </row>
    <row r="83" spans="1:6" x14ac:dyDescent="0.25">
      <c r="E83" t="s">
        <v>97</v>
      </c>
      <c r="F83" t="s">
        <v>353</v>
      </c>
    </row>
    <row r="84" spans="1:6" x14ac:dyDescent="0.25">
      <c r="E84" t="s">
        <v>98</v>
      </c>
      <c r="F84" t="s">
        <v>353</v>
      </c>
    </row>
    <row r="85" spans="1:6" x14ac:dyDescent="0.25">
      <c r="D85" t="s">
        <v>112</v>
      </c>
      <c r="E85" t="s">
        <v>113</v>
      </c>
      <c r="F85" t="s">
        <v>354</v>
      </c>
    </row>
    <row r="86" spans="1:6" x14ac:dyDescent="0.25">
      <c r="E86" t="s">
        <v>114</v>
      </c>
      <c r="F86" t="s">
        <v>354</v>
      </c>
    </row>
    <row r="87" spans="1:6" x14ac:dyDescent="0.25">
      <c r="D87" t="s">
        <v>115</v>
      </c>
      <c r="E87" t="s">
        <v>116</v>
      </c>
      <c r="F87" t="s">
        <v>355</v>
      </c>
    </row>
    <row r="88" spans="1:6" x14ac:dyDescent="0.25">
      <c r="E88" t="s">
        <v>117</v>
      </c>
      <c r="F88" t="s">
        <v>355</v>
      </c>
    </row>
    <row r="89" spans="1:6" x14ac:dyDescent="0.25">
      <c r="A89" t="s">
        <v>123</v>
      </c>
      <c r="B89" t="s">
        <v>123</v>
      </c>
      <c r="C89" t="s">
        <v>122</v>
      </c>
      <c r="D89" t="s">
        <v>197</v>
      </c>
      <c r="E89" t="s">
        <v>198</v>
      </c>
      <c r="F89" t="s">
        <v>356</v>
      </c>
    </row>
    <row r="90" spans="1:6" x14ac:dyDescent="0.25">
      <c r="E90" t="s">
        <v>199</v>
      </c>
      <c r="F90" t="s">
        <v>356</v>
      </c>
    </row>
    <row r="91" spans="1:6" x14ac:dyDescent="0.25">
      <c r="D91" t="s">
        <v>200</v>
      </c>
      <c r="E91" t="s">
        <v>201</v>
      </c>
      <c r="F91" t="s">
        <v>357</v>
      </c>
    </row>
    <row r="92" spans="1:6" x14ac:dyDescent="0.25">
      <c r="E92" t="s">
        <v>202</v>
      </c>
      <c r="F92" t="s">
        <v>357</v>
      </c>
    </row>
    <row r="93" spans="1:6" x14ac:dyDescent="0.25">
      <c r="D93" t="s">
        <v>206</v>
      </c>
      <c r="E93" t="s">
        <v>207</v>
      </c>
      <c r="F93" t="s">
        <v>358</v>
      </c>
    </row>
    <row r="94" spans="1:6" x14ac:dyDescent="0.25">
      <c r="E94" t="s">
        <v>208</v>
      </c>
      <c r="F94" t="s">
        <v>358</v>
      </c>
    </row>
    <row r="95" spans="1:6" x14ac:dyDescent="0.25">
      <c r="D95" t="s">
        <v>227</v>
      </c>
      <c r="E95" t="s">
        <v>48</v>
      </c>
      <c r="F95" t="s">
        <v>359</v>
      </c>
    </row>
    <row r="96" spans="1:6" x14ac:dyDescent="0.25">
      <c r="D96" t="s">
        <v>249</v>
      </c>
      <c r="E96" t="s">
        <v>249</v>
      </c>
      <c r="F96" t="s">
        <v>359</v>
      </c>
    </row>
    <row r="97" spans="3:6" x14ac:dyDescent="0.25">
      <c r="E97" t="s">
        <v>250</v>
      </c>
      <c r="F97" t="s">
        <v>359</v>
      </c>
    </row>
    <row r="98" spans="3:6" x14ac:dyDescent="0.25">
      <c r="D98" t="s">
        <v>251</v>
      </c>
      <c r="E98" t="s">
        <v>251</v>
      </c>
      <c r="F98" t="s">
        <v>359</v>
      </c>
    </row>
    <row r="99" spans="3:6" x14ac:dyDescent="0.25">
      <c r="C99" t="s">
        <v>360</v>
      </c>
      <c r="D99" t="s">
        <v>124</v>
      </c>
      <c r="E99" t="s">
        <v>125</v>
      </c>
      <c r="F99" t="s">
        <v>361</v>
      </c>
    </row>
    <row r="100" spans="3:6" x14ac:dyDescent="0.25">
      <c r="E100" t="s">
        <v>126</v>
      </c>
      <c r="F100" t="s">
        <v>361</v>
      </c>
    </row>
    <row r="101" spans="3:6" x14ac:dyDescent="0.25">
      <c r="D101" t="s">
        <v>151</v>
      </c>
      <c r="E101" t="s">
        <v>152</v>
      </c>
      <c r="F101" t="s">
        <v>362</v>
      </c>
    </row>
    <row r="102" spans="3:6" x14ac:dyDescent="0.25">
      <c r="D102" t="s">
        <v>153</v>
      </c>
      <c r="E102" t="s">
        <v>154</v>
      </c>
      <c r="F102" t="s">
        <v>362</v>
      </c>
    </row>
    <row r="103" spans="3:6" x14ac:dyDescent="0.25">
      <c r="D103" t="s">
        <v>155</v>
      </c>
      <c r="E103" t="s">
        <v>156</v>
      </c>
      <c r="F103" t="s">
        <v>362</v>
      </c>
    </row>
    <row r="104" spans="3:6" x14ac:dyDescent="0.25">
      <c r="D104" t="s">
        <v>157</v>
      </c>
      <c r="E104" t="s">
        <v>158</v>
      </c>
      <c r="F104" t="s">
        <v>362</v>
      </c>
    </row>
    <row r="105" spans="3:6" x14ac:dyDescent="0.25">
      <c r="D105" t="s">
        <v>159</v>
      </c>
      <c r="E105" t="s">
        <v>160</v>
      </c>
      <c r="F105" t="s">
        <v>362</v>
      </c>
    </row>
    <row r="106" spans="3:6" x14ac:dyDescent="0.25">
      <c r="D106" t="s">
        <v>246</v>
      </c>
      <c r="E106" t="s">
        <v>247</v>
      </c>
      <c r="F106" t="s">
        <v>362</v>
      </c>
    </row>
    <row r="107" spans="3:6" x14ac:dyDescent="0.25">
      <c r="E107" t="s">
        <v>248</v>
      </c>
      <c r="F107" t="s">
        <v>362</v>
      </c>
    </row>
    <row r="108" spans="3:6" x14ac:dyDescent="0.25">
      <c r="C108" t="s">
        <v>363</v>
      </c>
      <c r="D108" t="s">
        <v>240</v>
      </c>
      <c r="E108" t="s">
        <v>241</v>
      </c>
      <c r="F108" t="s">
        <v>363</v>
      </c>
    </row>
    <row r="109" spans="3:6" x14ac:dyDescent="0.25">
      <c r="D109" t="s">
        <v>252</v>
      </c>
      <c r="E109" t="s">
        <v>253</v>
      </c>
      <c r="F109" t="s">
        <v>363</v>
      </c>
    </row>
    <row r="110" spans="3:6" x14ac:dyDescent="0.25">
      <c r="C110" t="s">
        <v>364</v>
      </c>
      <c r="D110" t="s">
        <v>135</v>
      </c>
      <c r="E110" t="s">
        <v>136</v>
      </c>
      <c r="F110" t="s">
        <v>365</v>
      </c>
    </row>
    <row r="111" spans="3:6" x14ac:dyDescent="0.25">
      <c r="D111" t="s">
        <v>137</v>
      </c>
      <c r="E111" t="s">
        <v>138</v>
      </c>
      <c r="F111" t="s">
        <v>365</v>
      </c>
    </row>
    <row r="112" spans="3:6" x14ac:dyDescent="0.25">
      <c r="D112" t="s">
        <v>161</v>
      </c>
      <c r="E112" t="s">
        <v>162</v>
      </c>
      <c r="F112" t="s">
        <v>366</v>
      </c>
    </row>
    <row r="113" spans="4:6" x14ac:dyDescent="0.25">
      <c r="E113" t="s">
        <v>163</v>
      </c>
      <c r="F113" t="s">
        <v>366</v>
      </c>
    </row>
    <row r="114" spans="4:6" x14ac:dyDescent="0.25">
      <c r="E114" t="s">
        <v>164</v>
      </c>
      <c r="F114" t="s">
        <v>366</v>
      </c>
    </row>
    <row r="115" spans="4:6" x14ac:dyDescent="0.25">
      <c r="E115" t="s">
        <v>165</v>
      </c>
      <c r="F115" t="s">
        <v>366</v>
      </c>
    </row>
    <row r="116" spans="4:6" x14ac:dyDescent="0.25">
      <c r="E116" t="s">
        <v>166</v>
      </c>
      <c r="F116" t="s">
        <v>366</v>
      </c>
    </row>
    <row r="117" spans="4:6" x14ac:dyDescent="0.25">
      <c r="E117" t="s">
        <v>167</v>
      </c>
      <c r="F117" t="s">
        <v>366</v>
      </c>
    </row>
    <row r="118" spans="4:6" x14ac:dyDescent="0.25">
      <c r="E118" t="s">
        <v>168</v>
      </c>
      <c r="F118" t="s">
        <v>366</v>
      </c>
    </row>
    <row r="119" spans="4:6" x14ac:dyDescent="0.25">
      <c r="E119" t="s">
        <v>169</v>
      </c>
      <c r="F119" t="s">
        <v>366</v>
      </c>
    </row>
    <row r="120" spans="4:6" x14ac:dyDescent="0.25">
      <c r="D120" t="s">
        <v>170</v>
      </c>
      <c r="E120" t="s">
        <v>171</v>
      </c>
      <c r="F120" t="s">
        <v>365</v>
      </c>
    </row>
    <row r="121" spans="4:6" x14ac:dyDescent="0.25">
      <c r="E121" t="s">
        <v>172</v>
      </c>
      <c r="F121" t="s">
        <v>365</v>
      </c>
    </row>
    <row r="122" spans="4:6" x14ac:dyDescent="0.25">
      <c r="E122" t="s">
        <v>173</v>
      </c>
      <c r="F122" t="s">
        <v>365</v>
      </c>
    </row>
    <row r="123" spans="4:6" x14ac:dyDescent="0.25">
      <c r="D123" t="s">
        <v>176</v>
      </c>
      <c r="E123" t="s">
        <v>177</v>
      </c>
      <c r="F123" t="s">
        <v>365</v>
      </c>
    </row>
    <row r="124" spans="4:6" x14ac:dyDescent="0.25">
      <c r="E124" t="s">
        <v>178</v>
      </c>
      <c r="F124" t="s">
        <v>365</v>
      </c>
    </row>
    <row r="125" spans="4:6" x14ac:dyDescent="0.25">
      <c r="D125" t="s">
        <v>195</v>
      </c>
      <c r="E125" t="s">
        <v>196</v>
      </c>
      <c r="F125" t="s">
        <v>367</v>
      </c>
    </row>
    <row r="126" spans="4:6" x14ac:dyDescent="0.25">
      <c r="D126" t="s">
        <v>203</v>
      </c>
      <c r="E126" t="s">
        <v>204</v>
      </c>
      <c r="F126" t="s">
        <v>367</v>
      </c>
    </row>
    <row r="127" spans="4:6" x14ac:dyDescent="0.25">
      <c r="E127" t="s">
        <v>205</v>
      </c>
      <c r="F127" t="s">
        <v>367</v>
      </c>
    </row>
    <row r="128" spans="4:6" x14ac:dyDescent="0.25">
      <c r="D128" t="s">
        <v>232</v>
      </c>
      <c r="E128" t="s">
        <v>233</v>
      </c>
      <c r="F128" t="s">
        <v>367</v>
      </c>
    </row>
    <row r="129" spans="3:6" x14ac:dyDescent="0.25">
      <c r="C129" t="s">
        <v>307</v>
      </c>
      <c r="D129" t="s">
        <v>179</v>
      </c>
      <c r="E129" t="s">
        <v>180</v>
      </c>
      <c r="F129" t="s">
        <v>368</v>
      </c>
    </row>
    <row r="130" spans="3:6" x14ac:dyDescent="0.25">
      <c r="E130" t="s">
        <v>181</v>
      </c>
      <c r="F130" t="s">
        <v>368</v>
      </c>
    </row>
    <row r="131" spans="3:6" x14ac:dyDescent="0.25">
      <c r="C131" t="s">
        <v>325</v>
      </c>
      <c r="D131" t="s">
        <v>127</v>
      </c>
      <c r="E131" t="s">
        <v>128</v>
      </c>
      <c r="F131" t="s">
        <v>369</v>
      </c>
    </row>
    <row r="132" spans="3:6" x14ac:dyDescent="0.25">
      <c r="D132" t="s">
        <v>129</v>
      </c>
      <c r="E132" t="s">
        <v>130</v>
      </c>
      <c r="F132" t="s">
        <v>369</v>
      </c>
    </row>
    <row r="133" spans="3:6" x14ac:dyDescent="0.25">
      <c r="D133" t="s">
        <v>131</v>
      </c>
      <c r="E133" t="s">
        <v>132</v>
      </c>
      <c r="F133" t="s">
        <v>369</v>
      </c>
    </row>
    <row r="134" spans="3:6" x14ac:dyDescent="0.25">
      <c r="D134" t="s">
        <v>133</v>
      </c>
      <c r="E134" t="s">
        <v>134</v>
      </c>
      <c r="F134" t="s">
        <v>369</v>
      </c>
    </row>
    <row r="135" spans="3:6" x14ac:dyDescent="0.25">
      <c r="D135" t="s">
        <v>139</v>
      </c>
      <c r="E135" t="s">
        <v>140</v>
      </c>
      <c r="F135" t="s">
        <v>370</v>
      </c>
    </row>
    <row r="136" spans="3:6" x14ac:dyDescent="0.25">
      <c r="D136" t="s">
        <v>141</v>
      </c>
      <c r="E136" t="s">
        <v>142</v>
      </c>
      <c r="F136" t="s">
        <v>370</v>
      </c>
    </row>
    <row r="137" spans="3:6" x14ac:dyDescent="0.25">
      <c r="D137" t="s">
        <v>143</v>
      </c>
      <c r="E137" t="s">
        <v>144</v>
      </c>
      <c r="F137" t="s">
        <v>370</v>
      </c>
    </row>
    <row r="138" spans="3:6" x14ac:dyDescent="0.25">
      <c r="D138" t="s">
        <v>145</v>
      </c>
      <c r="E138" t="s">
        <v>146</v>
      </c>
      <c r="F138" t="s">
        <v>370</v>
      </c>
    </row>
    <row r="139" spans="3:6" x14ac:dyDescent="0.25">
      <c r="D139" t="s">
        <v>147</v>
      </c>
      <c r="E139" t="s">
        <v>148</v>
      </c>
      <c r="F139" t="s">
        <v>370</v>
      </c>
    </row>
    <row r="140" spans="3:6" x14ac:dyDescent="0.25">
      <c r="D140" t="s">
        <v>149</v>
      </c>
      <c r="E140" t="s">
        <v>150</v>
      </c>
      <c r="F140" t="s">
        <v>370</v>
      </c>
    </row>
    <row r="141" spans="3:6" x14ac:dyDescent="0.25">
      <c r="D141" t="s">
        <v>174</v>
      </c>
      <c r="E141" t="s">
        <v>175</v>
      </c>
      <c r="F141" t="s">
        <v>371</v>
      </c>
    </row>
    <row r="142" spans="3:6" x14ac:dyDescent="0.25">
      <c r="D142" t="s">
        <v>182</v>
      </c>
      <c r="E142" t="s">
        <v>183</v>
      </c>
      <c r="F142" t="s">
        <v>372</v>
      </c>
    </row>
    <row r="143" spans="3:6" x14ac:dyDescent="0.25">
      <c r="E143" t="s">
        <v>184</v>
      </c>
      <c r="F143" t="s">
        <v>372</v>
      </c>
    </row>
    <row r="144" spans="3:6" x14ac:dyDescent="0.25">
      <c r="D144" t="s">
        <v>185</v>
      </c>
      <c r="E144" t="s">
        <v>186</v>
      </c>
      <c r="F144" t="s">
        <v>373</v>
      </c>
    </row>
    <row r="145" spans="4:6" x14ac:dyDescent="0.25">
      <c r="E145" t="s">
        <v>187</v>
      </c>
      <c r="F145" t="s">
        <v>373</v>
      </c>
    </row>
    <row r="146" spans="4:6" x14ac:dyDescent="0.25">
      <c r="D146" t="s">
        <v>188</v>
      </c>
      <c r="E146" t="s">
        <v>188</v>
      </c>
      <c r="F146" t="s">
        <v>372</v>
      </c>
    </row>
    <row r="147" spans="4:6" x14ac:dyDescent="0.25">
      <c r="D147" t="s">
        <v>189</v>
      </c>
      <c r="E147" t="s">
        <v>189</v>
      </c>
      <c r="F147" t="s">
        <v>372</v>
      </c>
    </row>
    <row r="148" spans="4:6" x14ac:dyDescent="0.25">
      <c r="D148" t="s">
        <v>190</v>
      </c>
      <c r="E148" t="s">
        <v>190</v>
      </c>
      <c r="F148" t="s">
        <v>372</v>
      </c>
    </row>
    <row r="149" spans="4:6" x14ac:dyDescent="0.25">
      <c r="D149" t="s">
        <v>191</v>
      </c>
      <c r="E149" t="s">
        <v>191</v>
      </c>
      <c r="F149" t="s">
        <v>372</v>
      </c>
    </row>
    <row r="150" spans="4:6" x14ac:dyDescent="0.25">
      <c r="D150" t="s">
        <v>192</v>
      </c>
      <c r="E150" t="s">
        <v>192</v>
      </c>
      <c r="F150" t="s">
        <v>372</v>
      </c>
    </row>
    <row r="151" spans="4:6" x14ac:dyDescent="0.25">
      <c r="D151" t="s">
        <v>193</v>
      </c>
      <c r="E151" t="s">
        <v>194</v>
      </c>
      <c r="F151" t="s">
        <v>372</v>
      </c>
    </row>
    <row r="152" spans="4:6" x14ac:dyDescent="0.25">
      <c r="D152" t="s">
        <v>209</v>
      </c>
      <c r="E152" t="s">
        <v>210</v>
      </c>
      <c r="F152" t="s">
        <v>372</v>
      </c>
    </row>
    <row r="153" spans="4:6" x14ac:dyDescent="0.25">
      <c r="D153" t="s">
        <v>211</v>
      </c>
      <c r="E153" t="s">
        <v>212</v>
      </c>
      <c r="F153" t="s">
        <v>370</v>
      </c>
    </row>
    <row r="154" spans="4:6" x14ac:dyDescent="0.25">
      <c r="D154" t="s">
        <v>213</v>
      </c>
      <c r="E154" t="s">
        <v>214</v>
      </c>
      <c r="F154" t="s">
        <v>370</v>
      </c>
    </row>
    <row r="155" spans="4:6" x14ac:dyDescent="0.25">
      <c r="D155" t="s">
        <v>215</v>
      </c>
      <c r="E155" t="s">
        <v>216</v>
      </c>
      <c r="F155" t="s">
        <v>370</v>
      </c>
    </row>
    <row r="156" spans="4:6" x14ac:dyDescent="0.25">
      <c r="D156" t="s">
        <v>217</v>
      </c>
      <c r="E156" t="s">
        <v>218</v>
      </c>
      <c r="F156" t="s">
        <v>370</v>
      </c>
    </row>
    <row r="157" spans="4:6" x14ac:dyDescent="0.25">
      <c r="D157" t="s">
        <v>223</v>
      </c>
      <c r="E157" t="s">
        <v>224</v>
      </c>
      <c r="F157" t="s">
        <v>374</v>
      </c>
    </row>
    <row r="158" spans="4:6" x14ac:dyDescent="0.25">
      <c r="D158" t="s">
        <v>225</v>
      </c>
      <c r="E158" t="s">
        <v>226</v>
      </c>
      <c r="F158" t="s">
        <v>374</v>
      </c>
    </row>
    <row r="159" spans="4:6" x14ac:dyDescent="0.25">
      <c r="D159" t="s">
        <v>234</v>
      </c>
      <c r="E159" t="s">
        <v>235</v>
      </c>
      <c r="F159" t="s">
        <v>374</v>
      </c>
    </row>
    <row r="160" spans="4:6" x14ac:dyDescent="0.25">
      <c r="E160" t="s">
        <v>236</v>
      </c>
      <c r="F160" t="s">
        <v>374</v>
      </c>
    </row>
    <row r="161" spans="1:6" x14ac:dyDescent="0.25">
      <c r="D161" t="s">
        <v>237</v>
      </c>
      <c r="E161" t="s">
        <v>238</v>
      </c>
      <c r="F161" t="s">
        <v>375</v>
      </c>
    </row>
    <row r="162" spans="1:6" x14ac:dyDescent="0.25">
      <c r="E162" t="s">
        <v>239</v>
      </c>
      <c r="F162" t="s">
        <v>375</v>
      </c>
    </row>
    <row r="163" spans="1:6" x14ac:dyDescent="0.25">
      <c r="D163" t="s">
        <v>242</v>
      </c>
      <c r="E163" t="s">
        <v>243</v>
      </c>
      <c r="F163" t="s">
        <v>370</v>
      </c>
    </row>
    <row r="164" spans="1:6" x14ac:dyDescent="0.25">
      <c r="E164" t="s">
        <v>244</v>
      </c>
      <c r="F164" t="s">
        <v>370</v>
      </c>
    </row>
    <row r="165" spans="1:6" x14ac:dyDescent="0.25">
      <c r="E165" t="s">
        <v>245</v>
      </c>
      <c r="F165" t="s">
        <v>370</v>
      </c>
    </row>
    <row r="166" spans="1:6" x14ac:dyDescent="0.25">
      <c r="C166" t="s">
        <v>86</v>
      </c>
      <c r="D166" t="s">
        <v>219</v>
      </c>
      <c r="E166" t="s">
        <v>220</v>
      </c>
      <c r="F166" t="s">
        <v>376</v>
      </c>
    </row>
    <row r="167" spans="1:6" x14ac:dyDescent="0.25">
      <c r="E167" t="s">
        <v>221</v>
      </c>
      <c r="F167" t="s">
        <v>376</v>
      </c>
    </row>
    <row r="168" spans="1:6" x14ac:dyDescent="0.25">
      <c r="E168" t="s">
        <v>222</v>
      </c>
      <c r="F168" t="s">
        <v>376</v>
      </c>
    </row>
    <row r="169" spans="1:6" x14ac:dyDescent="0.25">
      <c r="D169" t="s">
        <v>228</v>
      </c>
      <c r="E169" t="s">
        <v>229</v>
      </c>
      <c r="F169" t="s">
        <v>377</v>
      </c>
    </row>
    <row r="170" spans="1:6" x14ac:dyDescent="0.25">
      <c r="E170" t="s">
        <v>230</v>
      </c>
      <c r="F170" t="s">
        <v>377</v>
      </c>
    </row>
    <row r="171" spans="1:6" x14ac:dyDescent="0.25">
      <c r="E171" t="s">
        <v>231</v>
      </c>
      <c r="F171" t="s">
        <v>377</v>
      </c>
    </row>
    <row r="172" spans="1:6" x14ac:dyDescent="0.25">
      <c r="C172" t="s">
        <v>378</v>
      </c>
      <c r="D172" t="s">
        <v>254</v>
      </c>
      <c r="E172" t="s">
        <v>255</v>
      </c>
      <c r="F172" t="s">
        <v>379</v>
      </c>
    </row>
    <row r="173" spans="1:6" x14ac:dyDescent="0.25">
      <c r="A173" t="s">
        <v>256</v>
      </c>
      <c r="B173" t="s">
        <v>256</v>
      </c>
      <c r="C173" t="s">
        <v>334</v>
      </c>
      <c r="D173" t="s">
        <v>380</v>
      </c>
      <c r="E173" t="s">
        <v>381</v>
      </c>
      <c r="F173" t="s">
        <v>382</v>
      </c>
    </row>
    <row r="174" spans="1:6" x14ac:dyDescent="0.25">
      <c r="D174" t="s">
        <v>383</v>
      </c>
      <c r="E174" t="s">
        <v>384</v>
      </c>
      <c r="F174" t="s">
        <v>385</v>
      </c>
    </row>
    <row r="175" spans="1:6" x14ac:dyDescent="0.25">
      <c r="D175" t="s">
        <v>386</v>
      </c>
      <c r="E175" t="s">
        <v>387</v>
      </c>
      <c r="F175" t="s">
        <v>388</v>
      </c>
    </row>
    <row r="176" spans="1:6" x14ac:dyDescent="0.25">
      <c r="D176" t="s">
        <v>389</v>
      </c>
      <c r="E176" t="s">
        <v>384</v>
      </c>
      <c r="F176" t="s">
        <v>390</v>
      </c>
    </row>
    <row r="177" spans="1:6" x14ac:dyDescent="0.25">
      <c r="D177" t="s">
        <v>391</v>
      </c>
      <c r="E177" t="s">
        <v>392</v>
      </c>
      <c r="F177" t="s">
        <v>393</v>
      </c>
    </row>
    <row r="178" spans="1:6" x14ac:dyDescent="0.25">
      <c r="D178" t="s">
        <v>394</v>
      </c>
      <c r="E178" t="s">
        <v>395</v>
      </c>
      <c r="F178" t="s">
        <v>396</v>
      </c>
    </row>
    <row r="179" spans="1:6" x14ac:dyDescent="0.25">
      <c r="D179" t="s">
        <v>397</v>
      </c>
      <c r="E179" t="s">
        <v>398</v>
      </c>
      <c r="F179" t="s">
        <v>399</v>
      </c>
    </row>
    <row r="180" spans="1:6" x14ac:dyDescent="0.25">
      <c r="D180" t="s">
        <v>400</v>
      </c>
      <c r="E180" t="s">
        <v>401</v>
      </c>
      <c r="F180" t="s">
        <v>402</v>
      </c>
    </row>
    <row r="181" spans="1:6" x14ac:dyDescent="0.25">
      <c r="D181" t="s">
        <v>403</v>
      </c>
      <c r="E181" t="s">
        <v>404</v>
      </c>
      <c r="F181" t="s">
        <v>405</v>
      </c>
    </row>
    <row r="182" spans="1:6" x14ac:dyDescent="0.25">
      <c r="D182" t="s">
        <v>406</v>
      </c>
      <c r="E182" t="s">
        <v>407</v>
      </c>
      <c r="F182" t="s">
        <v>408</v>
      </c>
    </row>
    <row r="183" spans="1:6" x14ac:dyDescent="0.25">
      <c r="D183" t="s">
        <v>409</v>
      </c>
      <c r="E183" t="s">
        <v>410</v>
      </c>
      <c r="F183" t="s">
        <v>411</v>
      </c>
    </row>
    <row r="184" spans="1:6" x14ac:dyDescent="0.25">
      <c r="D184" t="s">
        <v>412</v>
      </c>
      <c r="E184" t="s">
        <v>413</v>
      </c>
      <c r="F184" t="s">
        <v>414</v>
      </c>
    </row>
    <row r="185" spans="1:6" x14ac:dyDescent="0.25">
      <c r="C185" t="s">
        <v>415</v>
      </c>
      <c r="D185" t="s">
        <v>416</v>
      </c>
      <c r="E185" t="s">
        <v>417</v>
      </c>
      <c r="F185" t="s">
        <v>418</v>
      </c>
    </row>
    <row r="186" spans="1:6" x14ac:dyDescent="0.25">
      <c r="D186" t="s">
        <v>419</v>
      </c>
      <c r="E186" t="s">
        <v>420</v>
      </c>
      <c r="F186" t="s">
        <v>421</v>
      </c>
    </row>
    <row r="187" spans="1:6" x14ac:dyDescent="0.25">
      <c r="C187" t="s">
        <v>290</v>
      </c>
      <c r="D187" t="s">
        <v>422</v>
      </c>
      <c r="E187" t="s">
        <v>423</v>
      </c>
      <c r="F187" t="s">
        <v>424</v>
      </c>
    </row>
    <row r="188" spans="1:6" x14ac:dyDescent="0.25">
      <c r="A188" t="s">
        <v>257</v>
      </c>
      <c r="B188" t="s">
        <v>36</v>
      </c>
      <c r="C188" t="s">
        <v>86</v>
      </c>
      <c r="D188" t="s">
        <v>425</v>
      </c>
      <c r="E188" t="s">
        <v>426</v>
      </c>
      <c r="F188" t="s">
        <v>303</v>
      </c>
    </row>
    <row r="189" spans="1:6" x14ac:dyDescent="0.25">
      <c r="B189" t="s">
        <v>257</v>
      </c>
      <c r="C189" t="s">
        <v>122</v>
      </c>
      <c r="D189" t="s">
        <v>427</v>
      </c>
      <c r="E189" t="s">
        <v>428</v>
      </c>
      <c r="F189" t="s">
        <v>429</v>
      </c>
    </row>
    <row r="190" spans="1:6" x14ac:dyDescent="0.25">
      <c r="E190" t="s">
        <v>430</v>
      </c>
      <c r="F190" t="s">
        <v>429</v>
      </c>
    </row>
    <row r="191" spans="1:6" x14ac:dyDescent="0.25">
      <c r="D191" t="s">
        <v>270</v>
      </c>
      <c r="E191" t="s">
        <v>431</v>
      </c>
      <c r="F191" t="s">
        <v>432</v>
      </c>
    </row>
    <row r="192" spans="1:6" x14ac:dyDescent="0.25">
      <c r="C192" t="s">
        <v>433</v>
      </c>
      <c r="D192" t="s">
        <v>434</v>
      </c>
      <c r="E192" t="s">
        <v>435</v>
      </c>
      <c r="F192" t="s">
        <v>436</v>
      </c>
    </row>
    <row r="193" spans="2:6" x14ac:dyDescent="0.25">
      <c r="C193" t="s">
        <v>86</v>
      </c>
      <c r="D193" t="s">
        <v>437</v>
      </c>
      <c r="E193" t="s">
        <v>438</v>
      </c>
      <c r="F193" t="s">
        <v>439</v>
      </c>
    </row>
    <row r="194" spans="2:6" x14ac:dyDescent="0.25">
      <c r="E194" t="s">
        <v>440</v>
      </c>
      <c r="F194" t="s">
        <v>439</v>
      </c>
    </row>
    <row r="195" spans="2:6" x14ac:dyDescent="0.25">
      <c r="B195" t="s">
        <v>6</v>
      </c>
      <c r="C195" t="s">
        <v>325</v>
      </c>
      <c r="D195" t="s">
        <v>258</v>
      </c>
      <c r="E195" t="s">
        <v>259</v>
      </c>
      <c r="F195" t="s">
        <v>441</v>
      </c>
    </row>
    <row r="196" spans="2:6" x14ac:dyDescent="0.25">
      <c r="E196" t="s">
        <v>260</v>
      </c>
      <c r="F196" t="s">
        <v>441</v>
      </c>
    </row>
    <row r="197" spans="2:6" x14ac:dyDescent="0.25">
      <c r="C197" t="s">
        <v>261</v>
      </c>
      <c r="D197" t="s">
        <v>261</v>
      </c>
      <c r="E197" t="s">
        <v>261</v>
      </c>
      <c r="F197" t="s">
        <v>442</v>
      </c>
    </row>
    <row r="198" spans="2:6" x14ac:dyDescent="0.25">
      <c r="B198" t="s">
        <v>12</v>
      </c>
      <c r="C198" t="s">
        <v>299</v>
      </c>
      <c r="D198" t="s">
        <v>443</v>
      </c>
      <c r="E198" t="s">
        <v>444</v>
      </c>
      <c r="F198" t="s">
        <v>445</v>
      </c>
    </row>
    <row r="199" spans="2:6" x14ac:dyDescent="0.25">
      <c r="C199" t="s">
        <v>122</v>
      </c>
      <c r="D199" t="s">
        <v>267</v>
      </c>
      <c r="E199" t="s">
        <v>268</v>
      </c>
      <c r="F199" t="s">
        <v>446</v>
      </c>
    </row>
    <row r="200" spans="2:6" x14ac:dyDescent="0.25">
      <c r="E200" t="s">
        <v>269</v>
      </c>
      <c r="F200" t="s">
        <v>446</v>
      </c>
    </row>
    <row r="201" spans="2:6" x14ac:dyDescent="0.25">
      <c r="D201" t="s">
        <v>270</v>
      </c>
      <c r="E201" t="s">
        <v>271</v>
      </c>
      <c r="F201" t="s">
        <v>432</v>
      </c>
    </row>
    <row r="202" spans="2:6" x14ac:dyDescent="0.25">
      <c r="E202" t="s">
        <v>272</v>
      </c>
      <c r="F202" t="s">
        <v>432</v>
      </c>
    </row>
    <row r="203" spans="2:6" x14ac:dyDescent="0.25">
      <c r="E203" t="s">
        <v>273</v>
      </c>
      <c r="F203" t="s">
        <v>432</v>
      </c>
    </row>
    <row r="204" spans="2:6" x14ac:dyDescent="0.25">
      <c r="D204" t="s">
        <v>274</v>
      </c>
      <c r="E204" t="s">
        <v>274</v>
      </c>
      <c r="F204" t="s">
        <v>447</v>
      </c>
    </row>
    <row r="205" spans="2:6" x14ac:dyDescent="0.25">
      <c r="E205" t="s">
        <v>275</v>
      </c>
      <c r="F205" t="s">
        <v>447</v>
      </c>
    </row>
    <row r="206" spans="2:6" x14ac:dyDescent="0.25">
      <c r="C206" t="s">
        <v>325</v>
      </c>
      <c r="D206" t="s">
        <v>262</v>
      </c>
      <c r="E206" t="s">
        <v>263</v>
      </c>
      <c r="F206" t="s">
        <v>448</v>
      </c>
    </row>
    <row r="207" spans="2:6" x14ac:dyDescent="0.25">
      <c r="E207" t="s">
        <v>264</v>
      </c>
      <c r="F207" t="s">
        <v>448</v>
      </c>
    </row>
    <row r="208" spans="2:6" x14ac:dyDescent="0.25">
      <c r="E208" t="s">
        <v>265</v>
      </c>
      <c r="F208" t="s">
        <v>448</v>
      </c>
    </row>
    <row r="209" spans="1:6" x14ac:dyDescent="0.25">
      <c r="E209" t="s">
        <v>266</v>
      </c>
      <c r="F209" t="s">
        <v>448</v>
      </c>
    </row>
    <row r="210" spans="1:6" x14ac:dyDescent="0.25">
      <c r="D210" t="s">
        <v>276</v>
      </c>
      <c r="E210" t="s">
        <v>277</v>
      </c>
      <c r="F210" t="s">
        <v>449</v>
      </c>
    </row>
    <row r="211" spans="1:6" x14ac:dyDescent="0.25">
      <c r="E211" t="s">
        <v>278</v>
      </c>
      <c r="F211" t="s">
        <v>449</v>
      </c>
    </row>
    <row r="212" spans="1:6" x14ac:dyDescent="0.25">
      <c r="A212" t="s">
        <v>279</v>
      </c>
      <c r="B212" t="s">
        <v>279</v>
      </c>
      <c r="C212" t="s">
        <v>450</v>
      </c>
      <c r="D212" t="s">
        <v>450</v>
      </c>
      <c r="E212" t="s">
        <v>450</v>
      </c>
      <c r="F212" t="s">
        <v>451</v>
      </c>
    </row>
    <row r="213" spans="1:6" x14ac:dyDescent="0.25">
      <c r="D213" t="s">
        <v>61</v>
      </c>
      <c r="E213" t="s">
        <v>452</v>
      </c>
      <c r="F213" t="s">
        <v>453</v>
      </c>
    </row>
    <row r="214" spans="1:6" x14ac:dyDescent="0.25">
      <c r="E214" t="s">
        <v>454</v>
      </c>
      <c r="F214" t="s">
        <v>455</v>
      </c>
    </row>
    <row r="215" spans="1:6" x14ac:dyDescent="0.25">
      <c r="E215" t="s">
        <v>456</v>
      </c>
      <c r="F215" t="s">
        <v>457</v>
      </c>
    </row>
    <row r="216" spans="1:6" x14ac:dyDescent="0.25">
      <c r="E216" t="s">
        <v>458</v>
      </c>
      <c r="F216" t="s">
        <v>459</v>
      </c>
    </row>
    <row r="217" spans="1:6" x14ac:dyDescent="0.25">
      <c r="E217" t="s">
        <v>460</v>
      </c>
      <c r="F217" t="s">
        <v>459</v>
      </c>
    </row>
    <row r="218" spans="1:6" x14ac:dyDescent="0.25">
      <c r="C218" t="s">
        <v>461</v>
      </c>
      <c r="D218" t="s">
        <v>61</v>
      </c>
      <c r="E218" t="s">
        <v>62</v>
      </c>
      <c r="F218" t="s">
        <v>462</v>
      </c>
    </row>
    <row r="219" spans="1:6" x14ac:dyDescent="0.25">
      <c r="C219" t="s">
        <v>334</v>
      </c>
      <c r="D219" t="s">
        <v>61</v>
      </c>
      <c r="E219" t="s">
        <v>463</v>
      </c>
      <c r="F219" t="s">
        <v>464</v>
      </c>
    </row>
    <row r="220" spans="1:6" x14ac:dyDescent="0.25">
      <c r="C220" t="s">
        <v>299</v>
      </c>
      <c r="D220" t="s">
        <v>61</v>
      </c>
      <c r="E220" t="s">
        <v>465</v>
      </c>
      <c r="F220" t="s">
        <v>466</v>
      </c>
    </row>
    <row r="221" spans="1:6" x14ac:dyDescent="0.25">
      <c r="C221" t="s">
        <v>122</v>
      </c>
      <c r="D221" t="s">
        <v>122</v>
      </c>
      <c r="E221" t="s">
        <v>122</v>
      </c>
      <c r="F221" t="s">
        <v>467</v>
      </c>
    </row>
    <row r="222" spans="1:6" x14ac:dyDescent="0.25">
      <c r="D222" t="s">
        <v>61</v>
      </c>
      <c r="E222" t="s">
        <v>468</v>
      </c>
      <c r="F222" t="s">
        <v>336</v>
      </c>
    </row>
    <row r="223" spans="1:6" x14ac:dyDescent="0.25">
      <c r="F223" t="s">
        <v>469</v>
      </c>
    </row>
    <row r="224" spans="1:6" x14ac:dyDescent="0.25">
      <c r="F224" t="s">
        <v>470</v>
      </c>
    </row>
    <row r="225" spans="3:6" x14ac:dyDescent="0.25">
      <c r="F225" t="s">
        <v>471</v>
      </c>
    </row>
    <row r="226" spans="3:6" x14ac:dyDescent="0.25">
      <c r="E226" t="s">
        <v>472</v>
      </c>
      <c r="F226" t="s">
        <v>473</v>
      </c>
    </row>
    <row r="227" spans="3:6" x14ac:dyDescent="0.25">
      <c r="E227" t="s">
        <v>62</v>
      </c>
      <c r="F227" t="s">
        <v>469</v>
      </c>
    </row>
    <row r="228" spans="3:6" x14ac:dyDescent="0.25">
      <c r="F228" t="s">
        <v>470</v>
      </c>
    </row>
    <row r="229" spans="3:6" x14ac:dyDescent="0.25">
      <c r="C229" t="s">
        <v>474</v>
      </c>
      <c r="D229" t="s">
        <v>475</v>
      </c>
      <c r="E229" t="s">
        <v>476</v>
      </c>
      <c r="F229" t="s">
        <v>477</v>
      </c>
    </row>
    <row r="230" spans="3:6" x14ac:dyDescent="0.25">
      <c r="D230" t="s">
        <v>478</v>
      </c>
      <c r="E230" t="s">
        <v>479</v>
      </c>
      <c r="F230" t="s">
        <v>480</v>
      </c>
    </row>
    <row r="231" spans="3:6" x14ac:dyDescent="0.25">
      <c r="D231" t="s">
        <v>61</v>
      </c>
      <c r="E231" t="s">
        <v>481</v>
      </c>
      <c r="F231" t="s">
        <v>482</v>
      </c>
    </row>
    <row r="232" spans="3:6" x14ac:dyDescent="0.25">
      <c r="F232" t="s">
        <v>483</v>
      </c>
    </row>
    <row r="233" spans="3:6" x14ac:dyDescent="0.25">
      <c r="E233" t="s">
        <v>484</v>
      </c>
      <c r="F233" t="s">
        <v>483</v>
      </c>
    </row>
    <row r="234" spans="3:6" x14ac:dyDescent="0.25">
      <c r="E234" t="s">
        <v>485</v>
      </c>
      <c r="F234" t="s">
        <v>482</v>
      </c>
    </row>
    <row r="235" spans="3:6" x14ac:dyDescent="0.25">
      <c r="E235" t="s">
        <v>486</v>
      </c>
      <c r="F235" t="s">
        <v>482</v>
      </c>
    </row>
    <row r="236" spans="3:6" x14ac:dyDescent="0.25">
      <c r="E236" t="s">
        <v>487</v>
      </c>
      <c r="F236" t="s">
        <v>482</v>
      </c>
    </row>
    <row r="237" spans="3:6" x14ac:dyDescent="0.25">
      <c r="E237" t="s">
        <v>62</v>
      </c>
      <c r="F237" t="s">
        <v>488</v>
      </c>
    </row>
    <row r="238" spans="3:6" x14ac:dyDescent="0.25">
      <c r="F238" t="s">
        <v>483</v>
      </c>
    </row>
    <row r="239" spans="3:6" x14ac:dyDescent="0.25">
      <c r="D239" t="s">
        <v>489</v>
      </c>
      <c r="E239" t="s">
        <v>490</v>
      </c>
      <c r="F239" t="s">
        <v>482</v>
      </c>
    </row>
    <row r="240" spans="3:6" x14ac:dyDescent="0.25">
      <c r="C240" t="s">
        <v>491</v>
      </c>
      <c r="D240" t="s">
        <v>61</v>
      </c>
      <c r="E240" t="s">
        <v>481</v>
      </c>
      <c r="F240" t="s">
        <v>492</v>
      </c>
    </row>
    <row r="241" spans="3:6" x14ac:dyDescent="0.25">
      <c r="E241" t="s">
        <v>493</v>
      </c>
      <c r="F241" t="s">
        <v>492</v>
      </c>
    </row>
    <row r="242" spans="3:6" x14ac:dyDescent="0.25">
      <c r="E242" t="s">
        <v>494</v>
      </c>
      <c r="F242" t="s">
        <v>492</v>
      </c>
    </row>
    <row r="243" spans="3:6" x14ac:dyDescent="0.25">
      <c r="E243" t="s">
        <v>62</v>
      </c>
      <c r="F243" t="s">
        <v>492</v>
      </c>
    </row>
    <row r="244" spans="3:6" x14ac:dyDescent="0.25">
      <c r="C244" t="s">
        <v>415</v>
      </c>
      <c r="D244" t="s">
        <v>61</v>
      </c>
      <c r="E244" t="s">
        <v>495</v>
      </c>
      <c r="F244" t="s">
        <v>496</v>
      </c>
    </row>
    <row r="245" spans="3:6" x14ac:dyDescent="0.25">
      <c r="C245" t="s">
        <v>497</v>
      </c>
      <c r="D245" t="s">
        <v>61</v>
      </c>
      <c r="E245" t="s">
        <v>48</v>
      </c>
      <c r="F245" t="s">
        <v>498</v>
      </c>
    </row>
    <row r="246" spans="3:6" x14ac:dyDescent="0.25">
      <c r="E246" t="s">
        <v>499</v>
      </c>
      <c r="F246" t="s">
        <v>498</v>
      </c>
    </row>
    <row r="247" spans="3:6" x14ac:dyDescent="0.25">
      <c r="C247" t="s">
        <v>325</v>
      </c>
      <c r="D247" t="s">
        <v>61</v>
      </c>
      <c r="E247" t="s">
        <v>500</v>
      </c>
      <c r="F247" t="s">
        <v>501</v>
      </c>
    </row>
    <row r="248" spans="3:6" x14ac:dyDescent="0.25">
      <c r="E248" t="s">
        <v>481</v>
      </c>
      <c r="F248" t="s">
        <v>501</v>
      </c>
    </row>
    <row r="249" spans="3:6" x14ac:dyDescent="0.25">
      <c r="F249" t="s">
        <v>502</v>
      </c>
    </row>
    <row r="250" spans="3:6" x14ac:dyDescent="0.25">
      <c r="F250" t="s">
        <v>503</v>
      </c>
    </row>
    <row r="251" spans="3:6" x14ac:dyDescent="0.25">
      <c r="F251" t="s">
        <v>504</v>
      </c>
    </row>
    <row r="252" spans="3:6" x14ac:dyDescent="0.25">
      <c r="F252" t="s">
        <v>505</v>
      </c>
    </row>
    <row r="253" spans="3:6" x14ac:dyDescent="0.25">
      <c r="F253" t="s">
        <v>506</v>
      </c>
    </row>
    <row r="254" spans="3:6" x14ac:dyDescent="0.25">
      <c r="F254" t="s">
        <v>507</v>
      </c>
    </row>
    <row r="255" spans="3:6" x14ac:dyDescent="0.25">
      <c r="F255" t="s">
        <v>508</v>
      </c>
    </row>
    <row r="256" spans="3:6" x14ac:dyDescent="0.25">
      <c r="F256" t="s">
        <v>509</v>
      </c>
    </row>
    <row r="257" spans="5:6" x14ac:dyDescent="0.25">
      <c r="F257" t="s">
        <v>510</v>
      </c>
    </row>
    <row r="258" spans="5:6" x14ac:dyDescent="0.25">
      <c r="F258" t="s">
        <v>511</v>
      </c>
    </row>
    <row r="259" spans="5:6" x14ac:dyDescent="0.25">
      <c r="E259" t="s">
        <v>512</v>
      </c>
      <c r="F259" t="s">
        <v>513</v>
      </c>
    </row>
    <row r="260" spans="5:6" x14ac:dyDescent="0.25">
      <c r="E260" t="s">
        <v>514</v>
      </c>
      <c r="F260" t="s">
        <v>515</v>
      </c>
    </row>
    <row r="261" spans="5:6" x14ac:dyDescent="0.25">
      <c r="E261" t="s">
        <v>516</v>
      </c>
      <c r="F261" t="s">
        <v>505</v>
      </c>
    </row>
    <row r="262" spans="5:6" x14ac:dyDescent="0.25">
      <c r="E262" t="s">
        <v>517</v>
      </c>
      <c r="F262" t="s">
        <v>509</v>
      </c>
    </row>
    <row r="263" spans="5:6" x14ac:dyDescent="0.25">
      <c r="E263" t="s">
        <v>518</v>
      </c>
      <c r="F263" t="s">
        <v>519</v>
      </c>
    </row>
    <row r="264" spans="5:6" x14ac:dyDescent="0.25">
      <c r="E264" t="s">
        <v>520</v>
      </c>
      <c r="F264" t="s">
        <v>519</v>
      </c>
    </row>
    <row r="265" spans="5:6" x14ac:dyDescent="0.25">
      <c r="E265" t="s">
        <v>521</v>
      </c>
      <c r="F265" t="s">
        <v>519</v>
      </c>
    </row>
    <row r="266" spans="5:6" x14ac:dyDescent="0.25">
      <c r="E266" t="s">
        <v>522</v>
      </c>
      <c r="F266" t="s">
        <v>523</v>
      </c>
    </row>
    <row r="267" spans="5:6" x14ac:dyDescent="0.25">
      <c r="E267" t="s">
        <v>62</v>
      </c>
      <c r="F267" t="s">
        <v>501</v>
      </c>
    </row>
    <row r="268" spans="5:6" x14ac:dyDescent="0.25">
      <c r="F268" t="s">
        <v>524</v>
      </c>
    </row>
    <row r="269" spans="5:6" x14ac:dyDescent="0.25">
      <c r="F269" t="s">
        <v>503</v>
      </c>
    </row>
    <row r="270" spans="5:6" x14ac:dyDescent="0.25">
      <c r="F270" t="s">
        <v>504</v>
      </c>
    </row>
    <row r="271" spans="5:6" x14ac:dyDescent="0.25">
      <c r="F271" t="s">
        <v>505</v>
      </c>
    </row>
    <row r="272" spans="5:6" x14ac:dyDescent="0.25">
      <c r="F272" t="s">
        <v>508</v>
      </c>
    </row>
    <row r="273" spans="3:6" x14ac:dyDescent="0.25">
      <c r="F273" t="s">
        <v>509</v>
      </c>
    </row>
    <row r="274" spans="3:6" x14ac:dyDescent="0.25">
      <c r="F274" t="s">
        <v>525</v>
      </c>
    </row>
    <row r="275" spans="3:6" x14ac:dyDescent="0.25">
      <c r="F275" t="s">
        <v>513</v>
      </c>
    </row>
    <row r="276" spans="3:6" x14ac:dyDescent="0.25">
      <c r="E276" t="s">
        <v>526</v>
      </c>
      <c r="F276" t="s">
        <v>527</v>
      </c>
    </row>
    <row r="277" spans="3:6" x14ac:dyDescent="0.25">
      <c r="E277" t="s">
        <v>528</v>
      </c>
      <c r="F277" t="s">
        <v>527</v>
      </c>
    </row>
    <row r="278" spans="3:6" x14ac:dyDescent="0.25">
      <c r="C278" t="s">
        <v>86</v>
      </c>
      <c r="D278" t="s">
        <v>529</v>
      </c>
      <c r="E278" t="s">
        <v>530</v>
      </c>
      <c r="F278" t="s">
        <v>531</v>
      </c>
    </row>
    <row r="279" spans="3:6" x14ac:dyDescent="0.25">
      <c r="C279" t="s">
        <v>532</v>
      </c>
      <c r="D279" t="s">
        <v>61</v>
      </c>
      <c r="E279" t="s">
        <v>533</v>
      </c>
      <c r="F279" t="s">
        <v>534</v>
      </c>
    </row>
    <row r="280" spans="3:6" x14ac:dyDescent="0.25">
      <c r="E280" t="s">
        <v>468</v>
      </c>
      <c r="F280" t="s">
        <v>534</v>
      </c>
    </row>
    <row r="281" spans="3:6" x14ac:dyDescent="0.25">
      <c r="E281" t="s">
        <v>62</v>
      </c>
      <c r="F281" t="s">
        <v>534</v>
      </c>
    </row>
    <row r="282" spans="3:6" x14ac:dyDescent="0.25">
      <c r="C282" t="s">
        <v>535</v>
      </c>
      <c r="D282" t="s">
        <v>536</v>
      </c>
      <c r="E282" t="s">
        <v>537</v>
      </c>
      <c r="F282" t="s">
        <v>538</v>
      </c>
    </row>
    <row r="283" spans="3:6" x14ac:dyDescent="0.25">
      <c r="C283" t="s">
        <v>290</v>
      </c>
      <c r="D283" t="s">
        <v>61</v>
      </c>
      <c r="E283" t="s">
        <v>481</v>
      </c>
      <c r="F283" t="s">
        <v>539</v>
      </c>
    </row>
    <row r="284" spans="3:6" x14ac:dyDescent="0.25">
      <c r="F284" t="s">
        <v>540</v>
      </c>
    </row>
    <row r="285" spans="3:6" x14ac:dyDescent="0.25">
      <c r="F285" t="s">
        <v>541</v>
      </c>
    </row>
    <row r="286" spans="3:6" x14ac:dyDescent="0.25">
      <c r="F286" t="s">
        <v>542</v>
      </c>
    </row>
    <row r="287" spans="3:6" x14ac:dyDescent="0.25">
      <c r="F287" t="s">
        <v>543</v>
      </c>
    </row>
    <row r="288" spans="3:6" x14ac:dyDescent="0.25">
      <c r="F288" t="s">
        <v>544</v>
      </c>
    </row>
    <row r="289" spans="5:6" x14ac:dyDescent="0.25">
      <c r="F289" t="s">
        <v>545</v>
      </c>
    </row>
    <row r="290" spans="5:6" x14ac:dyDescent="0.25">
      <c r="F290" t="s">
        <v>546</v>
      </c>
    </row>
    <row r="291" spans="5:6" x14ac:dyDescent="0.25">
      <c r="F291" t="s">
        <v>547</v>
      </c>
    </row>
    <row r="292" spans="5:6" x14ac:dyDescent="0.25">
      <c r="F292" t="s">
        <v>548</v>
      </c>
    </row>
    <row r="293" spans="5:6" x14ac:dyDescent="0.25">
      <c r="F293" t="s">
        <v>549</v>
      </c>
    </row>
    <row r="294" spans="5:6" x14ac:dyDescent="0.25">
      <c r="F294" t="s">
        <v>550</v>
      </c>
    </row>
    <row r="295" spans="5:6" x14ac:dyDescent="0.25">
      <c r="F295" t="s">
        <v>551</v>
      </c>
    </row>
    <row r="296" spans="5:6" x14ac:dyDescent="0.25">
      <c r="F296" t="s">
        <v>552</v>
      </c>
    </row>
    <row r="297" spans="5:6" x14ac:dyDescent="0.25">
      <c r="F297" t="s">
        <v>553</v>
      </c>
    </row>
    <row r="298" spans="5:6" x14ac:dyDescent="0.25">
      <c r="F298" t="s">
        <v>554</v>
      </c>
    </row>
    <row r="299" spans="5:6" x14ac:dyDescent="0.25">
      <c r="F299" t="s">
        <v>555</v>
      </c>
    </row>
    <row r="300" spans="5:6" x14ac:dyDescent="0.25">
      <c r="F300" t="s">
        <v>556</v>
      </c>
    </row>
    <row r="301" spans="5:6" x14ac:dyDescent="0.25">
      <c r="F301" t="s">
        <v>557</v>
      </c>
    </row>
    <row r="302" spans="5:6" x14ac:dyDescent="0.25">
      <c r="E302" t="s">
        <v>558</v>
      </c>
      <c r="F302" t="s">
        <v>559</v>
      </c>
    </row>
    <row r="303" spans="5:6" x14ac:dyDescent="0.25">
      <c r="E303" t="s">
        <v>560</v>
      </c>
      <c r="F303" t="s">
        <v>543</v>
      </c>
    </row>
    <row r="304" spans="5:6" x14ac:dyDescent="0.25">
      <c r="E304" t="s">
        <v>561</v>
      </c>
      <c r="F304" t="s">
        <v>562</v>
      </c>
    </row>
    <row r="305" spans="5:6" x14ac:dyDescent="0.25">
      <c r="E305" t="s">
        <v>563</v>
      </c>
      <c r="F305" t="s">
        <v>559</v>
      </c>
    </row>
    <row r="306" spans="5:6" x14ac:dyDescent="0.25">
      <c r="E306" t="s">
        <v>564</v>
      </c>
      <c r="F306" t="s">
        <v>565</v>
      </c>
    </row>
    <row r="307" spans="5:6" x14ac:dyDescent="0.25">
      <c r="E307" t="s">
        <v>566</v>
      </c>
      <c r="F307" t="s">
        <v>565</v>
      </c>
    </row>
    <row r="308" spans="5:6" x14ac:dyDescent="0.25">
      <c r="E308" t="s">
        <v>567</v>
      </c>
      <c r="F308" t="s">
        <v>565</v>
      </c>
    </row>
    <row r="309" spans="5:6" x14ac:dyDescent="0.25">
      <c r="E309" t="s">
        <v>568</v>
      </c>
      <c r="F309" t="s">
        <v>569</v>
      </c>
    </row>
    <row r="310" spans="5:6" x14ac:dyDescent="0.25">
      <c r="E310" t="s">
        <v>570</v>
      </c>
      <c r="F310" t="s">
        <v>571</v>
      </c>
    </row>
    <row r="311" spans="5:6" x14ac:dyDescent="0.25">
      <c r="E311" t="s">
        <v>572</v>
      </c>
      <c r="F311" t="s">
        <v>573</v>
      </c>
    </row>
    <row r="312" spans="5:6" x14ac:dyDescent="0.25">
      <c r="E312" t="s">
        <v>62</v>
      </c>
      <c r="F312" t="s">
        <v>539</v>
      </c>
    </row>
    <row r="313" spans="5:6" x14ac:dyDescent="0.25">
      <c r="F313" t="s">
        <v>540</v>
      </c>
    </row>
    <row r="314" spans="5:6" x14ac:dyDescent="0.25">
      <c r="F314" t="s">
        <v>541</v>
      </c>
    </row>
    <row r="315" spans="5:6" x14ac:dyDescent="0.25">
      <c r="F315" t="s">
        <v>542</v>
      </c>
    </row>
    <row r="316" spans="5:6" x14ac:dyDescent="0.25">
      <c r="F316" t="s">
        <v>544</v>
      </c>
    </row>
    <row r="317" spans="5:6" x14ac:dyDescent="0.25">
      <c r="F317" t="s">
        <v>545</v>
      </c>
    </row>
    <row r="318" spans="5:6" x14ac:dyDescent="0.25">
      <c r="F318" t="s">
        <v>546</v>
      </c>
    </row>
    <row r="319" spans="5:6" x14ac:dyDescent="0.25">
      <c r="F319" t="s">
        <v>547</v>
      </c>
    </row>
    <row r="320" spans="5:6" x14ac:dyDescent="0.25">
      <c r="F320" t="s">
        <v>549</v>
      </c>
    </row>
    <row r="321" spans="3:6" x14ac:dyDescent="0.25">
      <c r="F321" t="s">
        <v>552</v>
      </c>
    </row>
    <row r="322" spans="3:6" x14ac:dyDescent="0.25">
      <c r="F322" t="s">
        <v>569</v>
      </c>
    </row>
    <row r="323" spans="3:6" x14ac:dyDescent="0.25">
      <c r="F323" t="s">
        <v>553</v>
      </c>
    </row>
    <row r="324" spans="3:6" x14ac:dyDescent="0.25">
      <c r="F324" t="s">
        <v>574</v>
      </c>
    </row>
    <row r="325" spans="3:6" x14ac:dyDescent="0.25">
      <c r="E325" t="s">
        <v>575</v>
      </c>
      <c r="F325" t="s">
        <v>569</v>
      </c>
    </row>
    <row r="326" spans="3:6" x14ac:dyDescent="0.25">
      <c r="E326" t="s">
        <v>576</v>
      </c>
      <c r="F326" t="s">
        <v>569</v>
      </c>
    </row>
    <row r="327" spans="3:6" x14ac:dyDescent="0.25">
      <c r="C327" t="s">
        <v>346</v>
      </c>
      <c r="D327" t="s">
        <v>577</v>
      </c>
      <c r="E327" t="s">
        <v>578</v>
      </c>
      <c r="F327" t="s">
        <v>579</v>
      </c>
    </row>
    <row r="328" spans="3:6" x14ac:dyDescent="0.25">
      <c r="D328" t="s">
        <v>61</v>
      </c>
      <c r="E328" t="s">
        <v>580</v>
      </c>
      <c r="F328" t="s">
        <v>581</v>
      </c>
    </row>
    <row r="329" spans="3:6" x14ac:dyDescent="0.25">
      <c r="E329" t="s">
        <v>62</v>
      </c>
      <c r="F329" t="s">
        <v>569</v>
      </c>
    </row>
    <row r="330" spans="3:6" x14ac:dyDescent="0.25">
      <c r="F330" t="s">
        <v>582</v>
      </c>
    </row>
    <row r="331" spans="3:6" x14ac:dyDescent="0.25">
      <c r="F331" t="s">
        <v>583</v>
      </c>
    </row>
    <row r="332" spans="3:6" x14ac:dyDescent="0.25">
      <c r="F332" t="s">
        <v>584</v>
      </c>
    </row>
    <row r="333" spans="3:6" x14ac:dyDescent="0.25">
      <c r="E333" t="s">
        <v>585</v>
      </c>
      <c r="F333" t="s">
        <v>569</v>
      </c>
    </row>
    <row r="334" spans="3:6" x14ac:dyDescent="0.25">
      <c r="E334" t="s">
        <v>586</v>
      </c>
      <c r="F334" t="s">
        <v>569</v>
      </c>
    </row>
    <row r="335" spans="3:6" x14ac:dyDescent="0.25">
      <c r="E335" t="s">
        <v>587</v>
      </c>
      <c r="F335" t="s">
        <v>569</v>
      </c>
    </row>
    <row r="336" spans="3:6" x14ac:dyDescent="0.25">
      <c r="D336" t="s">
        <v>588</v>
      </c>
      <c r="E336" t="s">
        <v>589</v>
      </c>
      <c r="F336" t="s">
        <v>590</v>
      </c>
    </row>
    <row r="337" spans="3:6" x14ac:dyDescent="0.25">
      <c r="D337" t="s">
        <v>591</v>
      </c>
      <c r="E337" t="s">
        <v>592</v>
      </c>
      <c r="F337" t="s">
        <v>593</v>
      </c>
    </row>
    <row r="338" spans="3:6" x14ac:dyDescent="0.25">
      <c r="C338" t="s">
        <v>594</v>
      </c>
      <c r="D338" t="s">
        <v>61</v>
      </c>
      <c r="E338" t="s">
        <v>468</v>
      </c>
      <c r="F338" t="s">
        <v>595</v>
      </c>
    </row>
    <row r="339" spans="3:6" x14ac:dyDescent="0.25">
      <c r="F339" t="s">
        <v>596</v>
      </c>
    </row>
    <row r="340" spans="3:6" x14ac:dyDescent="0.25">
      <c r="E340" t="s">
        <v>597</v>
      </c>
      <c r="F340" t="s">
        <v>598</v>
      </c>
    </row>
    <row r="341" spans="3:6" x14ac:dyDescent="0.25">
      <c r="E341" t="s">
        <v>599</v>
      </c>
      <c r="F341" t="s">
        <v>600</v>
      </c>
    </row>
    <row r="342" spans="3:6" x14ac:dyDescent="0.25">
      <c r="C342" t="s">
        <v>601</v>
      </c>
      <c r="D342" t="s">
        <v>61</v>
      </c>
      <c r="E342" t="s">
        <v>602</v>
      </c>
      <c r="F342" t="s">
        <v>603</v>
      </c>
    </row>
    <row r="343" spans="3:6" x14ac:dyDescent="0.25">
      <c r="E343" t="s">
        <v>604</v>
      </c>
      <c r="F343" t="s">
        <v>605</v>
      </c>
    </row>
    <row r="344" spans="3:6" x14ac:dyDescent="0.25">
      <c r="E344" t="s">
        <v>481</v>
      </c>
      <c r="F344" t="s">
        <v>505</v>
      </c>
    </row>
    <row r="345" spans="3:6" x14ac:dyDescent="0.25">
      <c r="F345" t="s">
        <v>551</v>
      </c>
    </row>
    <row r="346" spans="3:6" x14ac:dyDescent="0.25">
      <c r="F346" t="s">
        <v>606</v>
      </c>
    </row>
    <row r="347" spans="3:6" x14ac:dyDescent="0.25">
      <c r="F347" t="s">
        <v>607</v>
      </c>
    </row>
    <row r="348" spans="3:6" x14ac:dyDescent="0.25">
      <c r="F348" t="s">
        <v>608</v>
      </c>
    </row>
    <row r="349" spans="3:6" x14ac:dyDescent="0.25">
      <c r="F349" t="s">
        <v>609</v>
      </c>
    </row>
    <row r="350" spans="3:6" x14ac:dyDescent="0.25">
      <c r="F350" t="s">
        <v>610</v>
      </c>
    </row>
    <row r="351" spans="3:6" x14ac:dyDescent="0.25">
      <c r="F351" t="s">
        <v>611</v>
      </c>
    </row>
    <row r="352" spans="3:6" x14ac:dyDescent="0.25">
      <c r="F352" t="s">
        <v>612</v>
      </c>
    </row>
    <row r="353" spans="5:6" x14ac:dyDescent="0.25">
      <c r="F353" t="s">
        <v>613</v>
      </c>
    </row>
    <row r="354" spans="5:6" x14ac:dyDescent="0.25">
      <c r="F354" t="s">
        <v>614</v>
      </c>
    </row>
    <row r="355" spans="5:6" x14ac:dyDescent="0.25">
      <c r="F355" t="s">
        <v>615</v>
      </c>
    </row>
    <row r="356" spans="5:6" x14ac:dyDescent="0.25">
      <c r="F356" t="s">
        <v>616</v>
      </c>
    </row>
    <row r="357" spans="5:6" x14ac:dyDescent="0.25">
      <c r="F357" t="s">
        <v>617</v>
      </c>
    </row>
    <row r="358" spans="5:6" x14ac:dyDescent="0.25">
      <c r="F358" t="s">
        <v>618</v>
      </c>
    </row>
    <row r="359" spans="5:6" x14ac:dyDescent="0.25">
      <c r="F359" t="s">
        <v>619</v>
      </c>
    </row>
    <row r="360" spans="5:6" x14ac:dyDescent="0.25">
      <c r="F360" t="s">
        <v>620</v>
      </c>
    </row>
    <row r="361" spans="5:6" x14ac:dyDescent="0.25">
      <c r="F361" t="s">
        <v>621</v>
      </c>
    </row>
    <row r="362" spans="5:6" x14ac:dyDescent="0.25">
      <c r="F362" t="s">
        <v>622</v>
      </c>
    </row>
    <row r="363" spans="5:6" x14ac:dyDescent="0.25">
      <c r="F363" t="s">
        <v>623</v>
      </c>
    </row>
    <row r="364" spans="5:6" x14ac:dyDescent="0.25">
      <c r="F364" t="s">
        <v>624</v>
      </c>
    </row>
    <row r="365" spans="5:6" x14ac:dyDescent="0.25">
      <c r="F365" t="s">
        <v>625</v>
      </c>
    </row>
    <row r="366" spans="5:6" x14ac:dyDescent="0.25">
      <c r="F366" t="s">
        <v>626</v>
      </c>
    </row>
    <row r="367" spans="5:6" x14ac:dyDescent="0.25">
      <c r="F367" t="s">
        <v>627</v>
      </c>
    </row>
    <row r="368" spans="5:6" x14ac:dyDescent="0.25">
      <c r="E368" t="s">
        <v>628</v>
      </c>
      <c r="F368" t="s">
        <v>629</v>
      </c>
    </row>
    <row r="369" spans="5:6" x14ac:dyDescent="0.25">
      <c r="E369" t="s">
        <v>630</v>
      </c>
      <c r="F369" t="s">
        <v>629</v>
      </c>
    </row>
    <row r="370" spans="5:6" x14ac:dyDescent="0.25">
      <c r="E370" t="s">
        <v>631</v>
      </c>
      <c r="F370" t="s">
        <v>609</v>
      </c>
    </row>
    <row r="371" spans="5:6" x14ac:dyDescent="0.25">
      <c r="E371" t="s">
        <v>632</v>
      </c>
      <c r="F371" t="s">
        <v>629</v>
      </c>
    </row>
    <row r="372" spans="5:6" x14ac:dyDescent="0.25">
      <c r="E372" t="s">
        <v>633</v>
      </c>
      <c r="F372" t="s">
        <v>611</v>
      </c>
    </row>
    <row r="373" spans="5:6" x14ac:dyDescent="0.25">
      <c r="E373" t="s">
        <v>634</v>
      </c>
      <c r="F373" t="s">
        <v>635</v>
      </c>
    </row>
    <row r="374" spans="5:6" x14ac:dyDescent="0.25">
      <c r="E374" t="s">
        <v>636</v>
      </c>
      <c r="F374" t="s">
        <v>614</v>
      </c>
    </row>
    <row r="375" spans="5:6" x14ac:dyDescent="0.25">
      <c r="E375" t="s">
        <v>637</v>
      </c>
      <c r="F375" t="s">
        <v>638</v>
      </c>
    </row>
    <row r="376" spans="5:6" x14ac:dyDescent="0.25">
      <c r="E376" t="s">
        <v>639</v>
      </c>
      <c r="F376" t="s">
        <v>616</v>
      </c>
    </row>
    <row r="377" spans="5:6" x14ac:dyDescent="0.25">
      <c r="E377" t="s">
        <v>468</v>
      </c>
      <c r="F377" t="s">
        <v>640</v>
      </c>
    </row>
    <row r="378" spans="5:6" x14ac:dyDescent="0.25">
      <c r="F378" t="s">
        <v>627</v>
      </c>
    </row>
    <row r="379" spans="5:6" x14ac:dyDescent="0.25">
      <c r="E379" t="s">
        <v>62</v>
      </c>
      <c r="F379" t="s">
        <v>551</v>
      </c>
    </row>
    <row r="380" spans="5:6" x14ac:dyDescent="0.25">
      <c r="F380" t="s">
        <v>603</v>
      </c>
    </row>
    <row r="381" spans="5:6" x14ac:dyDescent="0.25">
      <c r="F381" t="s">
        <v>607</v>
      </c>
    </row>
    <row r="382" spans="5:6" x14ac:dyDescent="0.25">
      <c r="F382" t="s">
        <v>629</v>
      </c>
    </row>
    <row r="383" spans="5:6" x14ac:dyDescent="0.25">
      <c r="F383" t="s">
        <v>609</v>
      </c>
    </row>
    <row r="384" spans="5:6" x14ac:dyDescent="0.25">
      <c r="F384" t="s">
        <v>610</v>
      </c>
    </row>
    <row r="385" spans="6:6" x14ac:dyDescent="0.25">
      <c r="F385" t="s">
        <v>611</v>
      </c>
    </row>
    <row r="386" spans="6:6" x14ac:dyDescent="0.25">
      <c r="F386" t="s">
        <v>612</v>
      </c>
    </row>
    <row r="387" spans="6:6" x14ac:dyDescent="0.25">
      <c r="F387" t="s">
        <v>641</v>
      </c>
    </row>
    <row r="388" spans="6:6" x14ac:dyDescent="0.25">
      <c r="F388" t="s">
        <v>635</v>
      </c>
    </row>
    <row r="389" spans="6:6" x14ac:dyDescent="0.25">
      <c r="F389" t="s">
        <v>613</v>
      </c>
    </row>
    <row r="390" spans="6:6" x14ac:dyDescent="0.25">
      <c r="F390" t="s">
        <v>614</v>
      </c>
    </row>
    <row r="391" spans="6:6" x14ac:dyDescent="0.25">
      <c r="F391" t="s">
        <v>638</v>
      </c>
    </row>
    <row r="392" spans="6:6" x14ac:dyDescent="0.25">
      <c r="F392" t="s">
        <v>616</v>
      </c>
    </row>
    <row r="393" spans="6:6" x14ac:dyDescent="0.25">
      <c r="F393" t="s">
        <v>618</v>
      </c>
    </row>
    <row r="394" spans="6:6" x14ac:dyDescent="0.25">
      <c r="F394" t="s">
        <v>619</v>
      </c>
    </row>
    <row r="395" spans="6:6" x14ac:dyDescent="0.25">
      <c r="F395" t="s">
        <v>621</v>
      </c>
    </row>
    <row r="396" spans="6:6" x14ac:dyDescent="0.25">
      <c r="F396" t="s">
        <v>622</v>
      </c>
    </row>
    <row r="397" spans="6:6" x14ac:dyDescent="0.25">
      <c r="F397" t="s">
        <v>623</v>
      </c>
    </row>
    <row r="398" spans="6:6" x14ac:dyDescent="0.25">
      <c r="F398" t="s">
        <v>624</v>
      </c>
    </row>
    <row r="399" spans="6:6" x14ac:dyDescent="0.25">
      <c r="F399" t="s">
        <v>625</v>
      </c>
    </row>
    <row r="400" spans="6:6" x14ac:dyDescent="0.25">
      <c r="F400" t="s">
        <v>627</v>
      </c>
    </row>
    <row r="401" spans="1:6" x14ac:dyDescent="0.25">
      <c r="E401" t="s">
        <v>642</v>
      </c>
      <c r="F401" t="s">
        <v>622</v>
      </c>
    </row>
    <row r="402" spans="1:6" x14ac:dyDescent="0.25">
      <c r="D402" t="s">
        <v>601</v>
      </c>
      <c r="E402" t="s">
        <v>601</v>
      </c>
      <c r="F402" t="s">
        <v>643</v>
      </c>
    </row>
    <row r="403" spans="1:6" x14ac:dyDescent="0.25">
      <c r="A403" t="s">
        <v>280</v>
      </c>
      <c r="B403" t="s">
        <v>43</v>
      </c>
      <c r="C403" t="s">
        <v>644</v>
      </c>
      <c r="D403" t="s">
        <v>645</v>
      </c>
      <c r="E403" t="s">
        <v>646</v>
      </c>
      <c r="F403" t="s">
        <v>303</v>
      </c>
    </row>
    <row r="404" spans="1:6" x14ac:dyDescent="0.25">
      <c r="B404" t="s">
        <v>280</v>
      </c>
      <c r="C404" t="s">
        <v>305</v>
      </c>
      <c r="D404" t="s">
        <v>647</v>
      </c>
      <c r="E404" t="s">
        <v>648</v>
      </c>
      <c r="F404" t="s">
        <v>647</v>
      </c>
    </row>
    <row r="405" spans="1:6" x14ac:dyDescent="0.25">
      <c r="D405" t="s">
        <v>649</v>
      </c>
      <c r="E405" t="s">
        <v>650</v>
      </c>
      <c r="F405" t="s">
        <v>651</v>
      </c>
    </row>
    <row r="406" spans="1:6" x14ac:dyDescent="0.25">
      <c r="D406" t="s">
        <v>652</v>
      </c>
      <c r="E406" t="s">
        <v>653</v>
      </c>
      <c r="F406" t="s">
        <v>652</v>
      </c>
    </row>
    <row r="407" spans="1:6" x14ac:dyDescent="0.25">
      <c r="D407" t="s">
        <v>654</v>
      </c>
      <c r="E407" t="s">
        <v>655</v>
      </c>
      <c r="F407" t="s">
        <v>656</v>
      </c>
    </row>
    <row r="408" spans="1:6" x14ac:dyDescent="0.25">
      <c r="E408" t="s">
        <v>657</v>
      </c>
      <c r="F408" t="s">
        <v>656</v>
      </c>
    </row>
    <row r="409" spans="1:6" x14ac:dyDescent="0.25">
      <c r="D409" t="s">
        <v>658</v>
      </c>
      <c r="E409" t="s">
        <v>659</v>
      </c>
      <c r="F409" t="s">
        <v>660</v>
      </c>
    </row>
    <row r="410" spans="1:6" x14ac:dyDescent="0.25">
      <c r="E410" t="s">
        <v>661</v>
      </c>
      <c r="F410" t="s">
        <v>660</v>
      </c>
    </row>
    <row r="411" spans="1:6" x14ac:dyDescent="0.25">
      <c r="D411" t="s">
        <v>662</v>
      </c>
      <c r="E411" t="s">
        <v>663</v>
      </c>
      <c r="F411" t="s">
        <v>664</v>
      </c>
    </row>
    <row r="412" spans="1:6" x14ac:dyDescent="0.25">
      <c r="E412" t="s">
        <v>665</v>
      </c>
      <c r="F412" t="s">
        <v>664</v>
      </c>
    </row>
    <row r="413" spans="1:6" x14ac:dyDescent="0.25">
      <c r="D413" t="s">
        <v>666</v>
      </c>
      <c r="E413" t="s">
        <v>667</v>
      </c>
      <c r="F413" t="s">
        <v>668</v>
      </c>
    </row>
    <row r="414" spans="1:6" x14ac:dyDescent="0.25">
      <c r="E414" t="s">
        <v>669</v>
      </c>
      <c r="F414" t="s">
        <v>668</v>
      </c>
    </row>
    <row r="415" spans="1:6" x14ac:dyDescent="0.25">
      <c r="D415" t="s">
        <v>670</v>
      </c>
      <c r="E415" t="s">
        <v>671</v>
      </c>
      <c r="F415" t="s">
        <v>672</v>
      </c>
    </row>
    <row r="416" spans="1:6" x14ac:dyDescent="0.25">
      <c r="E416" t="s">
        <v>673</v>
      </c>
      <c r="F416" t="s">
        <v>672</v>
      </c>
    </row>
    <row r="417" spans="4:6" x14ac:dyDescent="0.25">
      <c r="D417" t="s">
        <v>674</v>
      </c>
      <c r="E417" t="s">
        <v>675</v>
      </c>
      <c r="F417" t="s">
        <v>676</v>
      </c>
    </row>
    <row r="418" spans="4:6" x14ac:dyDescent="0.25">
      <c r="E418" t="s">
        <v>677</v>
      </c>
      <c r="F418" t="s">
        <v>676</v>
      </c>
    </row>
    <row r="419" spans="4:6" x14ac:dyDescent="0.25">
      <c r="D419" t="s">
        <v>678</v>
      </c>
      <c r="E419" t="s">
        <v>679</v>
      </c>
      <c r="F419" t="s">
        <v>680</v>
      </c>
    </row>
    <row r="420" spans="4:6" x14ac:dyDescent="0.25">
      <c r="D420" t="s">
        <v>681</v>
      </c>
      <c r="E420" t="s">
        <v>682</v>
      </c>
      <c r="F420" t="s">
        <v>683</v>
      </c>
    </row>
    <row r="421" spans="4:6" x14ac:dyDescent="0.25">
      <c r="D421" t="s">
        <v>684</v>
      </c>
      <c r="E421" t="s">
        <v>685</v>
      </c>
      <c r="F421" t="s">
        <v>686</v>
      </c>
    </row>
    <row r="422" spans="4:6" x14ac:dyDescent="0.25">
      <c r="D422" t="s">
        <v>687</v>
      </c>
      <c r="E422" t="s">
        <v>688</v>
      </c>
      <c r="F422" t="s">
        <v>689</v>
      </c>
    </row>
    <row r="423" spans="4:6" x14ac:dyDescent="0.25">
      <c r="D423" t="s">
        <v>690</v>
      </c>
      <c r="E423" t="s">
        <v>691</v>
      </c>
      <c r="F423" t="s">
        <v>692</v>
      </c>
    </row>
    <row r="424" spans="4:6" x14ac:dyDescent="0.25">
      <c r="D424" t="s">
        <v>693</v>
      </c>
      <c r="E424" t="s">
        <v>694</v>
      </c>
      <c r="F424" t="s">
        <v>695</v>
      </c>
    </row>
    <row r="425" spans="4:6" x14ac:dyDescent="0.25">
      <c r="D425" t="s">
        <v>696</v>
      </c>
      <c r="E425" t="s">
        <v>697</v>
      </c>
      <c r="F425" t="s">
        <v>698</v>
      </c>
    </row>
    <row r="426" spans="4:6" x14ac:dyDescent="0.25">
      <c r="D426" t="s">
        <v>699</v>
      </c>
      <c r="E426" t="s">
        <v>700</v>
      </c>
      <c r="F426" t="s">
        <v>701</v>
      </c>
    </row>
    <row r="427" spans="4:6" x14ac:dyDescent="0.25">
      <c r="D427" t="s">
        <v>702</v>
      </c>
      <c r="E427" t="s">
        <v>703</v>
      </c>
      <c r="F427" t="s">
        <v>704</v>
      </c>
    </row>
    <row r="428" spans="4:6" x14ac:dyDescent="0.25">
      <c r="D428" t="s">
        <v>705</v>
      </c>
      <c r="E428" t="s">
        <v>706</v>
      </c>
      <c r="F428" t="s">
        <v>707</v>
      </c>
    </row>
    <row r="429" spans="4:6" x14ac:dyDescent="0.25">
      <c r="D429" t="s">
        <v>708</v>
      </c>
      <c r="E429" t="s">
        <v>709</v>
      </c>
      <c r="F429" t="s">
        <v>710</v>
      </c>
    </row>
    <row r="430" spans="4:6" x14ac:dyDescent="0.25">
      <c r="D430" t="s">
        <v>711</v>
      </c>
      <c r="E430" t="s">
        <v>712</v>
      </c>
      <c r="F430" t="s">
        <v>713</v>
      </c>
    </row>
    <row r="431" spans="4:6" x14ac:dyDescent="0.25">
      <c r="D431" t="s">
        <v>714</v>
      </c>
      <c r="E431" t="s">
        <v>715</v>
      </c>
      <c r="F431" t="s">
        <v>716</v>
      </c>
    </row>
    <row r="432" spans="4:6" x14ac:dyDescent="0.25">
      <c r="D432" t="s">
        <v>717</v>
      </c>
      <c r="E432" t="s">
        <v>718</v>
      </c>
      <c r="F432" t="s">
        <v>719</v>
      </c>
    </row>
    <row r="433" spans="4:6" x14ac:dyDescent="0.25">
      <c r="D433" t="s">
        <v>720</v>
      </c>
      <c r="E433" t="s">
        <v>721</v>
      </c>
      <c r="F433" t="s">
        <v>722</v>
      </c>
    </row>
    <row r="434" spans="4:6" x14ac:dyDescent="0.25">
      <c r="D434" t="s">
        <v>723</v>
      </c>
      <c r="E434" t="s">
        <v>724</v>
      </c>
      <c r="F434" t="s">
        <v>725</v>
      </c>
    </row>
    <row r="435" spans="4:6" x14ac:dyDescent="0.25">
      <c r="D435" t="s">
        <v>726</v>
      </c>
      <c r="E435" t="s">
        <v>727</v>
      </c>
      <c r="F435" t="s">
        <v>728</v>
      </c>
    </row>
    <row r="436" spans="4:6" x14ac:dyDescent="0.25">
      <c r="D436" t="s">
        <v>729</v>
      </c>
      <c r="E436" t="s">
        <v>730</v>
      </c>
      <c r="F436" t="s">
        <v>731</v>
      </c>
    </row>
    <row r="437" spans="4:6" x14ac:dyDescent="0.25">
      <c r="D437" t="s">
        <v>732</v>
      </c>
      <c r="E437" t="s">
        <v>733</v>
      </c>
      <c r="F437" t="s">
        <v>734</v>
      </c>
    </row>
    <row r="438" spans="4:6" x14ac:dyDescent="0.25">
      <c r="D438" t="s">
        <v>735</v>
      </c>
      <c r="E438" t="s">
        <v>736</v>
      </c>
      <c r="F438" t="s">
        <v>737</v>
      </c>
    </row>
    <row r="439" spans="4:6" x14ac:dyDescent="0.25">
      <c r="E439" t="s">
        <v>738</v>
      </c>
      <c r="F439" t="s">
        <v>737</v>
      </c>
    </row>
    <row r="440" spans="4:6" x14ac:dyDescent="0.25">
      <c r="D440" t="s">
        <v>739</v>
      </c>
      <c r="E440" t="s">
        <v>740</v>
      </c>
      <c r="F440" t="s">
        <v>741</v>
      </c>
    </row>
    <row r="441" spans="4:6" x14ac:dyDescent="0.25">
      <c r="E441" t="s">
        <v>742</v>
      </c>
      <c r="F441" t="s">
        <v>741</v>
      </c>
    </row>
    <row r="442" spans="4:6" x14ac:dyDescent="0.25">
      <c r="D442" t="s">
        <v>743</v>
      </c>
      <c r="E442" t="s">
        <v>744</v>
      </c>
      <c r="F442" t="s">
        <v>745</v>
      </c>
    </row>
    <row r="443" spans="4:6" x14ac:dyDescent="0.25">
      <c r="E443" t="s">
        <v>746</v>
      </c>
      <c r="F443" t="s">
        <v>745</v>
      </c>
    </row>
    <row r="444" spans="4:6" x14ac:dyDescent="0.25">
      <c r="D444" t="s">
        <v>747</v>
      </c>
      <c r="E444" t="s">
        <v>748</v>
      </c>
      <c r="F444" t="s">
        <v>749</v>
      </c>
    </row>
    <row r="445" spans="4:6" x14ac:dyDescent="0.25">
      <c r="E445" t="s">
        <v>750</v>
      </c>
      <c r="F445" t="s">
        <v>749</v>
      </c>
    </row>
    <row r="446" spans="4:6" x14ac:dyDescent="0.25">
      <c r="D446" t="s">
        <v>751</v>
      </c>
      <c r="E446" t="s">
        <v>752</v>
      </c>
      <c r="F446" t="s">
        <v>753</v>
      </c>
    </row>
    <row r="447" spans="4:6" x14ac:dyDescent="0.25">
      <c r="E447" t="s">
        <v>754</v>
      </c>
      <c r="F447" t="s">
        <v>753</v>
      </c>
    </row>
    <row r="448" spans="4:6" x14ac:dyDescent="0.25">
      <c r="D448" t="s">
        <v>755</v>
      </c>
      <c r="E448" t="s">
        <v>756</v>
      </c>
      <c r="F448" t="s">
        <v>757</v>
      </c>
    </row>
    <row r="449" spans="1:6" x14ac:dyDescent="0.25">
      <c r="E449" t="s">
        <v>758</v>
      </c>
      <c r="F449" t="s">
        <v>757</v>
      </c>
    </row>
    <row r="450" spans="1:6" x14ac:dyDescent="0.25">
      <c r="D450" t="s">
        <v>759</v>
      </c>
      <c r="E450" t="s">
        <v>760</v>
      </c>
      <c r="F450" t="s">
        <v>761</v>
      </c>
    </row>
    <row r="451" spans="1:6" x14ac:dyDescent="0.25">
      <c r="C451" t="s">
        <v>762</v>
      </c>
      <c r="D451" t="s">
        <v>61</v>
      </c>
      <c r="E451" t="s">
        <v>763</v>
      </c>
      <c r="F451" t="s">
        <v>764</v>
      </c>
    </row>
    <row r="452" spans="1:6" x14ac:dyDescent="0.25">
      <c r="E452" t="s">
        <v>765</v>
      </c>
      <c r="F452" t="s">
        <v>766</v>
      </c>
    </row>
    <row r="453" spans="1:6" x14ac:dyDescent="0.25">
      <c r="D453" t="s">
        <v>767</v>
      </c>
      <c r="E453" t="s">
        <v>768</v>
      </c>
      <c r="F453" t="s">
        <v>769</v>
      </c>
    </row>
    <row r="454" spans="1:6" x14ac:dyDescent="0.25">
      <c r="C454" t="s">
        <v>119</v>
      </c>
      <c r="D454" t="s">
        <v>770</v>
      </c>
      <c r="E454" t="s">
        <v>771</v>
      </c>
      <c r="F454" t="s">
        <v>772</v>
      </c>
    </row>
    <row r="455" spans="1:6" x14ac:dyDescent="0.25">
      <c r="D455" t="s">
        <v>773</v>
      </c>
      <c r="E455" t="s">
        <v>774</v>
      </c>
      <c r="F455" t="s">
        <v>775</v>
      </c>
    </row>
    <row r="456" spans="1:6" x14ac:dyDescent="0.25">
      <c r="D456" t="s">
        <v>61</v>
      </c>
      <c r="E456" t="s">
        <v>62</v>
      </c>
      <c r="F456" t="s">
        <v>776</v>
      </c>
    </row>
    <row r="457" spans="1:6" x14ac:dyDescent="0.25">
      <c r="D457" t="s">
        <v>777</v>
      </c>
      <c r="E457" t="s">
        <v>778</v>
      </c>
      <c r="F457" t="s">
        <v>779</v>
      </c>
    </row>
    <row r="458" spans="1:6" x14ac:dyDescent="0.25">
      <c r="A458" t="s">
        <v>50</v>
      </c>
      <c r="B458" t="s">
        <v>50</v>
      </c>
      <c r="C458" t="s">
        <v>86</v>
      </c>
      <c r="D458" t="s">
        <v>281</v>
      </c>
      <c r="E458" t="s">
        <v>282</v>
      </c>
      <c r="F458" t="s">
        <v>780</v>
      </c>
    </row>
    <row r="459" spans="1:6" x14ac:dyDescent="0.25">
      <c r="E459" t="s">
        <v>283</v>
      </c>
      <c r="F459" t="s">
        <v>780</v>
      </c>
    </row>
    <row r="460" spans="1:6" x14ac:dyDescent="0.25">
      <c r="E460" t="s">
        <v>284</v>
      </c>
      <c r="F460" t="s">
        <v>780</v>
      </c>
    </row>
    <row r="461" spans="1:6" x14ac:dyDescent="0.25">
      <c r="D461" t="s">
        <v>781</v>
      </c>
      <c r="E461" t="s">
        <v>782</v>
      </c>
      <c r="F461" t="s">
        <v>303</v>
      </c>
    </row>
    <row r="462" spans="1:6" x14ac:dyDescent="0.25">
      <c r="D462" t="s">
        <v>783</v>
      </c>
      <c r="E462" t="s">
        <v>784</v>
      </c>
      <c r="F462" t="s">
        <v>303</v>
      </c>
    </row>
    <row r="463" spans="1:6" x14ac:dyDescent="0.25">
      <c r="D463" t="s">
        <v>785</v>
      </c>
      <c r="E463" t="s">
        <v>786</v>
      </c>
      <c r="F463" t="s">
        <v>303</v>
      </c>
    </row>
    <row r="464" spans="1:6" x14ac:dyDescent="0.25">
      <c r="E464" t="s">
        <v>787</v>
      </c>
      <c r="F464" t="s">
        <v>303</v>
      </c>
    </row>
    <row r="465" spans="4:6" x14ac:dyDescent="0.25">
      <c r="D465" t="s">
        <v>788</v>
      </c>
      <c r="E465" t="s">
        <v>789</v>
      </c>
      <c r="F465" t="s">
        <v>303</v>
      </c>
    </row>
    <row r="466" spans="4:6" x14ac:dyDescent="0.25">
      <c r="D466" t="s">
        <v>790</v>
      </c>
      <c r="E466" t="s">
        <v>791</v>
      </c>
      <c r="F466" t="s">
        <v>303</v>
      </c>
    </row>
    <row r="467" spans="4:6" x14ac:dyDescent="0.25">
      <c r="D467" t="s">
        <v>792</v>
      </c>
      <c r="E467" t="s">
        <v>793</v>
      </c>
      <c r="F467" t="s">
        <v>303</v>
      </c>
    </row>
    <row r="468" spans="4:6" x14ac:dyDescent="0.25">
      <c r="D468" t="s">
        <v>794</v>
      </c>
      <c r="E468" t="s">
        <v>795</v>
      </c>
      <c r="F468" t="s">
        <v>303</v>
      </c>
    </row>
    <row r="469" spans="4:6" x14ac:dyDescent="0.25">
      <c r="D469" t="s">
        <v>796</v>
      </c>
      <c r="E469" t="s">
        <v>797</v>
      </c>
      <c r="F469" t="s">
        <v>303</v>
      </c>
    </row>
    <row r="470" spans="4:6" x14ac:dyDescent="0.25">
      <c r="D470" t="s">
        <v>798</v>
      </c>
      <c r="E470" t="s">
        <v>799</v>
      </c>
      <c r="F470" t="s">
        <v>303</v>
      </c>
    </row>
    <row r="471" spans="4:6" x14ac:dyDescent="0.25">
      <c r="D471" t="s">
        <v>800</v>
      </c>
      <c r="E471" t="s">
        <v>801</v>
      </c>
      <c r="F471" t="s">
        <v>303</v>
      </c>
    </row>
    <row r="472" spans="4:6" x14ac:dyDescent="0.25">
      <c r="D472" t="s">
        <v>802</v>
      </c>
      <c r="E472" t="s">
        <v>803</v>
      </c>
      <c r="F472" t="s">
        <v>303</v>
      </c>
    </row>
    <row r="473" spans="4:6" x14ac:dyDescent="0.25">
      <c r="D473" t="s">
        <v>804</v>
      </c>
      <c r="E473" t="s">
        <v>805</v>
      </c>
      <c r="F473" t="s">
        <v>303</v>
      </c>
    </row>
    <row r="474" spans="4:6" x14ac:dyDescent="0.25">
      <c r="D474" t="s">
        <v>806</v>
      </c>
      <c r="E474" t="s">
        <v>807</v>
      </c>
      <c r="F474" t="s">
        <v>303</v>
      </c>
    </row>
    <row r="475" spans="4:6" x14ac:dyDescent="0.25">
      <c r="D475" t="s">
        <v>808</v>
      </c>
      <c r="E475" t="s">
        <v>809</v>
      </c>
      <c r="F475" t="s">
        <v>303</v>
      </c>
    </row>
    <row r="476" spans="4:6" x14ac:dyDescent="0.25">
      <c r="D476" t="s">
        <v>810</v>
      </c>
      <c r="E476" t="s">
        <v>811</v>
      </c>
      <c r="F476" t="s">
        <v>303</v>
      </c>
    </row>
    <row r="477" spans="4:6" x14ac:dyDescent="0.25">
      <c r="D477" t="s">
        <v>812</v>
      </c>
      <c r="E477" t="s">
        <v>813</v>
      </c>
      <c r="F477" t="s">
        <v>303</v>
      </c>
    </row>
    <row r="478" spans="4:6" x14ac:dyDescent="0.25">
      <c r="D478" t="s">
        <v>814</v>
      </c>
      <c r="E478" t="s">
        <v>815</v>
      </c>
      <c r="F478" t="s">
        <v>303</v>
      </c>
    </row>
    <row r="479" spans="4:6" x14ac:dyDescent="0.25">
      <c r="D479" t="s">
        <v>816</v>
      </c>
      <c r="E479" t="s">
        <v>817</v>
      </c>
      <c r="F479" t="s">
        <v>303</v>
      </c>
    </row>
    <row r="480" spans="4:6" x14ac:dyDescent="0.25">
      <c r="D480" t="s">
        <v>818</v>
      </c>
      <c r="E480" t="s">
        <v>819</v>
      </c>
      <c r="F480" t="s">
        <v>303</v>
      </c>
    </row>
    <row r="481" spans="1:6" x14ac:dyDescent="0.25">
      <c r="D481" t="s">
        <v>820</v>
      </c>
      <c r="E481" t="s">
        <v>821</v>
      </c>
      <c r="F481" t="s">
        <v>303</v>
      </c>
    </row>
    <row r="482" spans="1:6" x14ac:dyDescent="0.25">
      <c r="D482" t="s">
        <v>822</v>
      </c>
      <c r="E482" t="s">
        <v>823</v>
      </c>
      <c r="F482" t="s">
        <v>303</v>
      </c>
    </row>
    <row r="483" spans="1:6" x14ac:dyDescent="0.25">
      <c r="D483" t="s">
        <v>824</v>
      </c>
      <c r="E483" t="s">
        <v>825</v>
      </c>
      <c r="F483" t="s">
        <v>303</v>
      </c>
    </row>
    <row r="484" spans="1:6" x14ac:dyDescent="0.25">
      <c r="D484" t="s">
        <v>826</v>
      </c>
      <c r="E484" t="s">
        <v>827</v>
      </c>
      <c r="F484" t="s">
        <v>303</v>
      </c>
    </row>
    <row r="485" spans="1:6" x14ac:dyDescent="0.25">
      <c r="D485" t="s">
        <v>828</v>
      </c>
      <c r="E485" t="s">
        <v>829</v>
      </c>
      <c r="F485" t="s">
        <v>303</v>
      </c>
    </row>
    <row r="486" spans="1:6" x14ac:dyDescent="0.25">
      <c r="D486" t="s">
        <v>830</v>
      </c>
      <c r="E486" t="s">
        <v>831</v>
      </c>
      <c r="F486" t="s">
        <v>303</v>
      </c>
    </row>
    <row r="487" spans="1:6" x14ac:dyDescent="0.25">
      <c r="D487" t="s">
        <v>832</v>
      </c>
      <c r="E487" t="s">
        <v>833</v>
      </c>
      <c r="F487" t="s">
        <v>303</v>
      </c>
    </row>
    <row r="488" spans="1:6" x14ac:dyDescent="0.25">
      <c r="D488" t="s">
        <v>834</v>
      </c>
      <c r="E488" t="s">
        <v>835</v>
      </c>
      <c r="F488" t="s">
        <v>303</v>
      </c>
    </row>
    <row r="489" spans="1:6" x14ac:dyDescent="0.25">
      <c r="D489" t="s">
        <v>836</v>
      </c>
      <c r="E489" t="s">
        <v>837</v>
      </c>
      <c r="F489" t="s">
        <v>303</v>
      </c>
    </row>
    <row r="490" spans="1:6" x14ac:dyDescent="0.25">
      <c r="A490" t="s">
        <v>838</v>
      </c>
      <c r="B490" t="s">
        <v>838</v>
      </c>
      <c r="C490" t="s">
        <v>839</v>
      </c>
      <c r="D490" t="s">
        <v>840</v>
      </c>
      <c r="E490" t="s">
        <v>840</v>
      </c>
      <c r="F490" t="s">
        <v>841</v>
      </c>
    </row>
    <row r="491" spans="1:6" x14ac:dyDescent="0.25">
      <c r="D491" t="s">
        <v>842</v>
      </c>
      <c r="E491" t="s">
        <v>843</v>
      </c>
      <c r="F491" t="s">
        <v>844</v>
      </c>
    </row>
    <row r="492" spans="1:6" x14ac:dyDescent="0.25">
      <c r="A492" t="s">
        <v>285</v>
      </c>
      <c r="B492" t="s">
        <v>285</v>
      </c>
      <c r="C492" t="s">
        <v>86</v>
      </c>
      <c r="D492" t="s">
        <v>845</v>
      </c>
      <c r="E492" t="s">
        <v>846</v>
      </c>
      <c r="F492" t="s">
        <v>847</v>
      </c>
    </row>
    <row r="493" spans="1:6" x14ac:dyDescent="0.25">
      <c r="E493" t="s">
        <v>848</v>
      </c>
      <c r="F493" t="s">
        <v>847</v>
      </c>
    </row>
    <row r="494" spans="1:6" x14ac:dyDescent="0.25">
      <c r="E494" t="s">
        <v>849</v>
      </c>
      <c r="F494" t="s">
        <v>847</v>
      </c>
    </row>
    <row r="495" spans="1:6" x14ac:dyDescent="0.25">
      <c r="D495" t="s">
        <v>850</v>
      </c>
      <c r="E495" t="s">
        <v>851</v>
      </c>
      <c r="F495" t="s">
        <v>852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3:H255"/>
  <sheetViews>
    <sheetView showGridLines="0" workbookViewId="0">
      <selection activeCell="B15" sqref="B15"/>
    </sheetView>
  </sheetViews>
  <sheetFormatPr defaultColWidth="11.42578125" defaultRowHeight="15" x14ac:dyDescent="0.25"/>
  <cols>
    <col min="1" max="1" width="22.85546875" customWidth="1"/>
    <col min="2" max="2" width="27.28515625" bestFit="1" customWidth="1"/>
    <col min="4" max="4" width="27.140625" bestFit="1" customWidth="1"/>
    <col min="5" max="5" width="27.28515625" bestFit="1" customWidth="1"/>
    <col min="7" max="7" width="21" customWidth="1"/>
    <col min="8" max="8" width="20" bestFit="1" customWidth="1"/>
  </cols>
  <sheetData>
    <row r="3" spans="1:8" x14ac:dyDescent="0.25">
      <c r="A3" s="7" t="s">
        <v>853</v>
      </c>
      <c r="B3" s="7" t="s">
        <v>854</v>
      </c>
      <c r="D3" s="7" t="s">
        <v>855</v>
      </c>
      <c r="E3" s="7" t="s">
        <v>856</v>
      </c>
      <c r="G3" s="7" t="s">
        <v>857</v>
      </c>
      <c r="H3" s="7" t="s">
        <v>855</v>
      </c>
    </row>
    <row r="4" spans="1:8" x14ac:dyDescent="0.25">
      <c r="A4" t="s">
        <v>303</v>
      </c>
      <c r="B4" t="s">
        <v>303</v>
      </c>
      <c r="D4" t="s">
        <v>5</v>
      </c>
      <c r="E4" t="s">
        <v>303</v>
      </c>
      <c r="G4" t="s">
        <v>118</v>
      </c>
      <c r="H4" t="s">
        <v>36</v>
      </c>
    </row>
    <row r="5" spans="1:8" x14ac:dyDescent="0.25">
      <c r="A5" t="s">
        <v>123</v>
      </c>
      <c r="B5" t="s">
        <v>361</v>
      </c>
      <c r="E5" t="s">
        <v>298</v>
      </c>
      <c r="G5" t="s">
        <v>36</v>
      </c>
      <c r="H5" t="s">
        <v>36</v>
      </c>
    </row>
    <row r="6" spans="1:8" x14ac:dyDescent="0.25">
      <c r="B6" t="s">
        <v>362</v>
      </c>
      <c r="E6" t="s">
        <v>309</v>
      </c>
      <c r="H6" t="s">
        <v>257</v>
      </c>
    </row>
    <row r="7" spans="1:8" x14ac:dyDescent="0.25">
      <c r="B7" t="s">
        <v>363</v>
      </c>
      <c r="E7" t="s">
        <v>304</v>
      </c>
      <c r="G7" t="s">
        <v>123</v>
      </c>
      <c r="H7" t="s">
        <v>123</v>
      </c>
    </row>
    <row r="8" spans="1:8" x14ac:dyDescent="0.25">
      <c r="B8" t="s">
        <v>366</v>
      </c>
      <c r="E8" t="s">
        <v>312</v>
      </c>
      <c r="G8" t="s">
        <v>121</v>
      </c>
      <c r="H8" t="s">
        <v>36</v>
      </c>
    </row>
    <row r="9" spans="1:8" x14ac:dyDescent="0.25">
      <c r="B9" t="s">
        <v>371</v>
      </c>
      <c r="E9" t="s">
        <v>291</v>
      </c>
      <c r="G9" t="s">
        <v>256</v>
      </c>
      <c r="H9" t="s">
        <v>256</v>
      </c>
    </row>
    <row r="10" spans="1:8" x14ac:dyDescent="0.25">
      <c r="B10" t="s">
        <v>369</v>
      </c>
      <c r="E10" t="s">
        <v>308</v>
      </c>
      <c r="G10" t="s">
        <v>257</v>
      </c>
      <c r="H10" t="s">
        <v>36</v>
      </c>
    </row>
    <row r="11" spans="1:8" x14ac:dyDescent="0.25">
      <c r="B11" t="s">
        <v>365</v>
      </c>
      <c r="E11" t="s">
        <v>306</v>
      </c>
      <c r="H11" t="s">
        <v>257</v>
      </c>
    </row>
    <row r="12" spans="1:8" x14ac:dyDescent="0.25">
      <c r="B12" t="s">
        <v>367</v>
      </c>
      <c r="E12" t="s">
        <v>310</v>
      </c>
      <c r="G12" t="s">
        <v>279</v>
      </c>
      <c r="H12" t="s">
        <v>279</v>
      </c>
    </row>
    <row r="13" spans="1:8" x14ac:dyDescent="0.25">
      <c r="B13" t="s">
        <v>368</v>
      </c>
      <c r="E13" t="s">
        <v>289</v>
      </c>
      <c r="G13" t="s">
        <v>43</v>
      </c>
      <c r="H13" t="s">
        <v>36</v>
      </c>
    </row>
    <row r="14" spans="1:8" x14ac:dyDescent="0.25">
      <c r="B14" t="s">
        <v>373</v>
      </c>
      <c r="E14" t="s">
        <v>295</v>
      </c>
      <c r="H14" t="s">
        <v>280</v>
      </c>
    </row>
    <row r="15" spans="1:8" x14ac:dyDescent="0.25">
      <c r="B15" t="s">
        <v>372</v>
      </c>
      <c r="E15" t="s">
        <v>302</v>
      </c>
      <c r="G15" t="s">
        <v>280</v>
      </c>
      <c r="H15" t="s">
        <v>280</v>
      </c>
    </row>
    <row r="16" spans="1:8" x14ac:dyDescent="0.25">
      <c r="B16" t="s">
        <v>356</v>
      </c>
      <c r="E16" t="s">
        <v>311</v>
      </c>
      <c r="G16" t="s">
        <v>50</v>
      </c>
      <c r="H16" t="s">
        <v>36</v>
      </c>
    </row>
    <row r="17" spans="1:8" x14ac:dyDescent="0.25">
      <c r="B17" t="s">
        <v>357</v>
      </c>
      <c r="D17" t="s">
        <v>36</v>
      </c>
      <c r="E17" t="s">
        <v>303</v>
      </c>
      <c r="H17" t="s">
        <v>50</v>
      </c>
    </row>
    <row r="18" spans="1:8" x14ac:dyDescent="0.25">
      <c r="B18" t="s">
        <v>358</v>
      </c>
      <c r="E18" t="s">
        <v>318</v>
      </c>
      <c r="G18" t="s">
        <v>838</v>
      </c>
      <c r="H18" t="s">
        <v>838</v>
      </c>
    </row>
    <row r="19" spans="1:8" x14ac:dyDescent="0.25">
      <c r="B19" t="s">
        <v>376</v>
      </c>
      <c r="E19" t="s">
        <v>322</v>
      </c>
      <c r="G19" t="s">
        <v>285</v>
      </c>
      <c r="H19" t="s">
        <v>285</v>
      </c>
    </row>
    <row r="20" spans="1:8" x14ac:dyDescent="0.25">
      <c r="B20" t="s">
        <v>374</v>
      </c>
      <c r="E20" t="s">
        <v>331</v>
      </c>
      <c r="G20" t="s">
        <v>6</v>
      </c>
      <c r="H20" t="s">
        <v>5</v>
      </c>
    </row>
    <row r="21" spans="1:8" x14ac:dyDescent="0.25">
      <c r="B21" t="s">
        <v>377</v>
      </c>
      <c r="E21" t="s">
        <v>320</v>
      </c>
      <c r="H21" t="s">
        <v>36</v>
      </c>
    </row>
    <row r="22" spans="1:8" x14ac:dyDescent="0.25">
      <c r="B22" t="s">
        <v>370</v>
      </c>
      <c r="E22" t="s">
        <v>350</v>
      </c>
      <c r="H22" t="s">
        <v>257</v>
      </c>
    </row>
    <row r="23" spans="1:8" x14ac:dyDescent="0.25">
      <c r="B23" t="s">
        <v>375</v>
      </c>
      <c r="E23" t="s">
        <v>339</v>
      </c>
      <c r="G23" t="s">
        <v>12</v>
      </c>
      <c r="H23" t="s">
        <v>5</v>
      </c>
    </row>
    <row r="24" spans="1:8" x14ac:dyDescent="0.25">
      <c r="B24" t="s">
        <v>359</v>
      </c>
      <c r="E24" t="s">
        <v>316</v>
      </c>
      <c r="H24" t="s">
        <v>36</v>
      </c>
    </row>
    <row r="25" spans="1:8" x14ac:dyDescent="0.25">
      <c r="B25" t="s">
        <v>379</v>
      </c>
      <c r="E25" t="s">
        <v>353</v>
      </c>
      <c r="H25" t="s">
        <v>257</v>
      </c>
    </row>
    <row r="26" spans="1:8" x14ac:dyDescent="0.25">
      <c r="A26" t="s">
        <v>279</v>
      </c>
      <c r="B26" t="s">
        <v>453</v>
      </c>
      <c r="E26" t="s">
        <v>336</v>
      </c>
      <c r="G26" t="s">
        <v>858</v>
      </c>
    </row>
    <row r="27" spans="1:8" x14ac:dyDescent="0.25">
      <c r="B27" t="s">
        <v>539</v>
      </c>
      <c r="E27" t="s">
        <v>347</v>
      </c>
    </row>
    <row r="28" spans="1:8" x14ac:dyDescent="0.25">
      <c r="B28" t="s">
        <v>540</v>
      </c>
      <c r="E28" t="s">
        <v>349</v>
      </c>
    </row>
    <row r="29" spans="1:8" x14ac:dyDescent="0.25">
      <c r="B29" t="s">
        <v>603</v>
      </c>
      <c r="E29" t="s">
        <v>351</v>
      </c>
    </row>
    <row r="30" spans="1:8" x14ac:dyDescent="0.25">
      <c r="B30" t="s">
        <v>579</v>
      </c>
      <c r="E30" t="s">
        <v>352</v>
      </c>
    </row>
    <row r="31" spans="1:8" x14ac:dyDescent="0.25">
      <c r="B31" t="s">
        <v>573</v>
      </c>
      <c r="E31" t="s">
        <v>317</v>
      </c>
    </row>
    <row r="32" spans="1:8" x14ac:dyDescent="0.25">
      <c r="B32" t="s">
        <v>488</v>
      </c>
      <c r="E32" t="s">
        <v>333</v>
      </c>
    </row>
    <row r="33" spans="2:5" x14ac:dyDescent="0.25">
      <c r="B33" t="s">
        <v>480</v>
      </c>
      <c r="E33" t="s">
        <v>354</v>
      </c>
    </row>
    <row r="34" spans="2:5" x14ac:dyDescent="0.25">
      <c r="B34" t="s">
        <v>501</v>
      </c>
      <c r="E34" t="s">
        <v>859</v>
      </c>
    </row>
    <row r="35" spans="2:5" x14ac:dyDescent="0.25">
      <c r="B35" t="s">
        <v>643</v>
      </c>
      <c r="E35" t="s">
        <v>332</v>
      </c>
    </row>
    <row r="36" spans="2:5" x14ac:dyDescent="0.25">
      <c r="B36" t="s">
        <v>606</v>
      </c>
      <c r="E36" t="s">
        <v>355</v>
      </c>
    </row>
    <row r="37" spans="2:5" x14ac:dyDescent="0.25">
      <c r="B37" t="s">
        <v>502</v>
      </c>
      <c r="E37" t="s">
        <v>343</v>
      </c>
    </row>
    <row r="38" spans="2:5" x14ac:dyDescent="0.25">
      <c r="B38" t="s">
        <v>607</v>
      </c>
      <c r="E38" t="s">
        <v>337</v>
      </c>
    </row>
    <row r="39" spans="2:5" x14ac:dyDescent="0.25">
      <c r="B39" t="s">
        <v>473</v>
      </c>
      <c r="E39" t="s">
        <v>321</v>
      </c>
    </row>
    <row r="40" spans="2:5" x14ac:dyDescent="0.25">
      <c r="B40" t="s">
        <v>541</v>
      </c>
      <c r="E40" t="s">
        <v>348</v>
      </c>
    </row>
    <row r="41" spans="2:5" x14ac:dyDescent="0.25">
      <c r="B41" t="s">
        <v>542</v>
      </c>
      <c r="E41" t="s">
        <v>335</v>
      </c>
    </row>
    <row r="42" spans="2:5" x14ac:dyDescent="0.25">
      <c r="B42" t="s">
        <v>608</v>
      </c>
      <c r="E42" t="s">
        <v>344</v>
      </c>
    </row>
    <row r="43" spans="2:5" x14ac:dyDescent="0.25">
      <c r="B43" t="s">
        <v>629</v>
      </c>
      <c r="E43" t="s">
        <v>342</v>
      </c>
    </row>
    <row r="44" spans="2:5" x14ac:dyDescent="0.25">
      <c r="B44" t="s">
        <v>543</v>
      </c>
      <c r="E44" t="s">
        <v>345</v>
      </c>
    </row>
    <row r="45" spans="2:5" x14ac:dyDescent="0.25">
      <c r="B45" t="s">
        <v>544</v>
      </c>
      <c r="E45" t="s">
        <v>340</v>
      </c>
    </row>
    <row r="46" spans="2:5" x14ac:dyDescent="0.25">
      <c r="B46" t="s">
        <v>609</v>
      </c>
      <c r="E46" t="s">
        <v>341</v>
      </c>
    </row>
    <row r="47" spans="2:5" x14ac:dyDescent="0.25">
      <c r="B47" t="s">
        <v>610</v>
      </c>
      <c r="E47" t="s">
        <v>338</v>
      </c>
    </row>
    <row r="48" spans="2:5" x14ac:dyDescent="0.25">
      <c r="B48" t="s">
        <v>598</v>
      </c>
      <c r="D48" t="s">
        <v>123</v>
      </c>
      <c r="E48" t="s">
        <v>361</v>
      </c>
    </row>
    <row r="49" spans="2:5" x14ac:dyDescent="0.25">
      <c r="B49" t="s">
        <v>611</v>
      </c>
      <c r="E49" t="s">
        <v>362</v>
      </c>
    </row>
    <row r="50" spans="2:5" x14ac:dyDescent="0.25">
      <c r="B50" t="s">
        <v>524</v>
      </c>
      <c r="E50" t="s">
        <v>363</v>
      </c>
    </row>
    <row r="51" spans="2:5" x14ac:dyDescent="0.25">
      <c r="B51" t="s">
        <v>562</v>
      </c>
      <c r="E51" t="s">
        <v>366</v>
      </c>
    </row>
    <row r="52" spans="2:5" x14ac:dyDescent="0.25">
      <c r="B52" t="s">
        <v>640</v>
      </c>
      <c r="E52" t="s">
        <v>371</v>
      </c>
    </row>
    <row r="53" spans="2:5" x14ac:dyDescent="0.25">
      <c r="B53" t="s">
        <v>336</v>
      </c>
      <c r="E53" t="s">
        <v>369</v>
      </c>
    </row>
    <row r="54" spans="2:5" x14ac:dyDescent="0.25">
      <c r="B54" t="s">
        <v>503</v>
      </c>
      <c r="E54" t="s">
        <v>365</v>
      </c>
    </row>
    <row r="55" spans="2:5" x14ac:dyDescent="0.25">
      <c r="B55" t="s">
        <v>477</v>
      </c>
      <c r="E55" t="s">
        <v>367</v>
      </c>
    </row>
    <row r="56" spans="2:5" x14ac:dyDescent="0.25">
      <c r="B56" t="s">
        <v>504</v>
      </c>
      <c r="E56" t="s">
        <v>368</v>
      </c>
    </row>
    <row r="57" spans="2:5" x14ac:dyDescent="0.25">
      <c r="B57" t="s">
        <v>492</v>
      </c>
      <c r="E57" t="s">
        <v>373</v>
      </c>
    </row>
    <row r="58" spans="2:5" x14ac:dyDescent="0.25">
      <c r="B58" t="s">
        <v>612</v>
      </c>
      <c r="E58" t="s">
        <v>372</v>
      </c>
    </row>
    <row r="59" spans="2:5" x14ac:dyDescent="0.25">
      <c r="B59" t="s">
        <v>545</v>
      </c>
      <c r="E59" t="s">
        <v>356</v>
      </c>
    </row>
    <row r="60" spans="2:5" x14ac:dyDescent="0.25">
      <c r="B60" t="s">
        <v>546</v>
      </c>
      <c r="E60" t="s">
        <v>357</v>
      </c>
    </row>
    <row r="61" spans="2:5" x14ac:dyDescent="0.25">
      <c r="B61" t="s">
        <v>547</v>
      </c>
      <c r="E61" t="s">
        <v>358</v>
      </c>
    </row>
    <row r="62" spans="2:5" x14ac:dyDescent="0.25">
      <c r="B62" t="s">
        <v>515</v>
      </c>
      <c r="E62" t="s">
        <v>376</v>
      </c>
    </row>
    <row r="63" spans="2:5" x14ac:dyDescent="0.25">
      <c r="B63" t="s">
        <v>455</v>
      </c>
      <c r="E63" t="s">
        <v>374</v>
      </c>
    </row>
    <row r="64" spans="2:5" x14ac:dyDescent="0.25">
      <c r="B64" t="s">
        <v>496</v>
      </c>
      <c r="E64" t="s">
        <v>377</v>
      </c>
    </row>
    <row r="65" spans="2:5" x14ac:dyDescent="0.25">
      <c r="B65" t="s">
        <v>505</v>
      </c>
      <c r="E65" t="s">
        <v>370</v>
      </c>
    </row>
    <row r="66" spans="2:5" x14ac:dyDescent="0.25">
      <c r="B66" t="s">
        <v>590</v>
      </c>
      <c r="E66" t="s">
        <v>375</v>
      </c>
    </row>
    <row r="67" spans="2:5" x14ac:dyDescent="0.25">
      <c r="B67" t="s">
        <v>559</v>
      </c>
      <c r="E67" t="s">
        <v>359</v>
      </c>
    </row>
    <row r="68" spans="2:5" x14ac:dyDescent="0.25">
      <c r="B68" t="s">
        <v>506</v>
      </c>
      <c r="E68" t="s">
        <v>379</v>
      </c>
    </row>
    <row r="69" spans="2:5" x14ac:dyDescent="0.25">
      <c r="B69" t="s">
        <v>548</v>
      </c>
      <c r="D69" t="s">
        <v>256</v>
      </c>
      <c r="E69" t="s">
        <v>382</v>
      </c>
    </row>
    <row r="70" spans="2:5" x14ac:dyDescent="0.25">
      <c r="B70" t="s">
        <v>549</v>
      </c>
      <c r="E70" t="s">
        <v>385</v>
      </c>
    </row>
    <row r="71" spans="2:5" x14ac:dyDescent="0.25">
      <c r="B71" t="s">
        <v>451</v>
      </c>
      <c r="E71" t="s">
        <v>418</v>
      </c>
    </row>
    <row r="72" spans="2:5" x14ac:dyDescent="0.25">
      <c r="B72" t="s">
        <v>507</v>
      </c>
      <c r="E72" t="s">
        <v>424</v>
      </c>
    </row>
    <row r="73" spans="2:5" x14ac:dyDescent="0.25">
      <c r="B73" t="s">
        <v>508</v>
      </c>
      <c r="E73" t="s">
        <v>388</v>
      </c>
    </row>
    <row r="74" spans="2:5" x14ac:dyDescent="0.25">
      <c r="B74" t="s">
        <v>509</v>
      </c>
      <c r="E74" t="s">
        <v>390</v>
      </c>
    </row>
    <row r="75" spans="2:5" x14ac:dyDescent="0.25">
      <c r="B75" t="s">
        <v>582</v>
      </c>
      <c r="E75" t="s">
        <v>393</v>
      </c>
    </row>
    <row r="76" spans="2:5" x14ac:dyDescent="0.25">
      <c r="B76" t="s">
        <v>469</v>
      </c>
      <c r="E76" t="s">
        <v>396</v>
      </c>
    </row>
    <row r="77" spans="2:5" x14ac:dyDescent="0.25">
      <c r="B77" t="s">
        <v>565</v>
      </c>
      <c r="E77" t="s">
        <v>421</v>
      </c>
    </row>
    <row r="78" spans="2:5" x14ac:dyDescent="0.25">
      <c r="B78" t="s">
        <v>550</v>
      </c>
      <c r="E78" t="s">
        <v>399</v>
      </c>
    </row>
    <row r="79" spans="2:5" x14ac:dyDescent="0.25">
      <c r="B79" t="s">
        <v>470</v>
      </c>
      <c r="E79" t="s">
        <v>402</v>
      </c>
    </row>
    <row r="80" spans="2:5" x14ac:dyDescent="0.25">
      <c r="B80" t="s">
        <v>551</v>
      </c>
      <c r="E80" t="s">
        <v>860</v>
      </c>
    </row>
    <row r="81" spans="2:5" x14ac:dyDescent="0.25">
      <c r="B81" t="s">
        <v>552</v>
      </c>
      <c r="E81" t="s">
        <v>408</v>
      </c>
    </row>
    <row r="82" spans="2:5" x14ac:dyDescent="0.25">
      <c r="B82" t="s">
        <v>641</v>
      </c>
      <c r="E82" t="s">
        <v>411</v>
      </c>
    </row>
    <row r="83" spans="2:5" x14ac:dyDescent="0.25">
      <c r="B83" t="s">
        <v>635</v>
      </c>
      <c r="E83" t="s">
        <v>414</v>
      </c>
    </row>
    <row r="84" spans="2:5" x14ac:dyDescent="0.25">
      <c r="B84" t="s">
        <v>519</v>
      </c>
      <c r="D84" t="s">
        <v>257</v>
      </c>
      <c r="E84" t="s">
        <v>303</v>
      </c>
    </row>
    <row r="85" spans="2:5" x14ac:dyDescent="0.25">
      <c r="B85" t="s">
        <v>613</v>
      </c>
      <c r="E85" t="s">
        <v>436</v>
      </c>
    </row>
    <row r="86" spans="2:5" x14ac:dyDescent="0.25">
      <c r="B86" t="s">
        <v>614</v>
      </c>
      <c r="E86" t="s">
        <v>448</v>
      </c>
    </row>
    <row r="87" spans="2:5" x14ac:dyDescent="0.25">
      <c r="B87" t="s">
        <v>615</v>
      </c>
      <c r="E87" t="s">
        <v>445</v>
      </c>
    </row>
    <row r="88" spans="2:5" x14ac:dyDescent="0.25">
      <c r="B88" t="s">
        <v>538</v>
      </c>
      <c r="E88" t="s">
        <v>446</v>
      </c>
    </row>
    <row r="89" spans="2:5" x14ac:dyDescent="0.25">
      <c r="B89" t="s">
        <v>462</v>
      </c>
      <c r="E89" t="s">
        <v>429</v>
      </c>
    </row>
    <row r="90" spans="2:5" x14ac:dyDescent="0.25">
      <c r="B90" t="s">
        <v>483</v>
      </c>
      <c r="E90" t="s">
        <v>439</v>
      </c>
    </row>
    <row r="91" spans="2:5" x14ac:dyDescent="0.25">
      <c r="B91" t="s">
        <v>482</v>
      </c>
      <c r="E91" t="s">
        <v>441</v>
      </c>
    </row>
    <row r="92" spans="2:5" x14ac:dyDescent="0.25">
      <c r="B92" t="s">
        <v>638</v>
      </c>
      <c r="E92" t="s">
        <v>432</v>
      </c>
    </row>
    <row r="93" spans="2:5" x14ac:dyDescent="0.25">
      <c r="B93" t="s">
        <v>616</v>
      </c>
      <c r="E93" t="s">
        <v>447</v>
      </c>
    </row>
    <row r="94" spans="2:5" x14ac:dyDescent="0.25">
      <c r="B94" t="s">
        <v>617</v>
      </c>
      <c r="E94" t="s">
        <v>442</v>
      </c>
    </row>
    <row r="95" spans="2:5" x14ac:dyDescent="0.25">
      <c r="B95" t="s">
        <v>583</v>
      </c>
      <c r="E95" t="s">
        <v>449</v>
      </c>
    </row>
    <row r="96" spans="2:5" x14ac:dyDescent="0.25">
      <c r="B96" t="s">
        <v>581</v>
      </c>
      <c r="D96" t="s">
        <v>279</v>
      </c>
      <c r="E96" t="s">
        <v>453</v>
      </c>
    </row>
    <row r="97" spans="2:5" x14ac:dyDescent="0.25">
      <c r="B97" t="s">
        <v>571</v>
      </c>
      <c r="E97" t="s">
        <v>539</v>
      </c>
    </row>
    <row r="98" spans="2:5" x14ac:dyDescent="0.25">
      <c r="B98" t="s">
        <v>553</v>
      </c>
      <c r="E98" t="s">
        <v>540</v>
      </c>
    </row>
    <row r="99" spans="2:5" x14ac:dyDescent="0.25">
      <c r="B99" t="s">
        <v>595</v>
      </c>
      <c r="E99" t="s">
        <v>603</v>
      </c>
    </row>
    <row r="100" spans="2:5" x14ac:dyDescent="0.25">
      <c r="B100" t="s">
        <v>525</v>
      </c>
      <c r="E100" t="s">
        <v>579</v>
      </c>
    </row>
    <row r="101" spans="2:5" x14ac:dyDescent="0.25">
      <c r="B101" t="s">
        <v>534</v>
      </c>
      <c r="E101" t="s">
        <v>573</v>
      </c>
    </row>
    <row r="102" spans="2:5" x14ac:dyDescent="0.25">
      <c r="B102" t="s">
        <v>513</v>
      </c>
      <c r="E102" t="s">
        <v>488</v>
      </c>
    </row>
    <row r="103" spans="2:5" x14ac:dyDescent="0.25">
      <c r="B103" t="s">
        <v>510</v>
      </c>
      <c r="E103" t="s">
        <v>480</v>
      </c>
    </row>
    <row r="104" spans="2:5" x14ac:dyDescent="0.25">
      <c r="B104" t="s">
        <v>457</v>
      </c>
      <c r="E104" t="s">
        <v>501</v>
      </c>
    </row>
    <row r="105" spans="2:5" x14ac:dyDescent="0.25">
      <c r="B105" t="s">
        <v>531</v>
      </c>
      <c r="E105" t="s">
        <v>643</v>
      </c>
    </row>
    <row r="106" spans="2:5" x14ac:dyDescent="0.25">
      <c r="B106" t="s">
        <v>554</v>
      </c>
      <c r="E106" t="s">
        <v>606</v>
      </c>
    </row>
    <row r="107" spans="2:5" x14ac:dyDescent="0.25">
      <c r="B107" t="s">
        <v>593</v>
      </c>
      <c r="E107" t="s">
        <v>502</v>
      </c>
    </row>
    <row r="108" spans="2:5" x14ac:dyDescent="0.25">
      <c r="B108" t="s">
        <v>605</v>
      </c>
      <c r="E108" t="s">
        <v>607</v>
      </c>
    </row>
    <row r="109" spans="2:5" x14ac:dyDescent="0.25">
      <c r="B109" t="s">
        <v>618</v>
      </c>
      <c r="E109" t="s">
        <v>473</v>
      </c>
    </row>
    <row r="110" spans="2:5" x14ac:dyDescent="0.25">
      <c r="B110" t="s">
        <v>523</v>
      </c>
      <c r="E110" t="s">
        <v>541</v>
      </c>
    </row>
    <row r="111" spans="2:5" x14ac:dyDescent="0.25">
      <c r="B111" t="s">
        <v>619</v>
      </c>
      <c r="E111" t="s">
        <v>542</v>
      </c>
    </row>
    <row r="112" spans="2:5" x14ac:dyDescent="0.25">
      <c r="B112" t="s">
        <v>620</v>
      </c>
      <c r="E112" t="s">
        <v>608</v>
      </c>
    </row>
    <row r="113" spans="2:5" x14ac:dyDescent="0.25">
      <c r="B113" t="s">
        <v>584</v>
      </c>
      <c r="E113" t="s">
        <v>629</v>
      </c>
    </row>
    <row r="114" spans="2:5" x14ac:dyDescent="0.25">
      <c r="B114" t="s">
        <v>555</v>
      </c>
      <c r="E114" t="s">
        <v>543</v>
      </c>
    </row>
    <row r="115" spans="2:5" x14ac:dyDescent="0.25">
      <c r="B115" t="s">
        <v>569</v>
      </c>
      <c r="E115" t="s">
        <v>544</v>
      </c>
    </row>
    <row r="116" spans="2:5" x14ac:dyDescent="0.25">
      <c r="B116" t="s">
        <v>556</v>
      </c>
      <c r="E116" t="s">
        <v>609</v>
      </c>
    </row>
    <row r="117" spans="2:5" x14ac:dyDescent="0.25">
      <c r="B117" t="s">
        <v>621</v>
      </c>
      <c r="E117" t="s">
        <v>610</v>
      </c>
    </row>
    <row r="118" spans="2:5" x14ac:dyDescent="0.25">
      <c r="B118" t="s">
        <v>622</v>
      </c>
      <c r="E118" t="s">
        <v>598</v>
      </c>
    </row>
    <row r="119" spans="2:5" x14ac:dyDescent="0.25">
      <c r="B119" t="s">
        <v>464</v>
      </c>
      <c r="E119" t="s">
        <v>611</v>
      </c>
    </row>
    <row r="120" spans="2:5" x14ac:dyDescent="0.25">
      <c r="B120" t="s">
        <v>623</v>
      </c>
      <c r="E120" t="s">
        <v>524</v>
      </c>
    </row>
    <row r="121" spans="2:5" x14ac:dyDescent="0.25">
      <c r="B121" t="s">
        <v>624</v>
      </c>
      <c r="E121" t="s">
        <v>562</v>
      </c>
    </row>
    <row r="122" spans="2:5" x14ac:dyDescent="0.25">
      <c r="B122" t="s">
        <v>600</v>
      </c>
      <c r="E122" t="s">
        <v>640</v>
      </c>
    </row>
    <row r="123" spans="2:5" x14ac:dyDescent="0.25">
      <c r="B123" t="s">
        <v>625</v>
      </c>
      <c r="E123" t="s">
        <v>336</v>
      </c>
    </row>
    <row r="124" spans="2:5" x14ac:dyDescent="0.25">
      <c r="B124" t="s">
        <v>511</v>
      </c>
      <c r="E124" t="s">
        <v>503</v>
      </c>
    </row>
    <row r="125" spans="2:5" x14ac:dyDescent="0.25">
      <c r="B125" t="s">
        <v>459</v>
      </c>
      <c r="E125" t="s">
        <v>477</v>
      </c>
    </row>
    <row r="126" spans="2:5" x14ac:dyDescent="0.25">
      <c r="B126" t="s">
        <v>527</v>
      </c>
      <c r="E126" t="s">
        <v>504</v>
      </c>
    </row>
    <row r="127" spans="2:5" x14ac:dyDescent="0.25">
      <c r="B127" t="s">
        <v>574</v>
      </c>
      <c r="E127" t="s">
        <v>492</v>
      </c>
    </row>
    <row r="128" spans="2:5" x14ac:dyDescent="0.25">
      <c r="B128" t="s">
        <v>557</v>
      </c>
      <c r="E128" t="s">
        <v>612</v>
      </c>
    </row>
    <row r="129" spans="1:5" x14ac:dyDescent="0.25">
      <c r="B129" t="s">
        <v>626</v>
      </c>
      <c r="E129" t="s">
        <v>545</v>
      </c>
    </row>
    <row r="130" spans="1:5" x14ac:dyDescent="0.25">
      <c r="B130" t="s">
        <v>627</v>
      </c>
      <c r="E130" t="s">
        <v>546</v>
      </c>
    </row>
    <row r="131" spans="1:5" x14ac:dyDescent="0.25">
      <c r="B131" t="s">
        <v>467</v>
      </c>
      <c r="E131" t="s">
        <v>547</v>
      </c>
    </row>
    <row r="132" spans="1:5" x14ac:dyDescent="0.25">
      <c r="B132" t="s">
        <v>498</v>
      </c>
      <c r="E132" t="s">
        <v>515</v>
      </c>
    </row>
    <row r="133" spans="1:5" x14ac:dyDescent="0.25">
      <c r="B133" t="s">
        <v>471</v>
      </c>
      <c r="E133" t="s">
        <v>455</v>
      </c>
    </row>
    <row r="134" spans="1:5" x14ac:dyDescent="0.25">
      <c r="B134" t="s">
        <v>596</v>
      </c>
      <c r="E134" t="s">
        <v>496</v>
      </c>
    </row>
    <row r="135" spans="1:5" x14ac:dyDescent="0.25">
      <c r="A135" t="s">
        <v>43</v>
      </c>
      <c r="B135" t="s">
        <v>318</v>
      </c>
      <c r="E135" t="s">
        <v>505</v>
      </c>
    </row>
    <row r="136" spans="1:5" x14ac:dyDescent="0.25">
      <c r="B136" t="s">
        <v>322</v>
      </c>
      <c r="E136" t="s">
        <v>590</v>
      </c>
    </row>
    <row r="137" spans="1:5" x14ac:dyDescent="0.25">
      <c r="B137" t="s">
        <v>382</v>
      </c>
      <c r="E137" t="s">
        <v>559</v>
      </c>
    </row>
    <row r="138" spans="1:5" x14ac:dyDescent="0.25">
      <c r="B138" t="s">
        <v>385</v>
      </c>
      <c r="E138" t="s">
        <v>506</v>
      </c>
    </row>
    <row r="139" spans="1:5" x14ac:dyDescent="0.25">
      <c r="B139" t="s">
        <v>418</v>
      </c>
      <c r="E139" t="s">
        <v>548</v>
      </c>
    </row>
    <row r="140" spans="1:5" x14ac:dyDescent="0.25">
      <c r="B140" t="s">
        <v>331</v>
      </c>
      <c r="E140" t="s">
        <v>549</v>
      </c>
    </row>
    <row r="141" spans="1:5" x14ac:dyDescent="0.25">
      <c r="B141" t="s">
        <v>320</v>
      </c>
      <c r="E141" t="s">
        <v>451</v>
      </c>
    </row>
    <row r="142" spans="1:5" x14ac:dyDescent="0.25">
      <c r="B142" t="s">
        <v>424</v>
      </c>
      <c r="E142" t="s">
        <v>507</v>
      </c>
    </row>
    <row r="143" spans="1:5" x14ac:dyDescent="0.25">
      <c r="B143" t="s">
        <v>316</v>
      </c>
      <c r="E143" t="s">
        <v>508</v>
      </c>
    </row>
    <row r="144" spans="1:5" x14ac:dyDescent="0.25">
      <c r="B144" t="s">
        <v>388</v>
      </c>
      <c r="E144" t="s">
        <v>509</v>
      </c>
    </row>
    <row r="145" spans="1:5" x14ac:dyDescent="0.25">
      <c r="B145" t="s">
        <v>390</v>
      </c>
      <c r="E145" t="s">
        <v>582</v>
      </c>
    </row>
    <row r="146" spans="1:5" x14ac:dyDescent="0.25">
      <c r="B146" t="s">
        <v>393</v>
      </c>
      <c r="E146" t="s">
        <v>469</v>
      </c>
    </row>
    <row r="147" spans="1:5" x14ac:dyDescent="0.25">
      <c r="B147" t="s">
        <v>396</v>
      </c>
      <c r="E147" t="s">
        <v>565</v>
      </c>
    </row>
    <row r="148" spans="1:5" x14ac:dyDescent="0.25">
      <c r="B148" t="s">
        <v>421</v>
      </c>
      <c r="E148" t="s">
        <v>550</v>
      </c>
    </row>
    <row r="149" spans="1:5" x14ac:dyDescent="0.25">
      <c r="B149" t="s">
        <v>317</v>
      </c>
      <c r="E149" t="s">
        <v>470</v>
      </c>
    </row>
    <row r="150" spans="1:5" x14ac:dyDescent="0.25">
      <c r="B150" t="s">
        <v>859</v>
      </c>
      <c r="E150" t="s">
        <v>551</v>
      </c>
    </row>
    <row r="151" spans="1:5" x14ac:dyDescent="0.25">
      <c r="B151" t="s">
        <v>399</v>
      </c>
      <c r="E151" t="s">
        <v>552</v>
      </c>
    </row>
    <row r="152" spans="1:5" x14ac:dyDescent="0.25">
      <c r="B152" t="s">
        <v>332</v>
      </c>
      <c r="E152" t="s">
        <v>641</v>
      </c>
    </row>
    <row r="153" spans="1:5" x14ac:dyDescent="0.25">
      <c r="B153" t="s">
        <v>402</v>
      </c>
      <c r="E153" t="s">
        <v>635</v>
      </c>
    </row>
    <row r="154" spans="1:5" x14ac:dyDescent="0.25">
      <c r="B154" t="s">
        <v>860</v>
      </c>
      <c r="E154" t="s">
        <v>519</v>
      </c>
    </row>
    <row r="155" spans="1:5" x14ac:dyDescent="0.25">
      <c r="B155" t="s">
        <v>408</v>
      </c>
      <c r="E155" t="s">
        <v>613</v>
      </c>
    </row>
    <row r="156" spans="1:5" x14ac:dyDescent="0.25">
      <c r="B156" t="s">
        <v>321</v>
      </c>
      <c r="E156" t="s">
        <v>614</v>
      </c>
    </row>
    <row r="157" spans="1:5" x14ac:dyDescent="0.25">
      <c r="B157" t="s">
        <v>411</v>
      </c>
      <c r="E157" t="s">
        <v>615</v>
      </c>
    </row>
    <row r="158" spans="1:5" x14ac:dyDescent="0.25">
      <c r="B158" t="s">
        <v>414</v>
      </c>
      <c r="E158" t="s">
        <v>538</v>
      </c>
    </row>
    <row r="159" spans="1:5" x14ac:dyDescent="0.25">
      <c r="A159" t="s">
        <v>280</v>
      </c>
      <c r="B159" t="s">
        <v>647</v>
      </c>
      <c r="E159" t="s">
        <v>462</v>
      </c>
    </row>
    <row r="160" spans="1:5" x14ac:dyDescent="0.25">
      <c r="B160" t="s">
        <v>764</v>
      </c>
      <c r="E160" t="s">
        <v>483</v>
      </c>
    </row>
    <row r="161" spans="2:5" x14ac:dyDescent="0.25">
      <c r="B161" t="s">
        <v>776</v>
      </c>
      <c r="E161" t="s">
        <v>466</v>
      </c>
    </row>
    <row r="162" spans="2:5" x14ac:dyDescent="0.25">
      <c r="B162" t="s">
        <v>772</v>
      </c>
      <c r="E162" t="s">
        <v>482</v>
      </c>
    </row>
    <row r="163" spans="2:5" x14ac:dyDescent="0.25">
      <c r="B163" t="s">
        <v>651</v>
      </c>
      <c r="E163" t="s">
        <v>638</v>
      </c>
    </row>
    <row r="164" spans="2:5" x14ac:dyDescent="0.25">
      <c r="B164" t="s">
        <v>775</v>
      </c>
      <c r="E164" t="s">
        <v>616</v>
      </c>
    </row>
    <row r="165" spans="2:5" x14ac:dyDescent="0.25">
      <c r="B165" t="s">
        <v>652</v>
      </c>
      <c r="E165" t="s">
        <v>617</v>
      </c>
    </row>
    <row r="166" spans="2:5" x14ac:dyDescent="0.25">
      <c r="B166" t="s">
        <v>656</v>
      </c>
      <c r="E166" t="s">
        <v>583</v>
      </c>
    </row>
    <row r="167" spans="2:5" x14ac:dyDescent="0.25">
      <c r="B167" t="s">
        <v>660</v>
      </c>
      <c r="E167" t="s">
        <v>581</v>
      </c>
    </row>
    <row r="168" spans="2:5" x14ac:dyDescent="0.25">
      <c r="B168" t="s">
        <v>664</v>
      </c>
      <c r="E168" t="s">
        <v>571</v>
      </c>
    </row>
    <row r="169" spans="2:5" x14ac:dyDescent="0.25">
      <c r="B169" t="s">
        <v>668</v>
      </c>
      <c r="E169" t="s">
        <v>553</v>
      </c>
    </row>
    <row r="170" spans="2:5" x14ac:dyDescent="0.25">
      <c r="B170" t="s">
        <v>672</v>
      </c>
      <c r="E170" t="s">
        <v>595</v>
      </c>
    </row>
    <row r="171" spans="2:5" x14ac:dyDescent="0.25">
      <c r="B171" t="s">
        <v>676</v>
      </c>
      <c r="E171" t="s">
        <v>525</v>
      </c>
    </row>
    <row r="172" spans="2:5" x14ac:dyDescent="0.25">
      <c r="B172" t="s">
        <v>766</v>
      </c>
      <c r="E172" t="s">
        <v>534</v>
      </c>
    </row>
    <row r="173" spans="2:5" x14ac:dyDescent="0.25">
      <c r="B173" t="s">
        <v>680</v>
      </c>
      <c r="E173" t="s">
        <v>513</v>
      </c>
    </row>
    <row r="174" spans="2:5" x14ac:dyDescent="0.25">
      <c r="B174" t="s">
        <v>683</v>
      </c>
      <c r="E174" t="s">
        <v>510</v>
      </c>
    </row>
    <row r="175" spans="2:5" x14ac:dyDescent="0.25">
      <c r="B175" t="s">
        <v>686</v>
      </c>
      <c r="E175" t="s">
        <v>457</v>
      </c>
    </row>
    <row r="176" spans="2:5" x14ac:dyDescent="0.25">
      <c r="B176" t="s">
        <v>689</v>
      </c>
      <c r="E176" t="s">
        <v>531</v>
      </c>
    </row>
    <row r="177" spans="2:5" x14ac:dyDescent="0.25">
      <c r="B177" t="s">
        <v>692</v>
      </c>
      <c r="E177" t="s">
        <v>554</v>
      </c>
    </row>
    <row r="178" spans="2:5" x14ac:dyDescent="0.25">
      <c r="B178" t="s">
        <v>695</v>
      </c>
      <c r="E178" t="s">
        <v>593</v>
      </c>
    </row>
    <row r="179" spans="2:5" x14ac:dyDescent="0.25">
      <c r="B179" t="s">
        <v>698</v>
      </c>
      <c r="E179" t="s">
        <v>605</v>
      </c>
    </row>
    <row r="180" spans="2:5" x14ac:dyDescent="0.25">
      <c r="B180" t="s">
        <v>701</v>
      </c>
      <c r="E180" t="s">
        <v>618</v>
      </c>
    </row>
    <row r="181" spans="2:5" x14ac:dyDescent="0.25">
      <c r="B181" t="s">
        <v>704</v>
      </c>
      <c r="E181" t="s">
        <v>523</v>
      </c>
    </row>
    <row r="182" spans="2:5" x14ac:dyDescent="0.25">
      <c r="B182" t="s">
        <v>707</v>
      </c>
      <c r="E182" t="s">
        <v>619</v>
      </c>
    </row>
    <row r="183" spans="2:5" x14ac:dyDescent="0.25">
      <c r="B183" t="s">
        <v>710</v>
      </c>
      <c r="E183" t="s">
        <v>620</v>
      </c>
    </row>
    <row r="184" spans="2:5" x14ac:dyDescent="0.25">
      <c r="B184" t="s">
        <v>713</v>
      </c>
      <c r="E184" t="s">
        <v>584</v>
      </c>
    </row>
    <row r="185" spans="2:5" x14ac:dyDescent="0.25">
      <c r="B185" t="s">
        <v>716</v>
      </c>
      <c r="E185" t="s">
        <v>555</v>
      </c>
    </row>
    <row r="186" spans="2:5" x14ac:dyDescent="0.25">
      <c r="B186" t="s">
        <v>719</v>
      </c>
      <c r="E186" t="s">
        <v>569</v>
      </c>
    </row>
    <row r="187" spans="2:5" x14ac:dyDescent="0.25">
      <c r="B187" t="s">
        <v>722</v>
      </c>
      <c r="E187" t="s">
        <v>556</v>
      </c>
    </row>
    <row r="188" spans="2:5" x14ac:dyDescent="0.25">
      <c r="B188" t="s">
        <v>725</v>
      </c>
      <c r="E188" t="s">
        <v>621</v>
      </c>
    </row>
    <row r="189" spans="2:5" x14ac:dyDescent="0.25">
      <c r="B189" t="s">
        <v>728</v>
      </c>
      <c r="E189" t="s">
        <v>622</v>
      </c>
    </row>
    <row r="190" spans="2:5" x14ac:dyDescent="0.25">
      <c r="B190" t="s">
        <v>731</v>
      </c>
      <c r="E190" t="s">
        <v>464</v>
      </c>
    </row>
    <row r="191" spans="2:5" x14ac:dyDescent="0.25">
      <c r="B191" t="s">
        <v>734</v>
      </c>
      <c r="E191" t="s">
        <v>623</v>
      </c>
    </row>
    <row r="192" spans="2:5" x14ac:dyDescent="0.25">
      <c r="B192" t="s">
        <v>737</v>
      </c>
      <c r="E192" t="s">
        <v>624</v>
      </c>
    </row>
    <row r="193" spans="1:5" x14ac:dyDescent="0.25">
      <c r="B193" t="s">
        <v>741</v>
      </c>
      <c r="E193" t="s">
        <v>600</v>
      </c>
    </row>
    <row r="194" spans="1:5" x14ac:dyDescent="0.25">
      <c r="B194" t="s">
        <v>745</v>
      </c>
      <c r="E194" t="s">
        <v>625</v>
      </c>
    </row>
    <row r="195" spans="1:5" x14ac:dyDescent="0.25">
      <c r="B195" t="s">
        <v>749</v>
      </c>
      <c r="E195" t="s">
        <v>511</v>
      </c>
    </row>
    <row r="196" spans="1:5" x14ac:dyDescent="0.25">
      <c r="B196" t="s">
        <v>753</v>
      </c>
      <c r="E196" t="s">
        <v>459</v>
      </c>
    </row>
    <row r="197" spans="1:5" x14ac:dyDescent="0.25">
      <c r="B197" t="s">
        <v>769</v>
      </c>
      <c r="E197" t="s">
        <v>527</v>
      </c>
    </row>
    <row r="198" spans="1:5" x14ac:dyDescent="0.25">
      <c r="B198" t="s">
        <v>779</v>
      </c>
      <c r="E198" t="s">
        <v>574</v>
      </c>
    </row>
    <row r="199" spans="1:5" x14ac:dyDescent="0.25">
      <c r="B199" t="s">
        <v>757</v>
      </c>
      <c r="E199" t="s">
        <v>557</v>
      </c>
    </row>
    <row r="200" spans="1:5" x14ac:dyDescent="0.25">
      <c r="B200" t="s">
        <v>761</v>
      </c>
      <c r="E200" t="s">
        <v>626</v>
      </c>
    </row>
    <row r="201" spans="1:5" x14ac:dyDescent="0.25">
      <c r="A201" t="s">
        <v>861</v>
      </c>
      <c r="B201" t="s">
        <v>847</v>
      </c>
      <c r="E201" t="s">
        <v>627</v>
      </c>
    </row>
    <row r="202" spans="1:5" x14ac:dyDescent="0.25">
      <c r="B202" t="s">
        <v>852</v>
      </c>
      <c r="E202" t="s">
        <v>467</v>
      </c>
    </row>
    <row r="203" spans="1:5" x14ac:dyDescent="0.25">
      <c r="B203" t="s">
        <v>780</v>
      </c>
      <c r="E203" t="s">
        <v>498</v>
      </c>
    </row>
    <row r="204" spans="1:5" x14ac:dyDescent="0.25">
      <c r="B204" t="s">
        <v>333</v>
      </c>
      <c r="E204" t="s">
        <v>471</v>
      </c>
    </row>
    <row r="205" spans="1:5" x14ac:dyDescent="0.25">
      <c r="A205" t="s">
        <v>838</v>
      </c>
      <c r="B205" t="s">
        <v>841</v>
      </c>
      <c r="E205" t="s">
        <v>596</v>
      </c>
    </row>
    <row r="206" spans="1:5" x14ac:dyDescent="0.25">
      <c r="B206" t="s">
        <v>844</v>
      </c>
      <c r="D206" t="s">
        <v>280</v>
      </c>
      <c r="E206" t="s">
        <v>303</v>
      </c>
    </row>
    <row r="207" spans="1:5" x14ac:dyDescent="0.25">
      <c r="A207" t="s">
        <v>6</v>
      </c>
      <c r="B207" t="s">
        <v>339</v>
      </c>
      <c r="E207" t="s">
        <v>647</v>
      </c>
    </row>
    <row r="208" spans="1:5" x14ac:dyDescent="0.25">
      <c r="B208" t="s">
        <v>336</v>
      </c>
      <c r="E208" t="s">
        <v>764</v>
      </c>
    </row>
    <row r="209" spans="2:5" x14ac:dyDescent="0.25">
      <c r="B209" t="s">
        <v>347</v>
      </c>
      <c r="E209" t="s">
        <v>776</v>
      </c>
    </row>
    <row r="210" spans="2:5" x14ac:dyDescent="0.25">
      <c r="B210" t="s">
        <v>441</v>
      </c>
      <c r="E210" t="s">
        <v>772</v>
      </c>
    </row>
    <row r="211" spans="2:5" x14ac:dyDescent="0.25">
      <c r="B211" t="s">
        <v>291</v>
      </c>
      <c r="E211" t="s">
        <v>651</v>
      </c>
    </row>
    <row r="212" spans="2:5" x14ac:dyDescent="0.25">
      <c r="B212" t="s">
        <v>466</v>
      </c>
      <c r="E212" t="s">
        <v>775</v>
      </c>
    </row>
    <row r="213" spans="2:5" x14ac:dyDescent="0.25">
      <c r="B213" t="s">
        <v>289</v>
      </c>
      <c r="E213" t="s">
        <v>652</v>
      </c>
    </row>
    <row r="214" spans="2:5" x14ac:dyDescent="0.25">
      <c r="B214" t="s">
        <v>295</v>
      </c>
      <c r="E214" t="s">
        <v>656</v>
      </c>
    </row>
    <row r="215" spans="2:5" x14ac:dyDescent="0.25">
      <c r="B215" t="s">
        <v>442</v>
      </c>
      <c r="E215" t="s">
        <v>660</v>
      </c>
    </row>
    <row r="216" spans="2:5" x14ac:dyDescent="0.25">
      <c r="B216" t="s">
        <v>343</v>
      </c>
      <c r="E216" t="s">
        <v>664</v>
      </c>
    </row>
    <row r="217" spans="2:5" x14ac:dyDescent="0.25">
      <c r="B217" t="s">
        <v>337</v>
      </c>
      <c r="E217" t="s">
        <v>668</v>
      </c>
    </row>
    <row r="218" spans="2:5" x14ac:dyDescent="0.25">
      <c r="B218" t="s">
        <v>348</v>
      </c>
      <c r="E218" t="s">
        <v>672</v>
      </c>
    </row>
    <row r="219" spans="2:5" x14ac:dyDescent="0.25">
      <c r="B219" t="s">
        <v>335</v>
      </c>
      <c r="E219" t="s">
        <v>676</v>
      </c>
    </row>
    <row r="220" spans="2:5" x14ac:dyDescent="0.25">
      <c r="B220" t="s">
        <v>344</v>
      </c>
      <c r="E220" t="s">
        <v>766</v>
      </c>
    </row>
    <row r="221" spans="2:5" x14ac:dyDescent="0.25">
      <c r="B221" t="s">
        <v>342</v>
      </c>
      <c r="E221" t="s">
        <v>680</v>
      </c>
    </row>
    <row r="222" spans="2:5" x14ac:dyDescent="0.25">
      <c r="B222" t="s">
        <v>345</v>
      </c>
      <c r="E222" t="s">
        <v>683</v>
      </c>
    </row>
    <row r="223" spans="2:5" x14ac:dyDescent="0.25">
      <c r="B223" t="s">
        <v>340</v>
      </c>
      <c r="E223" t="s">
        <v>686</v>
      </c>
    </row>
    <row r="224" spans="2:5" x14ac:dyDescent="0.25">
      <c r="B224" t="s">
        <v>341</v>
      </c>
      <c r="E224" t="s">
        <v>689</v>
      </c>
    </row>
    <row r="225" spans="1:5" x14ac:dyDescent="0.25">
      <c r="B225" t="s">
        <v>338</v>
      </c>
      <c r="E225" t="s">
        <v>692</v>
      </c>
    </row>
    <row r="226" spans="1:5" x14ac:dyDescent="0.25">
      <c r="A226" t="s">
        <v>862</v>
      </c>
      <c r="B226" t="s">
        <v>298</v>
      </c>
      <c r="E226" t="s">
        <v>695</v>
      </c>
    </row>
    <row r="227" spans="1:5" x14ac:dyDescent="0.25">
      <c r="B227" t="s">
        <v>436</v>
      </c>
      <c r="E227" t="s">
        <v>698</v>
      </c>
    </row>
    <row r="228" spans="1:5" x14ac:dyDescent="0.25">
      <c r="B228" t="s">
        <v>448</v>
      </c>
      <c r="E228" t="s">
        <v>701</v>
      </c>
    </row>
    <row r="229" spans="1:5" x14ac:dyDescent="0.25">
      <c r="B229" t="s">
        <v>350</v>
      </c>
      <c r="E229" t="s">
        <v>704</v>
      </c>
    </row>
    <row r="230" spans="1:5" x14ac:dyDescent="0.25">
      <c r="B230" t="s">
        <v>445</v>
      </c>
      <c r="E230" t="s">
        <v>707</v>
      </c>
    </row>
    <row r="231" spans="1:5" x14ac:dyDescent="0.25">
      <c r="B231" t="s">
        <v>309</v>
      </c>
      <c r="E231" t="s">
        <v>710</v>
      </c>
    </row>
    <row r="232" spans="1:5" x14ac:dyDescent="0.25">
      <c r="B232" t="s">
        <v>304</v>
      </c>
      <c r="E232" t="s">
        <v>713</v>
      </c>
    </row>
    <row r="233" spans="1:5" x14ac:dyDescent="0.25">
      <c r="B233" t="s">
        <v>312</v>
      </c>
      <c r="E233" t="s">
        <v>716</v>
      </c>
    </row>
    <row r="234" spans="1:5" x14ac:dyDescent="0.25">
      <c r="B234" t="s">
        <v>446</v>
      </c>
      <c r="E234" t="s">
        <v>719</v>
      </c>
    </row>
    <row r="235" spans="1:5" x14ac:dyDescent="0.25">
      <c r="B235" t="s">
        <v>353</v>
      </c>
      <c r="E235" t="s">
        <v>722</v>
      </c>
    </row>
    <row r="236" spans="1:5" x14ac:dyDescent="0.25">
      <c r="B236" t="s">
        <v>349</v>
      </c>
      <c r="E236" t="s">
        <v>725</v>
      </c>
    </row>
    <row r="237" spans="1:5" x14ac:dyDescent="0.25">
      <c r="B237" t="s">
        <v>429</v>
      </c>
      <c r="E237" t="s">
        <v>728</v>
      </c>
    </row>
    <row r="238" spans="1:5" x14ac:dyDescent="0.25">
      <c r="B238" t="s">
        <v>351</v>
      </c>
      <c r="E238" t="s">
        <v>731</v>
      </c>
    </row>
    <row r="239" spans="1:5" x14ac:dyDescent="0.25">
      <c r="B239" t="s">
        <v>439</v>
      </c>
      <c r="E239" t="s">
        <v>734</v>
      </c>
    </row>
    <row r="240" spans="1:5" x14ac:dyDescent="0.25">
      <c r="B240" t="s">
        <v>432</v>
      </c>
      <c r="E240" t="s">
        <v>737</v>
      </c>
    </row>
    <row r="241" spans="1:5" x14ac:dyDescent="0.25">
      <c r="B241" t="s">
        <v>352</v>
      </c>
      <c r="E241" t="s">
        <v>741</v>
      </c>
    </row>
    <row r="242" spans="1:5" x14ac:dyDescent="0.25">
      <c r="B242" t="s">
        <v>447</v>
      </c>
      <c r="E242" t="s">
        <v>745</v>
      </c>
    </row>
    <row r="243" spans="1:5" x14ac:dyDescent="0.25">
      <c r="B243" t="s">
        <v>308</v>
      </c>
      <c r="E243" t="s">
        <v>749</v>
      </c>
    </row>
    <row r="244" spans="1:5" x14ac:dyDescent="0.25">
      <c r="B244" t="s">
        <v>354</v>
      </c>
      <c r="E244" t="s">
        <v>753</v>
      </c>
    </row>
    <row r="245" spans="1:5" x14ac:dyDescent="0.25">
      <c r="B245" t="s">
        <v>306</v>
      </c>
      <c r="E245" t="s">
        <v>769</v>
      </c>
    </row>
    <row r="246" spans="1:5" x14ac:dyDescent="0.25">
      <c r="B246" t="s">
        <v>310</v>
      </c>
      <c r="E246" t="s">
        <v>779</v>
      </c>
    </row>
    <row r="247" spans="1:5" x14ac:dyDescent="0.25">
      <c r="B247" t="s">
        <v>302</v>
      </c>
      <c r="E247" t="s">
        <v>757</v>
      </c>
    </row>
    <row r="248" spans="1:5" x14ac:dyDescent="0.25">
      <c r="B248" t="s">
        <v>355</v>
      </c>
      <c r="E248" t="s">
        <v>761</v>
      </c>
    </row>
    <row r="249" spans="1:5" x14ac:dyDescent="0.25">
      <c r="B249" t="s">
        <v>449</v>
      </c>
      <c r="D249" t="s">
        <v>50</v>
      </c>
      <c r="E249" t="s">
        <v>303</v>
      </c>
    </row>
    <row r="250" spans="1:5" x14ac:dyDescent="0.25">
      <c r="B250" t="s">
        <v>311</v>
      </c>
      <c r="E250" t="s">
        <v>780</v>
      </c>
    </row>
    <row r="251" spans="1:5" x14ac:dyDescent="0.25">
      <c r="A251" t="s">
        <v>858</v>
      </c>
      <c r="D251" t="s">
        <v>838</v>
      </c>
      <c r="E251" t="s">
        <v>841</v>
      </c>
    </row>
    <row r="252" spans="1:5" x14ac:dyDescent="0.25">
      <c r="E252" t="s">
        <v>844</v>
      </c>
    </row>
    <row r="253" spans="1:5" x14ac:dyDescent="0.25">
      <c r="D253" t="s">
        <v>285</v>
      </c>
      <c r="E253" t="s">
        <v>847</v>
      </c>
    </row>
    <row r="254" spans="1:5" x14ac:dyDescent="0.25">
      <c r="E254" t="s">
        <v>852</v>
      </c>
    </row>
    <row r="255" spans="1:5" x14ac:dyDescent="0.25">
      <c r="D255" t="s">
        <v>858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A1:AK659"/>
  <sheetViews>
    <sheetView tabSelected="1" topLeftCell="B1" zoomScale="115" zoomScaleNormal="115" workbookViewId="0">
      <pane ySplit="1" topLeftCell="A2" activePane="bottomLeft" state="frozen"/>
      <selection pane="bottomLeft" activeCell="N545" sqref="N545"/>
    </sheetView>
  </sheetViews>
  <sheetFormatPr defaultColWidth="11.42578125" defaultRowHeight="15" customHeight="1" x14ac:dyDescent="0.25"/>
  <cols>
    <col min="1" max="1" width="8" hidden="1" customWidth="1"/>
    <col min="2" max="2" width="9" bestFit="1" customWidth="1"/>
    <col min="3" max="3" width="19.140625" customWidth="1"/>
    <col min="4" max="4" width="12" customWidth="1"/>
    <col min="5" max="5" width="13.140625" customWidth="1"/>
    <col min="6" max="6" width="14.7109375" customWidth="1"/>
    <col min="7" max="7" width="60.28515625" customWidth="1"/>
    <col min="8" max="8" width="25.85546875" customWidth="1"/>
    <col min="9" max="9" width="18.5703125" customWidth="1"/>
    <col min="10" max="10" width="21.42578125" customWidth="1"/>
    <col min="11" max="11" width="23" customWidth="1"/>
    <col min="12" max="12" width="21.140625" customWidth="1"/>
    <col min="13" max="13" width="17.140625" customWidth="1"/>
    <col min="14" max="14" width="20.5703125" customWidth="1"/>
    <col min="15" max="15" width="30.85546875" customWidth="1"/>
    <col min="16" max="16" width="11.42578125" customWidth="1"/>
    <col min="17" max="17" width="19.5703125" customWidth="1"/>
    <col min="18" max="18" width="20.140625" customWidth="1"/>
    <col min="19" max="19" width="24.85546875" customWidth="1"/>
    <col min="20" max="20" width="30.140625" customWidth="1"/>
    <col min="21" max="21" width="24" customWidth="1"/>
    <col min="22" max="22" width="23.140625" customWidth="1"/>
    <col min="23" max="23" width="17.85546875" customWidth="1"/>
    <col min="24" max="24" width="10" customWidth="1"/>
    <col min="25" max="25" width="16.5703125" customWidth="1"/>
    <col min="26" max="26" width="18.28515625" customWidth="1"/>
    <col min="27" max="27" width="32.42578125" style="15" customWidth="1"/>
    <col min="28" max="28" width="23" style="15" customWidth="1"/>
    <col min="29" max="29" width="23.42578125" customWidth="1"/>
    <col min="30" max="30" width="27.28515625" customWidth="1"/>
    <col min="31" max="31" width="14.7109375" customWidth="1"/>
    <col min="32" max="32" width="17.140625" customWidth="1"/>
    <col min="33" max="33" width="27" bestFit="1" customWidth="1"/>
    <col min="37" max="37" width="18.85546875" bestFit="1" customWidth="1"/>
  </cols>
  <sheetData>
    <row r="1" spans="1:37" s="2" customFormat="1" x14ac:dyDescent="0.25">
      <c r="A1" s="9" t="s">
        <v>863</v>
      </c>
      <c r="B1" s="19" t="s">
        <v>864</v>
      </c>
      <c r="C1" s="19" t="s">
        <v>865</v>
      </c>
      <c r="D1" s="19" t="s">
        <v>866</v>
      </c>
      <c r="E1" s="19" t="s">
        <v>867</v>
      </c>
      <c r="F1" s="19" t="s">
        <v>868</v>
      </c>
      <c r="G1" s="19" t="s">
        <v>3</v>
      </c>
      <c r="H1" s="19" t="s">
        <v>2</v>
      </c>
      <c r="I1" s="19" t="s">
        <v>869</v>
      </c>
      <c r="J1" s="19" t="s">
        <v>1</v>
      </c>
      <c r="K1" s="19" t="s">
        <v>0</v>
      </c>
      <c r="L1" s="19" t="s">
        <v>870</v>
      </c>
      <c r="M1" s="19" t="s">
        <v>871</v>
      </c>
      <c r="N1" s="19" t="s">
        <v>872</v>
      </c>
      <c r="O1" s="19" t="s">
        <v>286</v>
      </c>
      <c r="P1" s="19" t="s">
        <v>873</v>
      </c>
      <c r="Q1" s="19" t="s">
        <v>874</v>
      </c>
      <c r="R1" s="19" t="s">
        <v>875</v>
      </c>
      <c r="S1" s="19" t="s">
        <v>876</v>
      </c>
      <c r="T1" s="19" t="s">
        <v>877</v>
      </c>
      <c r="U1" s="19" t="s">
        <v>878</v>
      </c>
      <c r="V1" s="19" t="s">
        <v>879</v>
      </c>
      <c r="W1" s="19" t="s">
        <v>880</v>
      </c>
      <c r="X1" s="19" t="s">
        <v>881</v>
      </c>
      <c r="Y1" s="19" t="s">
        <v>882</v>
      </c>
      <c r="Z1" s="19" t="s">
        <v>883</v>
      </c>
      <c r="AA1" s="19" t="s">
        <v>884</v>
      </c>
      <c r="AB1" s="19" t="s">
        <v>885</v>
      </c>
      <c r="AC1" s="19" t="s">
        <v>886</v>
      </c>
      <c r="AD1" s="16" t="s">
        <v>287</v>
      </c>
      <c r="AE1" s="16" t="s">
        <v>887</v>
      </c>
      <c r="AF1" s="20" t="s">
        <v>888</v>
      </c>
      <c r="AG1" s="20" t="s">
        <v>889</v>
      </c>
      <c r="AH1" s="9" t="s">
        <v>890</v>
      </c>
      <c r="AI1" s="9" t="s">
        <v>891</v>
      </c>
      <c r="AJ1" s="9" t="s">
        <v>892</v>
      </c>
      <c r="AK1" s="131" t="s">
        <v>893</v>
      </c>
    </row>
    <row r="2" spans="1:37" ht="15" hidden="1" customHeight="1" x14ac:dyDescent="0.25">
      <c r="A2" s="1">
        <v>1</v>
      </c>
      <c r="B2" s="21">
        <v>893</v>
      </c>
      <c r="C2" s="22"/>
      <c r="D2" s="21">
        <v>313</v>
      </c>
      <c r="E2" s="21">
        <v>31301</v>
      </c>
      <c r="F2" s="21">
        <v>31301</v>
      </c>
      <c r="G2" s="23" t="s">
        <v>563</v>
      </c>
      <c r="H2" s="23" t="s">
        <v>61</v>
      </c>
      <c r="I2" s="23" t="s">
        <v>894</v>
      </c>
      <c r="J2" s="23" t="s">
        <v>279</v>
      </c>
      <c r="K2" s="23" t="s">
        <v>279</v>
      </c>
      <c r="L2" s="23" t="s">
        <v>895</v>
      </c>
      <c r="M2" s="23" t="s">
        <v>279</v>
      </c>
      <c r="N2" s="23" t="s">
        <v>895</v>
      </c>
      <c r="O2" s="23" t="s">
        <v>290</v>
      </c>
      <c r="P2" s="23" t="s">
        <v>896</v>
      </c>
      <c r="Q2" s="23" t="s">
        <v>897</v>
      </c>
      <c r="R2" s="21">
        <v>873</v>
      </c>
      <c r="S2" s="23" t="s">
        <v>898</v>
      </c>
      <c r="T2" s="23" t="s">
        <v>899</v>
      </c>
      <c r="U2" s="21">
        <v>58</v>
      </c>
      <c r="V2" s="23" t="s">
        <v>900</v>
      </c>
      <c r="W2" s="21">
        <v>908</v>
      </c>
      <c r="X2" s="24">
        <v>2.99</v>
      </c>
      <c r="Y2" s="25">
        <v>0.4</v>
      </c>
      <c r="Z2" s="25">
        <v>0.6</v>
      </c>
      <c r="AA2" s="22"/>
      <c r="AB2" s="22"/>
      <c r="AC2" s="23" t="s">
        <v>901</v>
      </c>
      <c r="AD2" s="17" t="s">
        <v>559</v>
      </c>
      <c r="AE2" s="17">
        <v>4.25</v>
      </c>
      <c r="AF2" s="17" t="s">
        <v>279</v>
      </c>
      <c r="AG2" s="17" t="s">
        <v>902</v>
      </c>
      <c r="AH2" t="s">
        <v>903</v>
      </c>
      <c r="AJ2" s="15">
        <f>VLOOKUP(Tabla1[[#This Row],[CPC]],[1]Sheet3!$A:$D,4,0)</f>
        <v>0.40000001650183359</v>
      </c>
      <c r="AK2" t="s">
        <v>904</v>
      </c>
    </row>
    <row r="3" spans="1:37" ht="15" hidden="1" customHeight="1" x14ac:dyDescent="0.25">
      <c r="A3" s="1">
        <v>2</v>
      </c>
      <c r="B3" s="1">
        <v>928</v>
      </c>
      <c r="C3" s="26"/>
      <c r="D3" s="1">
        <v>563</v>
      </c>
      <c r="E3" s="1">
        <v>56301</v>
      </c>
      <c r="F3" s="1">
        <v>56301</v>
      </c>
      <c r="G3" s="27" t="s">
        <v>420</v>
      </c>
      <c r="H3" s="27" t="s">
        <v>419</v>
      </c>
      <c r="I3" s="27" t="s">
        <v>894</v>
      </c>
      <c r="J3" s="27" t="s">
        <v>256</v>
      </c>
      <c r="K3" s="27" t="s">
        <v>256</v>
      </c>
      <c r="L3" s="27" t="s">
        <v>901</v>
      </c>
      <c r="M3" s="27" t="s">
        <v>905</v>
      </c>
      <c r="N3" s="27" t="s">
        <v>256</v>
      </c>
      <c r="O3" s="27" t="s">
        <v>415</v>
      </c>
      <c r="P3" s="27" t="s">
        <v>896</v>
      </c>
      <c r="Q3" s="27" t="s">
        <v>897</v>
      </c>
      <c r="R3" s="1">
        <v>908</v>
      </c>
      <c r="S3" s="27" t="s">
        <v>419</v>
      </c>
      <c r="T3" s="27" t="s">
        <v>906</v>
      </c>
      <c r="U3" s="1">
        <v>9</v>
      </c>
      <c r="V3" s="27" t="s">
        <v>907</v>
      </c>
      <c r="W3" s="1">
        <v>25</v>
      </c>
      <c r="X3" s="28">
        <v>2</v>
      </c>
      <c r="Y3" s="29">
        <v>0.7</v>
      </c>
      <c r="Z3" s="29">
        <v>0.3</v>
      </c>
      <c r="AA3" s="26"/>
      <c r="AB3" s="26"/>
      <c r="AC3" s="27" t="s">
        <v>901</v>
      </c>
      <c r="AD3" t="s">
        <v>421</v>
      </c>
      <c r="AE3">
        <v>1</v>
      </c>
      <c r="AF3" t="s">
        <v>43</v>
      </c>
      <c r="AG3" t="s">
        <v>902</v>
      </c>
      <c r="AH3" t="s">
        <v>903</v>
      </c>
      <c r="AJ3" s="15"/>
      <c r="AK3" t="s">
        <v>908</v>
      </c>
    </row>
    <row r="4" spans="1:37" ht="15" hidden="1" customHeight="1" x14ac:dyDescent="0.25">
      <c r="A4" s="8">
        <v>3</v>
      </c>
      <c r="B4" s="18">
        <v>3109</v>
      </c>
      <c r="C4" s="17"/>
      <c r="D4" s="18"/>
      <c r="E4" s="18"/>
      <c r="F4" s="18"/>
      <c r="G4" s="18" t="s">
        <v>119</v>
      </c>
      <c r="H4" s="18" t="s">
        <v>119</v>
      </c>
      <c r="I4" s="23" t="s">
        <v>894</v>
      </c>
      <c r="J4" s="18" t="s">
        <v>118</v>
      </c>
      <c r="K4" s="23" t="s">
        <v>36</v>
      </c>
      <c r="L4" s="18"/>
      <c r="M4" s="23" t="s">
        <v>905</v>
      </c>
      <c r="N4" s="18"/>
      <c r="O4" s="18" t="s">
        <v>119</v>
      </c>
      <c r="P4" s="23" t="s">
        <v>909</v>
      </c>
      <c r="Q4" s="23" t="s">
        <v>897</v>
      </c>
      <c r="R4" s="18"/>
      <c r="S4" s="18" t="s">
        <v>910</v>
      </c>
      <c r="T4" s="18"/>
      <c r="U4" s="18"/>
      <c r="V4" s="27" t="s">
        <v>907</v>
      </c>
      <c r="W4" s="18"/>
      <c r="X4" s="18"/>
      <c r="Y4" s="18"/>
      <c r="Z4" s="18"/>
      <c r="AA4" s="17"/>
      <c r="AB4" s="17"/>
      <c r="AC4" s="18"/>
      <c r="AD4" s="17" t="s">
        <v>317</v>
      </c>
      <c r="AE4" s="17">
        <v>1</v>
      </c>
      <c r="AF4" s="17" t="s">
        <v>43</v>
      </c>
      <c r="AG4" s="17"/>
      <c r="AH4" t="s">
        <v>903</v>
      </c>
      <c r="AJ4" s="15"/>
      <c r="AK4" t="s">
        <v>908</v>
      </c>
    </row>
    <row r="5" spans="1:37" ht="15" hidden="1" customHeight="1" x14ac:dyDescent="0.25">
      <c r="A5" s="1">
        <v>4</v>
      </c>
      <c r="B5" s="8">
        <v>3141</v>
      </c>
      <c r="D5" s="8"/>
      <c r="E5" s="8"/>
      <c r="F5" s="8"/>
      <c r="G5" s="8" t="s">
        <v>119</v>
      </c>
      <c r="H5" s="8" t="s">
        <v>119</v>
      </c>
      <c r="I5" s="27" t="s">
        <v>894</v>
      </c>
      <c r="J5" s="8" t="s">
        <v>118</v>
      </c>
      <c r="K5" s="27" t="s">
        <v>36</v>
      </c>
      <c r="L5" s="8"/>
      <c r="M5" s="27" t="s">
        <v>905</v>
      </c>
      <c r="N5" s="8"/>
      <c r="O5" s="8" t="s">
        <v>119</v>
      </c>
      <c r="P5" s="27" t="s">
        <v>909</v>
      </c>
      <c r="Q5" s="27" t="s">
        <v>897</v>
      </c>
      <c r="R5" s="8"/>
      <c r="S5" s="8" t="s">
        <v>911</v>
      </c>
      <c r="T5" s="8"/>
      <c r="U5" s="8"/>
      <c r="V5" s="27" t="s">
        <v>907</v>
      </c>
      <c r="W5" s="8"/>
      <c r="X5" s="8"/>
      <c r="Y5" s="8"/>
      <c r="Z5" s="8"/>
      <c r="AA5"/>
      <c r="AB5"/>
      <c r="AC5" s="8"/>
      <c r="AD5" t="s">
        <v>316</v>
      </c>
      <c r="AE5">
        <v>1</v>
      </c>
      <c r="AF5" t="s">
        <v>43</v>
      </c>
      <c r="AH5" t="s">
        <v>903</v>
      </c>
      <c r="AJ5" s="15"/>
      <c r="AK5" t="s">
        <v>908</v>
      </c>
    </row>
    <row r="6" spans="1:37" ht="15" hidden="1" customHeight="1" x14ac:dyDescent="0.25">
      <c r="A6" s="1">
        <v>5</v>
      </c>
      <c r="B6" s="21">
        <v>4091</v>
      </c>
      <c r="C6" s="22"/>
      <c r="D6" s="21">
        <v>298</v>
      </c>
      <c r="E6" s="21">
        <v>29802</v>
      </c>
      <c r="F6" s="21">
        <v>29802</v>
      </c>
      <c r="G6" s="23" t="s">
        <v>558</v>
      </c>
      <c r="H6" s="23" t="s">
        <v>61</v>
      </c>
      <c r="I6" s="23" t="s">
        <v>894</v>
      </c>
      <c r="J6" s="23" t="s">
        <v>279</v>
      </c>
      <c r="K6" s="23" t="s">
        <v>279</v>
      </c>
      <c r="L6" s="23" t="s">
        <v>895</v>
      </c>
      <c r="M6" s="23" t="s">
        <v>279</v>
      </c>
      <c r="N6" s="23" t="s">
        <v>895</v>
      </c>
      <c r="O6" s="23" t="s">
        <v>290</v>
      </c>
      <c r="P6" s="23" t="s">
        <v>896</v>
      </c>
      <c r="Q6" s="23" t="s">
        <v>897</v>
      </c>
      <c r="R6" s="21">
        <v>3911</v>
      </c>
      <c r="S6" s="23" t="s">
        <v>898</v>
      </c>
      <c r="T6" s="23" t="s">
        <v>912</v>
      </c>
      <c r="U6" s="21">
        <v>10</v>
      </c>
      <c r="V6" s="23" t="s">
        <v>913</v>
      </c>
      <c r="W6" s="21">
        <v>1</v>
      </c>
      <c r="X6" s="24">
        <v>2.5</v>
      </c>
      <c r="Y6" s="25">
        <v>0.3</v>
      </c>
      <c r="Z6" s="25">
        <v>0.7</v>
      </c>
      <c r="AA6" s="22"/>
      <c r="AB6" s="22"/>
      <c r="AC6" s="23" t="s">
        <v>901</v>
      </c>
      <c r="AD6" s="17" t="s">
        <v>559</v>
      </c>
      <c r="AE6" s="17">
        <v>1</v>
      </c>
      <c r="AF6" s="17" t="s">
        <v>279</v>
      </c>
      <c r="AG6" s="17" t="s">
        <v>902</v>
      </c>
      <c r="AH6" t="s">
        <v>903</v>
      </c>
      <c r="AJ6" s="15"/>
      <c r="AK6" t="s">
        <v>904</v>
      </c>
    </row>
    <row r="7" spans="1:37" ht="15" hidden="1" customHeight="1" x14ac:dyDescent="0.25">
      <c r="A7" s="8">
        <v>6</v>
      </c>
      <c r="B7" s="8">
        <v>5645</v>
      </c>
      <c r="D7" s="8"/>
      <c r="E7" s="8"/>
      <c r="F7" s="8"/>
      <c r="G7" s="8" t="s">
        <v>120</v>
      </c>
      <c r="H7" s="8" t="s">
        <v>120</v>
      </c>
      <c r="I7" s="27" t="s">
        <v>894</v>
      </c>
      <c r="J7" s="8" t="s">
        <v>118</v>
      </c>
      <c r="K7" s="27" t="s">
        <v>36</v>
      </c>
      <c r="L7" s="8"/>
      <c r="M7" s="27" t="s">
        <v>905</v>
      </c>
      <c r="N7" s="8"/>
      <c r="O7" s="8" t="s">
        <v>120</v>
      </c>
      <c r="P7" s="27" t="s">
        <v>909</v>
      </c>
      <c r="Q7" s="27" t="s">
        <v>897</v>
      </c>
      <c r="R7" s="8"/>
      <c r="S7" s="8" t="s">
        <v>914</v>
      </c>
      <c r="T7" s="8"/>
      <c r="U7" s="8"/>
      <c r="V7" s="27" t="s">
        <v>907</v>
      </c>
      <c r="W7" s="8"/>
      <c r="X7" s="8"/>
      <c r="Y7" s="8"/>
      <c r="Z7" s="8"/>
      <c r="AA7"/>
      <c r="AB7"/>
      <c r="AC7" s="8"/>
      <c r="AD7" t="s">
        <v>318</v>
      </c>
      <c r="AE7">
        <v>1</v>
      </c>
      <c r="AF7" t="s">
        <v>43</v>
      </c>
      <c r="AH7" t="s">
        <v>903</v>
      </c>
      <c r="AJ7" s="15"/>
      <c r="AK7" t="s">
        <v>908</v>
      </c>
    </row>
    <row r="8" spans="1:37" ht="15" hidden="1" customHeight="1" x14ac:dyDescent="0.25">
      <c r="A8" s="1">
        <v>7</v>
      </c>
      <c r="B8" s="21">
        <v>8778</v>
      </c>
      <c r="C8" s="22"/>
      <c r="D8" s="21">
        <v>257</v>
      </c>
      <c r="E8" s="21">
        <v>25701</v>
      </c>
      <c r="F8" s="21">
        <v>25701</v>
      </c>
      <c r="G8" s="23" t="s">
        <v>138</v>
      </c>
      <c r="H8" s="23" t="s">
        <v>137</v>
      </c>
      <c r="I8" s="23" t="s">
        <v>894</v>
      </c>
      <c r="J8" s="23" t="s">
        <v>123</v>
      </c>
      <c r="K8" s="23" t="s">
        <v>123</v>
      </c>
      <c r="L8" s="23" t="s">
        <v>901</v>
      </c>
      <c r="M8" s="23" t="s">
        <v>123</v>
      </c>
      <c r="N8" s="23" t="s">
        <v>901</v>
      </c>
      <c r="O8" s="23" t="s">
        <v>364</v>
      </c>
      <c r="P8" s="23" t="s">
        <v>896</v>
      </c>
      <c r="Q8" s="23" t="s">
        <v>897</v>
      </c>
      <c r="R8" s="21">
        <v>8378</v>
      </c>
      <c r="S8" s="23" t="s">
        <v>137</v>
      </c>
      <c r="T8" s="23" t="s">
        <v>915</v>
      </c>
      <c r="U8" s="21">
        <v>11</v>
      </c>
      <c r="V8" s="23" t="s">
        <v>913</v>
      </c>
      <c r="W8" s="21">
        <v>1</v>
      </c>
      <c r="X8" s="24">
        <v>3</v>
      </c>
      <c r="Y8" s="25">
        <v>0.5</v>
      </c>
      <c r="Z8" s="25">
        <v>0.5</v>
      </c>
      <c r="AA8" s="22"/>
      <c r="AB8" s="22"/>
      <c r="AC8" s="23" t="s">
        <v>901</v>
      </c>
      <c r="AD8" s="17" t="s">
        <v>365</v>
      </c>
      <c r="AE8" s="17">
        <v>1</v>
      </c>
      <c r="AF8" s="17" t="s">
        <v>123</v>
      </c>
      <c r="AG8" s="17" t="s">
        <v>902</v>
      </c>
      <c r="AH8" t="s">
        <v>903</v>
      </c>
      <c r="AJ8" s="15"/>
      <c r="AK8" t="s">
        <v>908</v>
      </c>
    </row>
    <row r="9" spans="1:37" ht="15" hidden="1" customHeight="1" x14ac:dyDescent="0.25">
      <c r="A9" s="1">
        <v>8</v>
      </c>
      <c r="B9" s="1">
        <v>10004</v>
      </c>
      <c r="C9" s="26"/>
      <c r="D9" s="1">
        <v>564</v>
      </c>
      <c r="E9" s="1">
        <v>56401</v>
      </c>
      <c r="F9" s="1">
        <v>56401</v>
      </c>
      <c r="G9" s="27" t="s">
        <v>495</v>
      </c>
      <c r="H9" s="27" t="s">
        <v>61</v>
      </c>
      <c r="I9" s="27" t="s">
        <v>894</v>
      </c>
      <c r="J9" s="27" t="s">
        <v>279</v>
      </c>
      <c r="K9" s="27" t="s">
        <v>279</v>
      </c>
      <c r="L9" s="27" t="s">
        <v>895</v>
      </c>
      <c r="M9" s="27" t="s">
        <v>279</v>
      </c>
      <c r="N9" s="27" t="s">
        <v>895</v>
      </c>
      <c r="O9" s="27" t="s">
        <v>415</v>
      </c>
      <c r="P9" s="27" t="s">
        <v>896</v>
      </c>
      <c r="Q9" s="27" t="s">
        <v>897</v>
      </c>
      <c r="R9" s="1">
        <v>9241</v>
      </c>
      <c r="S9" s="27" t="s">
        <v>916</v>
      </c>
      <c r="T9" s="27" t="s">
        <v>906</v>
      </c>
      <c r="U9" s="1">
        <v>9</v>
      </c>
      <c r="V9" s="27" t="s">
        <v>907</v>
      </c>
      <c r="W9" s="1">
        <v>25</v>
      </c>
      <c r="X9" s="28">
        <v>2</v>
      </c>
      <c r="Y9" s="29">
        <v>0.3</v>
      </c>
      <c r="Z9" s="29">
        <v>0.7</v>
      </c>
      <c r="AA9" s="26"/>
      <c r="AB9" s="26"/>
      <c r="AC9" s="27" t="s">
        <v>901</v>
      </c>
      <c r="AD9" t="s">
        <v>496</v>
      </c>
      <c r="AE9">
        <v>1</v>
      </c>
      <c r="AF9" t="s">
        <v>279</v>
      </c>
      <c r="AH9" t="s">
        <v>903</v>
      </c>
      <c r="AJ9" s="15"/>
      <c r="AK9" t="s">
        <v>908</v>
      </c>
    </row>
    <row r="10" spans="1:37" ht="15" hidden="1" customHeight="1" x14ac:dyDescent="0.25">
      <c r="A10" s="8">
        <v>9</v>
      </c>
      <c r="B10" s="21">
        <v>10487</v>
      </c>
      <c r="C10" s="22"/>
      <c r="D10" s="21">
        <v>426</v>
      </c>
      <c r="E10" s="21">
        <v>42601</v>
      </c>
      <c r="F10" s="21">
        <v>42601</v>
      </c>
      <c r="G10" s="23" t="s">
        <v>771</v>
      </c>
      <c r="H10" s="23" t="s">
        <v>770</v>
      </c>
      <c r="I10" s="23" t="s">
        <v>894</v>
      </c>
      <c r="J10" s="23" t="s">
        <v>280</v>
      </c>
      <c r="K10" s="23" t="s">
        <v>280</v>
      </c>
      <c r="L10" s="23" t="s">
        <v>901</v>
      </c>
      <c r="M10" s="23" t="s">
        <v>280</v>
      </c>
      <c r="N10" s="23" t="s">
        <v>901</v>
      </c>
      <c r="O10" s="23" t="s">
        <v>119</v>
      </c>
      <c r="P10" s="23" t="s">
        <v>909</v>
      </c>
      <c r="Q10" s="23" t="s">
        <v>897</v>
      </c>
      <c r="R10" s="21">
        <v>9616</v>
      </c>
      <c r="S10" s="23" t="s">
        <v>770</v>
      </c>
      <c r="T10" s="23" t="s">
        <v>917</v>
      </c>
      <c r="U10" s="21">
        <v>54</v>
      </c>
      <c r="V10" s="23" t="s">
        <v>900</v>
      </c>
      <c r="W10" s="21">
        <v>908</v>
      </c>
      <c r="X10" s="24">
        <v>0.99</v>
      </c>
      <c r="Y10" s="25">
        <v>0.65</v>
      </c>
      <c r="Z10" s="25">
        <v>0.35</v>
      </c>
      <c r="AA10" s="22"/>
      <c r="AB10" s="22"/>
      <c r="AC10" s="23" t="s">
        <v>901</v>
      </c>
      <c r="AD10" s="17" t="s">
        <v>772</v>
      </c>
      <c r="AE10" s="17">
        <v>4.25</v>
      </c>
      <c r="AF10" s="17" t="s">
        <v>280</v>
      </c>
      <c r="AG10" s="17"/>
      <c r="AH10" t="s">
        <v>903</v>
      </c>
      <c r="AJ10" s="15"/>
      <c r="AK10" t="s">
        <v>908</v>
      </c>
    </row>
    <row r="11" spans="1:37" ht="15" hidden="1" customHeight="1" x14ac:dyDescent="0.25">
      <c r="A11" s="1">
        <v>10</v>
      </c>
      <c r="B11" s="1">
        <v>10494</v>
      </c>
      <c r="C11" s="26"/>
      <c r="D11" s="1">
        <v>347</v>
      </c>
      <c r="E11" s="1">
        <v>34701</v>
      </c>
      <c r="F11" s="1">
        <v>34701</v>
      </c>
      <c r="G11" s="27" t="s">
        <v>423</v>
      </c>
      <c r="H11" s="27" t="s">
        <v>422</v>
      </c>
      <c r="I11" s="27" t="s">
        <v>894</v>
      </c>
      <c r="J11" s="27" t="s">
        <v>256</v>
      </c>
      <c r="K11" s="27" t="s">
        <v>256</v>
      </c>
      <c r="L11" s="27" t="s">
        <v>901</v>
      </c>
      <c r="M11" s="27" t="s">
        <v>905</v>
      </c>
      <c r="N11" s="27" t="s">
        <v>256</v>
      </c>
      <c r="O11" s="27" t="s">
        <v>290</v>
      </c>
      <c r="P11" s="27" t="s">
        <v>896</v>
      </c>
      <c r="Q11" s="27" t="s">
        <v>897</v>
      </c>
      <c r="R11" s="1">
        <v>9620</v>
      </c>
      <c r="S11" s="27" t="s">
        <v>918</v>
      </c>
      <c r="T11" s="27" t="s">
        <v>906</v>
      </c>
      <c r="U11" s="1">
        <v>9</v>
      </c>
      <c r="V11" s="27" t="s">
        <v>907</v>
      </c>
      <c r="W11" s="1">
        <v>25</v>
      </c>
      <c r="X11" s="28">
        <v>2</v>
      </c>
      <c r="Y11" s="29">
        <v>0.35</v>
      </c>
      <c r="Z11" s="29">
        <v>0.65</v>
      </c>
      <c r="AA11" s="26"/>
      <c r="AB11" s="26"/>
      <c r="AC11" s="27" t="s">
        <v>901</v>
      </c>
      <c r="AD11" t="s">
        <v>424</v>
      </c>
      <c r="AE11">
        <v>1</v>
      </c>
      <c r="AF11" t="s">
        <v>43</v>
      </c>
      <c r="AG11" t="s">
        <v>902</v>
      </c>
      <c r="AH11" t="s">
        <v>903</v>
      </c>
      <c r="AJ11" s="15"/>
      <c r="AK11" t="s">
        <v>908</v>
      </c>
    </row>
    <row r="12" spans="1:37" ht="15" hidden="1" customHeight="1" x14ac:dyDescent="0.25">
      <c r="A12" s="1">
        <v>11</v>
      </c>
      <c r="B12" s="21">
        <v>11207</v>
      </c>
      <c r="C12" s="22"/>
      <c r="D12" s="21">
        <v>563</v>
      </c>
      <c r="E12" s="21">
        <v>56302</v>
      </c>
      <c r="F12" s="21">
        <v>56302</v>
      </c>
      <c r="G12" s="23" t="s">
        <v>417</v>
      </c>
      <c r="H12" s="23" t="s">
        <v>416</v>
      </c>
      <c r="I12" s="23" t="s">
        <v>894</v>
      </c>
      <c r="J12" s="23" t="s">
        <v>256</v>
      </c>
      <c r="K12" s="23" t="s">
        <v>256</v>
      </c>
      <c r="L12" s="23" t="s">
        <v>901</v>
      </c>
      <c r="M12" s="23" t="s">
        <v>905</v>
      </c>
      <c r="N12" s="23" t="s">
        <v>256</v>
      </c>
      <c r="O12" s="23" t="s">
        <v>415</v>
      </c>
      <c r="P12" s="23" t="s">
        <v>896</v>
      </c>
      <c r="Q12" s="23" t="s">
        <v>897</v>
      </c>
      <c r="R12" s="21">
        <v>10143</v>
      </c>
      <c r="S12" s="23" t="s">
        <v>416</v>
      </c>
      <c r="T12" s="23" t="s">
        <v>906</v>
      </c>
      <c r="U12" s="21">
        <v>9</v>
      </c>
      <c r="V12" s="27" t="s">
        <v>907</v>
      </c>
      <c r="W12" s="21">
        <v>25</v>
      </c>
      <c r="X12" s="24">
        <v>2</v>
      </c>
      <c r="Y12" s="25">
        <v>0.65</v>
      </c>
      <c r="Z12" s="25">
        <v>0.35</v>
      </c>
      <c r="AA12" s="22"/>
      <c r="AB12" s="22"/>
      <c r="AC12" s="23" t="s">
        <v>901</v>
      </c>
      <c r="AD12" s="17" t="s">
        <v>418</v>
      </c>
      <c r="AE12" s="17">
        <v>1</v>
      </c>
      <c r="AF12" s="17" t="s">
        <v>43</v>
      </c>
      <c r="AG12" s="17" t="s">
        <v>902</v>
      </c>
      <c r="AH12" t="s">
        <v>903</v>
      </c>
      <c r="AJ12" s="15"/>
      <c r="AK12" t="s">
        <v>908</v>
      </c>
    </row>
    <row r="13" spans="1:37" ht="15" hidden="1" customHeight="1" x14ac:dyDescent="0.25">
      <c r="A13" s="8">
        <v>12</v>
      </c>
      <c r="B13" s="1">
        <v>15325</v>
      </c>
      <c r="C13" s="26"/>
      <c r="D13" s="1">
        <v>604</v>
      </c>
      <c r="E13" s="1">
        <v>60401</v>
      </c>
      <c r="F13" s="1">
        <v>60401</v>
      </c>
      <c r="G13" s="27" t="s">
        <v>597</v>
      </c>
      <c r="H13" s="27" t="s">
        <v>61</v>
      </c>
      <c r="I13" s="27" t="s">
        <v>894</v>
      </c>
      <c r="J13" s="27" t="s">
        <v>279</v>
      </c>
      <c r="K13" s="27" t="s">
        <v>279</v>
      </c>
      <c r="L13" s="27" t="s">
        <v>895</v>
      </c>
      <c r="M13" s="27" t="s">
        <v>279</v>
      </c>
      <c r="N13" s="27" t="s">
        <v>895</v>
      </c>
      <c r="O13" s="27" t="s">
        <v>594</v>
      </c>
      <c r="P13" s="27" t="s">
        <v>909</v>
      </c>
      <c r="Q13" s="27" t="s">
        <v>897</v>
      </c>
      <c r="R13" s="1">
        <v>20069</v>
      </c>
      <c r="S13" s="27" t="s">
        <v>919</v>
      </c>
      <c r="T13" s="27" t="s">
        <v>920</v>
      </c>
      <c r="U13" s="1">
        <v>20</v>
      </c>
      <c r="V13" s="27" t="s">
        <v>907</v>
      </c>
      <c r="W13" s="1">
        <v>25</v>
      </c>
      <c r="X13" s="28">
        <v>10</v>
      </c>
      <c r="Y13" s="29">
        <v>0.3</v>
      </c>
      <c r="Z13" s="29">
        <v>0.7</v>
      </c>
      <c r="AA13" s="26"/>
      <c r="AB13" s="26"/>
      <c r="AC13" s="27" t="s">
        <v>901</v>
      </c>
      <c r="AD13" t="s">
        <v>598</v>
      </c>
      <c r="AE13">
        <v>1</v>
      </c>
      <c r="AF13" t="s">
        <v>279</v>
      </c>
      <c r="AH13" t="s">
        <v>903</v>
      </c>
      <c r="AJ13" s="15"/>
      <c r="AK13" t="s">
        <v>908</v>
      </c>
    </row>
    <row r="14" spans="1:37" ht="15" hidden="1" customHeight="1" x14ac:dyDescent="0.25">
      <c r="A14" s="1">
        <v>13</v>
      </c>
      <c r="B14" s="21">
        <v>17510</v>
      </c>
      <c r="C14" s="22"/>
      <c r="D14" s="21">
        <v>427</v>
      </c>
      <c r="E14" s="21">
        <v>42701</v>
      </c>
      <c r="F14" s="21">
        <v>42701</v>
      </c>
      <c r="G14" s="23" t="s">
        <v>774</v>
      </c>
      <c r="H14" s="23" t="s">
        <v>773</v>
      </c>
      <c r="I14" s="23" t="s">
        <v>894</v>
      </c>
      <c r="J14" s="23" t="s">
        <v>280</v>
      </c>
      <c r="K14" s="23" t="s">
        <v>280</v>
      </c>
      <c r="L14" s="23" t="s">
        <v>901</v>
      </c>
      <c r="M14" s="23" t="s">
        <v>280</v>
      </c>
      <c r="N14" s="23" t="s">
        <v>901</v>
      </c>
      <c r="O14" s="23" t="s">
        <v>119</v>
      </c>
      <c r="P14" s="23" t="s">
        <v>896</v>
      </c>
      <c r="Q14" s="23" t="s">
        <v>897</v>
      </c>
      <c r="R14" s="21">
        <v>23992</v>
      </c>
      <c r="S14" s="23" t="s">
        <v>921</v>
      </c>
      <c r="T14" s="23" t="s">
        <v>906</v>
      </c>
      <c r="U14" s="21">
        <v>9</v>
      </c>
      <c r="V14" s="27" t="s">
        <v>907</v>
      </c>
      <c r="W14" s="21">
        <v>25</v>
      </c>
      <c r="X14" s="24">
        <v>2</v>
      </c>
      <c r="Y14" s="25">
        <v>0.7</v>
      </c>
      <c r="Z14" s="25">
        <v>0.3</v>
      </c>
      <c r="AA14" s="22"/>
      <c r="AB14" s="22"/>
      <c r="AC14" s="23" t="s">
        <v>901</v>
      </c>
      <c r="AD14" s="17" t="s">
        <v>775</v>
      </c>
      <c r="AE14" s="17">
        <v>1</v>
      </c>
      <c r="AF14" s="17" t="s">
        <v>280</v>
      </c>
      <c r="AG14" s="17"/>
      <c r="AH14" t="s">
        <v>903</v>
      </c>
      <c r="AJ14" s="15"/>
      <c r="AK14" t="s">
        <v>908</v>
      </c>
    </row>
    <row r="15" spans="1:37" ht="15" hidden="1" customHeight="1" x14ac:dyDescent="0.25">
      <c r="A15" s="1">
        <v>14</v>
      </c>
      <c r="B15" s="1">
        <v>18157</v>
      </c>
      <c r="C15" s="26"/>
      <c r="D15" s="1">
        <v>599</v>
      </c>
      <c r="E15" s="1">
        <v>59901</v>
      </c>
      <c r="F15" s="1">
        <v>59901</v>
      </c>
      <c r="G15" s="27" t="s">
        <v>463</v>
      </c>
      <c r="H15" s="27" t="s">
        <v>61</v>
      </c>
      <c r="I15" s="27" t="s">
        <v>894</v>
      </c>
      <c r="J15" s="27" t="s">
        <v>279</v>
      </c>
      <c r="K15" s="27" t="s">
        <v>279</v>
      </c>
      <c r="L15" s="27" t="s">
        <v>922</v>
      </c>
      <c r="M15" s="27" t="s">
        <v>279</v>
      </c>
      <c r="N15" s="27" t="s">
        <v>922</v>
      </c>
      <c r="O15" s="27" t="s">
        <v>334</v>
      </c>
      <c r="P15" s="27" t="s">
        <v>896</v>
      </c>
      <c r="Q15" s="27" t="s">
        <v>897</v>
      </c>
      <c r="R15" s="1">
        <v>22063</v>
      </c>
      <c r="S15" s="27" t="s">
        <v>923</v>
      </c>
      <c r="T15" s="27" t="s">
        <v>915</v>
      </c>
      <c r="U15" s="1">
        <v>11</v>
      </c>
      <c r="V15" s="27" t="s">
        <v>907</v>
      </c>
      <c r="W15" s="1">
        <v>25</v>
      </c>
      <c r="X15" s="28">
        <v>3</v>
      </c>
      <c r="Y15" s="29">
        <v>0.3</v>
      </c>
      <c r="Z15" s="29">
        <v>0.7</v>
      </c>
      <c r="AA15" s="26"/>
      <c r="AB15" s="26"/>
      <c r="AC15" s="27" t="s">
        <v>901</v>
      </c>
      <c r="AD15" t="s">
        <v>464</v>
      </c>
      <c r="AE15">
        <v>1</v>
      </c>
      <c r="AF15" t="s">
        <v>279</v>
      </c>
      <c r="AH15" t="s">
        <v>903</v>
      </c>
      <c r="AJ15" s="15"/>
      <c r="AK15" t="s">
        <v>908</v>
      </c>
    </row>
    <row r="16" spans="1:37" ht="15" hidden="1" customHeight="1" x14ac:dyDescent="0.25">
      <c r="A16" s="8">
        <v>15</v>
      </c>
      <c r="B16" s="21">
        <v>18965</v>
      </c>
      <c r="C16" s="22"/>
      <c r="D16" s="21">
        <v>257</v>
      </c>
      <c r="E16" s="21">
        <v>25702</v>
      </c>
      <c r="F16" s="21">
        <v>25702</v>
      </c>
      <c r="G16" s="23" t="s">
        <v>136</v>
      </c>
      <c r="H16" s="23" t="s">
        <v>135</v>
      </c>
      <c r="I16" s="23" t="s">
        <v>894</v>
      </c>
      <c r="J16" s="23" t="s">
        <v>123</v>
      </c>
      <c r="K16" s="23" t="s">
        <v>123</v>
      </c>
      <c r="L16" s="23" t="s">
        <v>901</v>
      </c>
      <c r="M16" s="23" t="s">
        <v>123</v>
      </c>
      <c r="N16" s="23" t="s">
        <v>901</v>
      </c>
      <c r="O16" s="23" t="s">
        <v>364</v>
      </c>
      <c r="P16" s="23" t="s">
        <v>896</v>
      </c>
      <c r="Q16" s="23" t="s">
        <v>897</v>
      </c>
      <c r="R16" s="21">
        <v>25225</v>
      </c>
      <c r="S16" s="23" t="s">
        <v>135</v>
      </c>
      <c r="T16" s="23" t="s">
        <v>924</v>
      </c>
      <c r="U16" s="21">
        <v>12</v>
      </c>
      <c r="V16" s="23" t="s">
        <v>913</v>
      </c>
      <c r="W16" s="21">
        <v>1</v>
      </c>
      <c r="X16" s="24">
        <v>5</v>
      </c>
      <c r="Y16" s="25">
        <v>0.6</v>
      </c>
      <c r="Z16" s="25">
        <v>0.4</v>
      </c>
      <c r="AA16" s="22"/>
      <c r="AB16" s="22"/>
      <c r="AC16" s="23" t="s">
        <v>901</v>
      </c>
      <c r="AD16" s="17" t="s">
        <v>365</v>
      </c>
      <c r="AE16" s="17">
        <v>1</v>
      </c>
      <c r="AF16" s="17" t="s">
        <v>123</v>
      </c>
      <c r="AG16" s="17" t="s">
        <v>902</v>
      </c>
      <c r="AH16" t="s">
        <v>903</v>
      </c>
      <c r="AJ16" s="15"/>
      <c r="AK16" t="s">
        <v>908</v>
      </c>
    </row>
    <row r="17" spans="1:37" ht="15" hidden="1" customHeight="1" x14ac:dyDescent="0.25">
      <c r="A17" s="1">
        <v>16</v>
      </c>
      <c r="B17" s="1">
        <v>19168</v>
      </c>
      <c r="C17" s="26"/>
      <c r="D17" s="1">
        <v>602</v>
      </c>
      <c r="E17" s="1">
        <v>60202</v>
      </c>
      <c r="F17" s="1">
        <v>60202</v>
      </c>
      <c r="G17" s="27" t="s">
        <v>533</v>
      </c>
      <c r="H17" s="27" t="s">
        <v>61</v>
      </c>
      <c r="I17" s="27" t="s">
        <v>894</v>
      </c>
      <c r="J17" s="27" t="s">
        <v>279</v>
      </c>
      <c r="K17" s="27" t="s">
        <v>279</v>
      </c>
      <c r="L17" s="27" t="s">
        <v>925</v>
      </c>
      <c r="M17" s="27" t="s">
        <v>279</v>
      </c>
      <c r="N17" s="27" t="s">
        <v>925</v>
      </c>
      <c r="O17" s="27" t="s">
        <v>532</v>
      </c>
      <c r="P17" s="27" t="s">
        <v>896</v>
      </c>
      <c r="Q17" s="27" t="s">
        <v>897</v>
      </c>
      <c r="R17" s="1">
        <v>25386</v>
      </c>
      <c r="S17" s="27" t="s">
        <v>926</v>
      </c>
      <c r="T17" s="27" t="s">
        <v>915</v>
      </c>
      <c r="U17" s="1">
        <v>11</v>
      </c>
      <c r="V17" s="27" t="s">
        <v>913</v>
      </c>
      <c r="W17" s="1">
        <v>1</v>
      </c>
      <c r="X17" s="28">
        <v>3</v>
      </c>
      <c r="Y17" s="29">
        <v>0.3</v>
      </c>
      <c r="Z17" s="29">
        <v>0.7</v>
      </c>
      <c r="AA17" s="26"/>
      <c r="AB17" s="26"/>
      <c r="AC17" s="27" t="s">
        <v>901</v>
      </c>
      <c r="AD17" t="s">
        <v>534</v>
      </c>
      <c r="AE17">
        <v>1</v>
      </c>
      <c r="AF17" t="s">
        <v>279</v>
      </c>
      <c r="AG17" t="s">
        <v>902</v>
      </c>
      <c r="AH17" t="s">
        <v>903</v>
      </c>
      <c r="AJ17" s="15"/>
      <c r="AK17" t="s">
        <v>908</v>
      </c>
    </row>
    <row r="18" spans="1:37" ht="15" hidden="1" customHeight="1" x14ac:dyDescent="0.25">
      <c r="A18" s="1">
        <v>17</v>
      </c>
      <c r="B18" s="21">
        <v>20508</v>
      </c>
      <c r="C18" s="22"/>
      <c r="D18" s="21">
        <v>474</v>
      </c>
      <c r="E18" s="21">
        <v>47402</v>
      </c>
      <c r="F18" s="21">
        <v>47402</v>
      </c>
      <c r="G18" s="23" t="s">
        <v>140</v>
      </c>
      <c r="H18" s="23" t="s">
        <v>139</v>
      </c>
      <c r="I18" s="23" t="s">
        <v>894</v>
      </c>
      <c r="J18" s="23" t="s">
        <v>123</v>
      </c>
      <c r="K18" s="23" t="s">
        <v>123</v>
      </c>
      <c r="L18" s="23" t="s">
        <v>901</v>
      </c>
      <c r="M18" s="23" t="s">
        <v>123</v>
      </c>
      <c r="N18" s="23" t="s">
        <v>901</v>
      </c>
      <c r="O18" s="23" t="s">
        <v>325</v>
      </c>
      <c r="P18" s="23" t="s">
        <v>896</v>
      </c>
      <c r="Q18" s="23" t="s">
        <v>897</v>
      </c>
      <c r="R18" s="21">
        <v>26502</v>
      </c>
      <c r="S18" s="23" t="s">
        <v>139</v>
      </c>
      <c r="T18" s="23" t="s">
        <v>927</v>
      </c>
      <c r="U18" s="21">
        <v>7</v>
      </c>
      <c r="V18" s="23" t="s">
        <v>913</v>
      </c>
      <c r="W18" s="21">
        <v>1</v>
      </c>
      <c r="X18" s="24">
        <v>1</v>
      </c>
      <c r="Y18" s="25">
        <v>0.7</v>
      </c>
      <c r="Z18" s="25">
        <v>0.3</v>
      </c>
      <c r="AA18" s="22"/>
      <c r="AB18" s="22"/>
      <c r="AC18" s="23" t="s">
        <v>901</v>
      </c>
      <c r="AD18" s="17" t="s">
        <v>370</v>
      </c>
      <c r="AE18" s="17">
        <v>1</v>
      </c>
      <c r="AF18" s="17" t="s">
        <v>123</v>
      </c>
      <c r="AG18" s="17" t="s">
        <v>902</v>
      </c>
      <c r="AH18" t="s">
        <v>903</v>
      </c>
      <c r="AJ18" s="15"/>
      <c r="AK18" t="s">
        <v>908</v>
      </c>
    </row>
    <row r="19" spans="1:37" ht="15" hidden="1" customHeight="1" x14ac:dyDescent="0.25">
      <c r="A19" s="8">
        <v>18</v>
      </c>
      <c r="B19" s="1">
        <v>20510</v>
      </c>
      <c r="C19" s="26"/>
      <c r="D19" s="1">
        <v>474</v>
      </c>
      <c r="E19" s="1">
        <v>47403</v>
      </c>
      <c r="F19" s="1">
        <v>47403</v>
      </c>
      <c r="G19" s="27" t="s">
        <v>142</v>
      </c>
      <c r="H19" s="27" t="s">
        <v>141</v>
      </c>
      <c r="I19" s="27" t="s">
        <v>894</v>
      </c>
      <c r="J19" s="27" t="s">
        <v>123</v>
      </c>
      <c r="K19" s="27" t="s">
        <v>123</v>
      </c>
      <c r="L19" s="27" t="s">
        <v>901</v>
      </c>
      <c r="M19" s="27" t="s">
        <v>123</v>
      </c>
      <c r="N19" s="27" t="s">
        <v>901</v>
      </c>
      <c r="O19" s="27" t="s">
        <v>325</v>
      </c>
      <c r="P19" s="27" t="s">
        <v>896</v>
      </c>
      <c r="Q19" s="27" t="s">
        <v>897</v>
      </c>
      <c r="R19" s="1">
        <v>26503</v>
      </c>
      <c r="S19" s="27" t="s">
        <v>141</v>
      </c>
      <c r="T19" s="27" t="s">
        <v>928</v>
      </c>
      <c r="U19" s="1">
        <v>8</v>
      </c>
      <c r="V19" s="27" t="s">
        <v>913</v>
      </c>
      <c r="W19" s="1">
        <v>1</v>
      </c>
      <c r="X19" s="28">
        <v>1.5</v>
      </c>
      <c r="Y19" s="29">
        <v>0.65</v>
      </c>
      <c r="Z19" s="29">
        <v>0.35</v>
      </c>
      <c r="AA19" s="26"/>
      <c r="AB19" s="26"/>
      <c r="AC19" s="27" t="s">
        <v>901</v>
      </c>
      <c r="AD19" t="s">
        <v>370</v>
      </c>
      <c r="AE19">
        <v>1</v>
      </c>
      <c r="AF19" t="s">
        <v>123</v>
      </c>
      <c r="AG19" t="s">
        <v>902</v>
      </c>
      <c r="AH19" t="s">
        <v>903</v>
      </c>
      <c r="AJ19" s="15"/>
      <c r="AK19" t="s">
        <v>908</v>
      </c>
    </row>
    <row r="20" spans="1:37" ht="15" hidden="1" customHeight="1" x14ac:dyDescent="0.25">
      <c r="A20" s="1">
        <v>19</v>
      </c>
      <c r="B20" s="21">
        <v>20512</v>
      </c>
      <c r="C20" s="22"/>
      <c r="D20" s="21">
        <v>474</v>
      </c>
      <c r="E20" s="21">
        <v>47404</v>
      </c>
      <c r="F20" s="21">
        <v>47404</v>
      </c>
      <c r="G20" s="23" t="s">
        <v>144</v>
      </c>
      <c r="H20" s="23" t="s">
        <v>143</v>
      </c>
      <c r="I20" s="23" t="s">
        <v>894</v>
      </c>
      <c r="J20" s="23" t="s">
        <v>123</v>
      </c>
      <c r="K20" s="23" t="s">
        <v>123</v>
      </c>
      <c r="L20" s="23" t="s">
        <v>901</v>
      </c>
      <c r="M20" s="23" t="s">
        <v>123</v>
      </c>
      <c r="N20" s="23" t="s">
        <v>901</v>
      </c>
      <c r="O20" s="23" t="s">
        <v>325</v>
      </c>
      <c r="P20" s="23" t="s">
        <v>896</v>
      </c>
      <c r="Q20" s="23" t="s">
        <v>897</v>
      </c>
      <c r="R20" s="21">
        <v>26504</v>
      </c>
      <c r="S20" s="23" t="s">
        <v>143</v>
      </c>
      <c r="T20" s="23" t="s">
        <v>906</v>
      </c>
      <c r="U20" s="21">
        <v>9</v>
      </c>
      <c r="V20" s="23" t="s">
        <v>913</v>
      </c>
      <c r="W20" s="21">
        <v>1</v>
      </c>
      <c r="X20" s="24">
        <v>2</v>
      </c>
      <c r="Y20" s="25">
        <v>0.65</v>
      </c>
      <c r="Z20" s="25">
        <v>0.35</v>
      </c>
      <c r="AA20" s="22"/>
      <c r="AB20" s="22"/>
      <c r="AC20" s="23" t="s">
        <v>901</v>
      </c>
      <c r="AD20" s="17" t="s">
        <v>370</v>
      </c>
      <c r="AE20" s="17">
        <v>1</v>
      </c>
      <c r="AF20" s="17" t="s">
        <v>123</v>
      </c>
      <c r="AG20" s="17" t="s">
        <v>902</v>
      </c>
      <c r="AH20" t="s">
        <v>903</v>
      </c>
      <c r="AJ20" s="15"/>
      <c r="AK20" t="s">
        <v>908</v>
      </c>
    </row>
    <row r="21" spans="1:37" ht="15" hidden="1" customHeight="1" x14ac:dyDescent="0.25">
      <c r="A21" s="1">
        <v>20</v>
      </c>
      <c r="B21" s="1">
        <v>20514</v>
      </c>
      <c r="C21" s="26"/>
      <c r="D21" s="1">
        <v>474</v>
      </c>
      <c r="E21" s="1">
        <v>47405</v>
      </c>
      <c r="F21" s="1">
        <v>47405</v>
      </c>
      <c r="G21" s="27" t="s">
        <v>146</v>
      </c>
      <c r="H21" s="27" t="s">
        <v>145</v>
      </c>
      <c r="I21" s="27" t="s">
        <v>894</v>
      </c>
      <c r="J21" s="27" t="s">
        <v>123</v>
      </c>
      <c r="K21" s="27" t="s">
        <v>123</v>
      </c>
      <c r="L21" s="27" t="s">
        <v>901</v>
      </c>
      <c r="M21" s="27" t="s">
        <v>123</v>
      </c>
      <c r="N21" s="27" t="s">
        <v>901</v>
      </c>
      <c r="O21" s="27" t="s">
        <v>325</v>
      </c>
      <c r="P21" s="27" t="s">
        <v>896</v>
      </c>
      <c r="Q21" s="27" t="s">
        <v>897</v>
      </c>
      <c r="R21" s="1">
        <v>26505</v>
      </c>
      <c r="S21" s="27" t="s">
        <v>145</v>
      </c>
      <c r="T21" s="27" t="s">
        <v>915</v>
      </c>
      <c r="U21" s="1">
        <v>11</v>
      </c>
      <c r="V21" s="27" t="s">
        <v>913</v>
      </c>
      <c r="W21" s="1">
        <v>1</v>
      </c>
      <c r="X21" s="28">
        <v>3</v>
      </c>
      <c r="Y21" s="29">
        <v>0.5</v>
      </c>
      <c r="Z21" s="29">
        <v>0.5</v>
      </c>
      <c r="AA21" s="26"/>
      <c r="AB21" s="26"/>
      <c r="AC21" s="27" t="s">
        <v>901</v>
      </c>
      <c r="AD21" t="s">
        <v>370</v>
      </c>
      <c r="AE21">
        <v>1</v>
      </c>
      <c r="AF21" t="s">
        <v>123</v>
      </c>
      <c r="AG21" t="s">
        <v>902</v>
      </c>
      <c r="AH21" t="s">
        <v>903</v>
      </c>
      <c r="AJ21" s="15"/>
      <c r="AK21" t="s">
        <v>908</v>
      </c>
    </row>
    <row r="22" spans="1:37" ht="15" hidden="1" customHeight="1" x14ac:dyDescent="0.25">
      <c r="A22" s="8">
        <v>21</v>
      </c>
      <c r="B22" s="21">
        <v>20516</v>
      </c>
      <c r="C22" s="22"/>
      <c r="D22" s="21">
        <v>474</v>
      </c>
      <c r="E22" s="21">
        <v>47406</v>
      </c>
      <c r="F22" s="21">
        <v>47406</v>
      </c>
      <c r="G22" s="23" t="s">
        <v>148</v>
      </c>
      <c r="H22" s="23" t="s">
        <v>147</v>
      </c>
      <c r="I22" s="23" t="s">
        <v>894</v>
      </c>
      <c r="J22" s="23" t="s">
        <v>123</v>
      </c>
      <c r="K22" s="23" t="s">
        <v>123</v>
      </c>
      <c r="L22" s="23" t="s">
        <v>901</v>
      </c>
      <c r="M22" s="23" t="s">
        <v>123</v>
      </c>
      <c r="N22" s="23" t="s">
        <v>901</v>
      </c>
      <c r="O22" s="23" t="s">
        <v>325</v>
      </c>
      <c r="P22" s="23" t="s">
        <v>896</v>
      </c>
      <c r="Q22" s="23" t="s">
        <v>897</v>
      </c>
      <c r="R22" s="21">
        <v>26506</v>
      </c>
      <c r="S22" s="23" t="s">
        <v>147</v>
      </c>
      <c r="T22" s="23" t="s">
        <v>929</v>
      </c>
      <c r="U22" s="21">
        <v>22</v>
      </c>
      <c r="V22" s="23" t="s">
        <v>913</v>
      </c>
      <c r="W22" s="21">
        <v>1</v>
      </c>
      <c r="X22" s="24">
        <v>4</v>
      </c>
      <c r="Y22" s="25">
        <v>0.6</v>
      </c>
      <c r="Z22" s="25">
        <v>0.4</v>
      </c>
      <c r="AA22" s="22"/>
      <c r="AB22" s="22"/>
      <c r="AC22" s="23" t="s">
        <v>901</v>
      </c>
      <c r="AD22" s="17" t="s">
        <v>370</v>
      </c>
      <c r="AE22" s="17">
        <v>1</v>
      </c>
      <c r="AF22" s="17" t="s">
        <v>123</v>
      </c>
      <c r="AG22" s="17" t="s">
        <v>902</v>
      </c>
      <c r="AH22" t="s">
        <v>903</v>
      </c>
      <c r="AJ22" s="15"/>
      <c r="AK22" t="s">
        <v>908</v>
      </c>
    </row>
    <row r="23" spans="1:37" ht="15" hidden="1" customHeight="1" x14ac:dyDescent="0.25">
      <c r="A23" s="1">
        <v>22</v>
      </c>
      <c r="B23" s="1">
        <v>20518</v>
      </c>
      <c r="C23" s="26"/>
      <c r="D23" s="1">
        <v>474</v>
      </c>
      <c r="E23" s="1">
        <v>47407</v>
      </c>
      <c r="F23" s="1">
        <v>47407</v>
      </c>
      <c r="G23" s="27" t="s">
        <v>150</v>
      </c>
      <c r="H23" s="27" t="s">
        <v>149</v>
      </c>
      <c r="I23" s="27" t="s">
        <v>894</v>
      </c>
      <c r="J23" s="27" t="s">
        <v>123</v>
      </c>
      <c r="K23" s="27" t="s">
        <v>123</v>
      </c>
      <c r="L23" s="27" t="s">
        <v>901</v>
      </c>
      <c r="M23" s="27" t="s">
        <v>123</v>
      </c>
      <c r="N23" s="27" t="s">
        <v>901</v>
      </c>
      <c r="O23" s="27" t="s">
        <v>325</v>
      </c>
      <c r="P23" s="27" t="s">
        <v>896</v>
      </c>
      <c r="Q23" s="27" t="s">
        <v>897</v>
      </c>
      <c r="R23" s="1">
        <v>26507</v>
      </c>
      <c r="S23" s="27" t="s">
        <v>149</v>
      </c>
      <c r="T23" s="27" t="s">
        <v>924</v>
      </c>
      <c r="U23" s="1">
        <v>12</v>
      </c>
      <c r="V23" s="27" t="s">
        <v>913</v>
      </c>
      <c r="W23" s="1">
        <v>1</v>
      </c>
      <c r="X23" s="28">
        <v>5</v>
      </c>
      <c r="Y23" s="29">
        <v>0.6</v>
      </c>
      <c r="Z23" s="29">
        <v>0.4</v>
      </c>
      <c r="AA23" s="26"/>
      <c r="AB23" s="26"/>
      <c r="AC23" s="27" t="s">
        <v>901</v>
      </c>
      <c r="AD23" t="s">
        <v>370</v>
      </c>
      <c r="AE23">
        <v>1</v>
      </c>
      <c r="AF23" t="s">
        <v>123</v>
      </c>
      <c r="AG23" t="s">
        <v>902</v>
      </c>
      <c r="AH23" t="s">
        <v>903</v>
      </c>
      <c r="AJ23" s="15"/>
      <c r="AK23" t="s">
        <v>908</v>
      </c>
    </row>
    <row r="24" spans="1:37" ht="15" hidden="1" customHeight="1" x14ac:dyDescent="0.25">
      <c r="A24" s="1">
        <v>23</v>
      </c>
      <c r="B24" s="21">
        <v>22108</v>
      </c>
      <c r="C24" s="22"/>
      <c r="D24" s="21">
        <v>361</v>
      </c>
      <c r="E24" s="21">
        <v>36101</v>
      </c>
      <c r="F24" s="21">
        <v>36101</v>
      </c>
      <c r="G24" s="23" t="s">
        <v>384</v>
      </c>
      <c r="H24" s="23" t="s">
        <v>389</v>
      </c>
      <c r="I24" s="23" t="s">
        <v>894</v>
      </c>
      <c r="J24" s="23" t="s">
        <v>256</v>
      </c>
      <c r="K24" s="23" t="s">
        <v>256</v>
      </c>
      <c r="L24" s="23" t="s">
        <v>901</v>
      </c>
      <c r="M24" s="23" t="s">
        <v>905</v>
      </c>
      <c r="N24" s="23" t="s">
        <v>256</v>
      </c>
      <c r="O24" s="23" t="s">
        <v>334</v>
      </c>
      <c r="P24" s="23" t="s">
        <v>896</v>
      </c>
      <c r="Q24" s="23" t="s">
        <v>897</v>
      </c>
      <c r="R24" s="21">
        <v>27977</v>
      </c>
      <c r="S24" s="23" t="s">
        <v>389</v>
      </c>
      <c r="T24" s="23" t="s">
        <v>928</v>
      </c>
      <c r="U24" s="21">
        <v>8</v>
      </c>
      <c r="V24" s="23" t="s">
        <v>913</v>
      </c>
      <c r="W24" s="21">
        <v>1</v>
      </c>
      <c r="X24" s="24">
        <v>1.5</v>
      </c>
      <c r="Y24" s="25">
        <v>0.4</v>
      </c>
      <c r="Z24" s="25">
        <v>0.6</v>
      </c>
      <c r="AA24" s="22"/>
      <c r="AB24" s="22"/>
      <c r="AC24" s="23" t="s">
        <v>901</v>
      </c>
      <c r="AD24" s="17" t="s">
        <v>390</v>
      </c>
      <c r="AE24" s="17">
        <v>1</v>
      </c>
      <c r="AF24" s="17" t="s">
        <v>43</v>
      </c>
      <c r="AG24" s="17" t="s">
        <v>902</v>
      </c>
      <c r="AH24" t="s">
        <v>903</v>
      </c>
      <c r="AJ24" s="15"/>
      <c r="AK24" t="s">
        <v>908</v>
      </c>
    </row>
    <row r="25" spans="1:37" ht="15" hidden="1" customHeight="1" x14ac:dyDescent="0.25">
      <c r="A25" s="8">
        <v>24</v>
      </c>
      <c r="B25" s="1">
        <v>22110</v>
      </c>
      <c r="C25" s="26"/>
      <c r="D25" s="1">
        <v>355</v>
      </c>
      <c r="E25" s="1">
        <v>35501</v>
      </c>
      <c r="F25" s="1">
        <v>35501</v>
      </c>
      <c r="G25" s="27" t="s">
        <v>410</v>
      </c>
      <c r="H25" s="27" t="s">
        <v>409</v>
      </c>
      <c r="I25" s="27" t="s">
        <v>894</v>
      </c>
      <c r="J25" s="27" t="s">
        <v>256</v>
      </c>
      <c r="K25" s="27" t="s">
        <v>256</v>
      </c>
      <c r="L25" s="27" t="s">
        <v>901</v>
      </c>
      <c r="M25" s="27" t="s">
        <v>905</v>
      </c>
      <c r="N25" s="27" t="s">
        <v>256</v>
      </c>
      <c r="O25" s="27" t="s">
        <v>334</v>
      </c>
      <c r="P25" s="27" t="s">
        <v>896</v>
      </c>
      <c r="Q25" s="27" t="s">
        <v>897</v>
      </c>
      <c r="R25" s="1">
        <v>27978</v>
      </c>
      <c r="S25" s="27" t="s">
        <v>409</v>
      </c>
      <c r="T25" s="27" t="s">
        <v>906</v>
      </c>
      <c r="U25" s="1">
        <v>9</v>
      </c>
      <c r="V25" s="27" t="s">
        <v>913</v>
      </c>
      <c r="W25" s="1">
        <v>1</v>
      </c>
      <c r="X25" s="28">
        <v>2</v>
      </c>
      <c r="Y25" s="29">
        <v>0.4</v>
      </c>
      <c r="Z25" s="29">
        <v>0.6</v>
      </c>
      <c r="AA25" s="26"/>
      <c r="AB25" s="26"/>
      <c r="AC25" s="27" t="s">
        <v>901</v>
      </c>
      <c r="AD25" t="s">
        <v>411</v>
      </c>
      <c r="AE25">
        <v>1</v>
      </c>
      <c r="AF25" t="s">
        <v>43</v>
      </c>
      <c r="AG25" t="s">
        <v>902</v>
      </c>
      <c r="AH25" t="s">
        <v>903</v>
      </c>
      <c r="AJ25" s="15"/>
      <c r="AK25" t="s">
        <v>908</v>
      </c>
    </row>
    <row r="26" spans="1:37" ht="15" hidden="1" customHeight="1" x14ac:dyDescent="0.25">
      <c r="A26" s="1">
        <v>25</v>
      </c>
      <c r="B26" s="21">
        <v>22112</v>
      </c>
      <c r="C26" s="22"/>
      <c r="D26" s="21">
        <v>357</v>
      </c>
      <c r="E26" s="21">
        <v>35701</v>
      </c>
      <c r="F26" s="21">
        <v>35701</v>
      </c>
      <c r="G26" s="23" t="s">
        <v>381</v>
      </c>
      <c r="H26" s="23" t="s">
        <v>380</v>
      </c>
      <c r="I26" s="23" t="s">
        <v>894</v>
      </c>
      <c r="J26" s="23" t="s">
        <v>256</v>
      </c>
      <c r="K26" s="23" t="s">
        <v>256</v>
      </c>
      <c r="L26" s="23" t="s">
        <v>901</v>
      </c>
      <c r="M26" s="23" t="s">
        <v>905</v>
      </c>
      <c r="N26" s="23" t="s">
        <v>256</v>
      </c>
      <c r="O26" s="23" t="s">
        <v>334</v>
      </c>
      <c r="P26" s="23" t="s">
        <v>896</v>
      </c>
      <c r="Q26" s="23" t="s">
        <v>897</v>
      </c>
      <c r="R26" s="21">
        <v>27979</v>
      </c>
      <c r="S26" s="23" t="s">
        <v>380</v>
      </c>
      <c r="T26" s="23" t="s">
        <v>928</v>
      </c>
      <c r="U26" s="21">
        <v>8</v>
      </c>
      <c r="V26" s="23" t="s">
        <v>913</v>
      </c>
      <c r="W26" s="21">
        <v>1</v>
      </c>
      <c r="X26" s="24">
        <v>1.5</v>
      </c>
      <c r="Y26" s="25">
        <v>0.4</v>
      </c>
      <c r="Z26" s="25">
        <v>0.6</v>
      </c>
      <c r="AA26" s="22"/>
      <c r="AB26" s="22"/>
      <c r="AC26" s="23" t="s">
        <v>901</v>
      </c>
      <c r="AD26" s="17" t="s">
        <v>382</v>
      </c>
      <c r="AE26" s="17">
        <v>1</v>
      </c>
      <c r="AF26" s="17" t="s">
        <v>43</v>
      </c>
      <c r="AG26" s="17" t="s">
        <v>902</v>
      </c>
      <c r="AH26" t="s">
        <v>903</v>
      </c>
      <c r="AJ26" s="15"/>
      <c r="AK26" t="s">
        <v>908</v>
      </c>
    </row>
    <row r="27" spans="1:37" ht="15" hidden="1" customHeight="1" x14ac:dyDescent="0.25">
      <c r="A27" s="1">
        <v>26</v>
      </c>
      <c r="B27" s="1">
        <v>22118</v>
      </c>
      <c r="C27" s="26"/>
      <c r="D27" s="1">
        <v>363</v>
      </c>
      <c r="E27" s="1">
        <v>36301</v>
      </c>
      <c r="F27" s="1">
        <v>36301</v>
      </c>
      <c r="G27" s="27" t="s">
        <v>392</v>
      </c>
      <c r="H27" s="27" t="s">
        <v>391</v>
      </c>
      <c r="I27" s="27" t="s">
        <v>894</v>
      </c>
      <c r="J27" s="27" t="s">
        <v>256</v>
      </c>
      <c r="K27" s="27" t="s">
        <v>256</v>
      </c>
      <c r="L27" s="27" t="s">
        <v>901</v>
      </c>
      <c r="M27" s="27" t="s">
        <v>905</v>
      </c>
      <c r="N27" s="27" t="s">
        <v>256</v>
      </c>
      <c r="O27" s="27" t="s">
        <v>334</v>
      </c>
      <c r="P27" s="27" t="s">
        <v>896</v>
      </c>
      <c r="Q27" s="27" t="s">
        <v>897</v>
      </c>
      <c r="R27" s="1">
        <v>27982</v>
      </c>
      <c r="S27" s="27" t="s">
        <v>391</v>
      </c>
      <c r="T27" s="27" t="s">
        <v>928</v>
      </c>
      <c r="U27" s="1">
        <v>8</v>
      </c>
      <c r="V27" s="27" t="s">
        <v>913</v>
      </c>
      <c r="W27" s="1">
        <v>1</v>
      </c>
      <c r="X27" s="28">
        <v>1.5</v>
      </c>
      <c r="Y27" s="29">
        <v>0.5</v>
      </c>
      <c r="Z27" s="29">
        <v>0.5</v>
      </c>
      <c r="AA27" s="26"/>
      <c r="AB27" s="26"/>
      <c r="AC27" s="27" t="s">
        <v>901</v>
      </c>
      <c r="AD27" t="s">
        <v>393</v>
      </c>
      <c r="AE27">
        <v>1</v>
      </c>
      <c r="AF27" t="s">
        <v>43</v>
      </c>
      <c r="AG27" t="s">
        <v>902</v>
      </c>
      <c r="AH27" t="s">
        <v>903</v>
      </c>
      <c r="AJ27" s="15"/>
      <c r="AK27" t="s">
        <v>908</v>
      </c>
    </row>
    <row r="28" spans="1:37" ht="15" hidden="1" customHeight="1" x14ac:dyDescent="0.25">
      <c r="A28" s="8">
        <v>27</v>
      </c>
      <c r="B28" s="21">
        <v>22120</v>
      </c>
      <c r="C28" s="22"/>
      <c r="D28" s="21">
        <v>366</v>
      </c>
      <c r="E28" s="21">
        <v>36601</v>
      </c>
      <c r="F28" s="21">
        <v>36601</v>
      </c>
      <c r="G28" s="23" t="s">
        <v>413</v>
      </c>
      <c r="H28" s="23" t="s">
        <v>412</v>
      </c>
      <c r="I28" s="23" t="s">
        <v>894</v>
      </c>
      <c r="J28" s="23" t="s">
        <v>256</v>
      </c>
      <c r="K28" s="23" t="s">
        <v>256</v>
      </c>
      <c r="L28" s="23" t="s">
        <v>901</v>
      </c>
      <c r="M28" s="23" t="s">
        <v>905</v>
      </c>
      <c r="N28" s="23" t="s">
        <v>256</v>
      </c>
      <c r="O28" s="23" t="s">
        <v>334</v>
      </c>
      <c r="P28" s="23" t="s">
        <v>896</v>
      </c>
      <c r="Q28" s="23" t="s">
        <v>897</v>
      </c>
      <c r="R28" s="21">
        <v>27983</v>
      </c>
      <c r="S28" s="23" t="s">
        <v>412</v>
      </c>
      <c r="T28" s="23" t="s">
        <v>906</v>
      </c>
      <c r="U28" s="21">
        <v>9</v>
      </c>
      <c r="V28" s="23" t="s">
        <v>913</v>
      </c>
      <c r="W28" s="21">
        <v>1</v>
      </c>
      <c r="X28" s="24">
        <v>2</v>
      </c>
      <c r="Y28" s="25">
        <v>0.5</v>
      </c>
      <c r="Z28" s="25">
        <v>0.5</v>
      </c>
      <c r="AA28" s="22"/>
      <c r="AB28" s="22"/>
      <c r="AC28" s="23" t="s">
        <v>901</v>
      </c>
      <c r="AD28" s="17" t="s">
        <v>414</v>
      </c>
      <c r="AE28" s="17">
        <v>1</v>
      </c>
      <c r="AF28" s="17" t="s">
        <v>43</v>
      </c>
      <c r="AG28" s="17" t="s">
        <v>902</v>
      </c>
      <c r="AH28" t="s">
        <v>903</v>
      </c>
      <c r="AJ28" s="15"/>
      <c r="AK28" t="s">
        <v>908</v>
      </c>
    </row>
    <row r="29" spans="1:37" ht="15" hidden="1" customHeight="1" x14ac:dyDescent="0.25">
      <c r="A29" s="1">
        <v>28</v>
      </c>
      <c r="B29" s="1">
        <v>22122</v>
      </c>
      <c r="C29" s="26"/>
      <c r="D29" s="1">
        <v>356</v>
      </c>
      <c r="E29" s="1">
        <v>35601</v>
      </c>
      <c r="F29" s="1">
        <v>35601</v>
      </c>
      <c r="G29" s="27" t="s">
        <v>384</v>
      </c>
      <c r="H29" s="27" t="s">
        <v>383</v>
      </c>
      <c r="I29" s="27" t="s">
        <v>894</v>
      </c>
      <c r="J29" s="27" t="s">
        <v>256</v>
      </c>
      <c r="K29" s="27" t="s">
        <v>256</v>
      </c>
      <c r="L29" s="27" t="s">
        <v>901</v>
      </c>
      <c r="M29" s="27" t="s">
        <v>905</v>
      </c>
      <c r="N29" s="27" t="s">
        <v>256</v>
      </c>
      <c r="O29" s="27" t="s">
        <v>334</v>
      </c>
      <c r="P29" s="27" t="s">
        <v>896</v>
      </c>
      <c r="Q29" s="27" t="s">
        <v>897</v>
      </c>
      <c r="R29" s="1">
        <v>27984</v>
      </c>
      <c r="S29" s="27" t="s">
        <v>383</v>
      </c>
      <c r="T29" s="27" t="s">
        <v>928</v>
      </c>
      <c r="U29" s="1">
        <v>8</v>
      </c>
      <c r="V29" s="27" t="s">
        <v>913</v>
      </c>
      <c r="W29" s="1">
        <v>1</v>
      </c>
      <c r="X29" s="28">
        <v>1.5</v>
      </c>
      <c r="Y29" s="29">
        <v>0.5</v>
      </c>
      <c r="Z29" s="29">
        <v>0.5</v>
      </c>
      <c r="AA29" s="26"/>
      <c r="AB29" s="26"/>
      <c r="AC29" s="27" t="s">
        <v>901</v>
      </c>
      <c r="AD29" t="s">
        <v>385</v>
      </c>
      <c r="AE29">
        <v>1</v>
      </c>
      <c r="AF29" t="s">
        <v>43</v>
      </c>
      <c r="AG29" t="s">
        <v>902</v>
      </c>
      <c r="AH29" t="s">
        <v>903</v>
      </c>
      <c r="AJ29" s="15"/>
      <c r="AK29" t="s">
        <v>908</v>
      </c>
    </row>
    <row r="30" spans="1:37" ht="15" hidden="1" customHeight="1" x14ac:dyDescent="0.25">
      <c r="A30" s="1">
        <v>29</v>
      </c>
      <c r="B30" s="21">
        <v>22716</v>
      </c>
      <c r="C30" s="22"/>
      <c r="D30" s="21">
        <v>303</v>
      </c>
      <c r="E30" s="21">
        <v>30303</v>
      </c>
      <c r="F30" s="21">
        <v>30303</v>
      </c>
      <c r="G30" s="23" t="s">
        <v>481</v>
      </c>
      <c r="H30" s="23" t="s">
        <v>61</v>
      </c>
      <c r="I30" s="23" t="s">
        <v>894</v>
      </c>
      <c r="J30" s="23" t="s">
        <v>279</v>
      </c>
      <c r="K30" s="23" t="s">
        <v>279</v>
      </c>
      <c r="L30" s="23" t="s">
        <v>895</v>
      </c>
      <c r="M30" s="23" t="s">
        <v>279</v>
      </c>
      <c r="N30" s="23" t="s">
        <v>895</v>
      </c>
      <c r="O30" s="23" t="s">
        <v>290</v>
      </c>
      <c r="P30" s="23" t="s">
        <v>896</v>
      </c>
      <c r="Q30" s="23" t="s">
        <v>897</v>
      </c>
      <c r="R30" s="21">
        <v>28472</v>
      </c>
      <c r="S30" s="23" t="s">
        <v>930</v>
      </c>
      <c r="T30" s="23" t="s">
        <v>924</v>
      </c>
      <c r="U30" s="21">
        <v>12</v>
      </c>
      <c r="V30" s="23" t="s">
        <v>913</v>
      </c>
      <c r="W30" s="21">
        <v>1</v>
      </c>
      <c r="X30" s="24">
        <v>5</v>
      </c>
      <c r="Y30" s="25">
        <v>0.3</v>
      </c>
      <c r="Z30" s="25">
        <v>0.7</v>
      </c>
      <c r="AA30" s="22"/>
      <c r="AB30" s="22"/>
      <c r="AC30" s="23" t="s">
        <v>901</v>
      </c>
      <c r="AD30" s="17" t="s">
        <v>552</v>
      </c>
      <c r="AE30" s="17">
        <v>1</v>
      </c>
      <c r="AF30" s="17" t="s">
        <v>279</v>
      </c>
      <c r="AG30" s="17" t="s">
        <v>902</v>
      </c>
      <c r="AH30" t="s">
        <v>903</v>
      </c>
      <c r="AJ30" s="15"/>
      <c r="AK30" t="s">
        <v>904</v>
      </c>
    </row>
    <row r="31" spans="1:37" ht="15" hidden="1" customHeight="1" x14ac:dyDescent="0.25">
      <c r="A31" s="8">
        <v>30</v>
      </c>
      <c r="B31" s="1">
        <v>22718</v>
      </c>
      <c r="C31" s="26"/>
      <c r="D31" s="1">
        <v>251</v>
      </c>
      <c r="E31" s="1">
        <v>25102</v>
      </c>
      <c r="F31" s="1">
        <v>25102</v>
      </c>
      <c r="G31" s="27" t="s">
        <v>481</v>
      </c>
      <c r="H31" s="27" t="s">
        <v>61</v>
      </c>
      <c r="I31" s="27" t="s">
        <v>894</v>
      </c>
      <c r="J31" s="27" t="s">
        <v>279</v>
      </c>
      <c r="K31" s="27" t="s">
        <v>279</v>
      </c>
      <c r="L31" s="27" t="s">
        <v>895</v>
      </c>
      <c r="M31" s="27" t="s">
        <v>279</v>
      </c>
      <c r="N31" s="27" t="s">
        <v>895</v>
      </c>
      <c r="O31" s="27" t="s">
        <v>290</v>
      </c>
      <c r="P31" s="27" t="s">
        <v>896</v>
      </c>
      <c r="Q31" s="27" t="s">
        <v>897</v>
      </c>
      <c r="R31" s="1">
        <v>28473</v>
      </c>
      <c r="S31" s="27" t="s">
        <v>931</v>
      </c>
      <c r="T31" s="27" t="s">
        <v>915</v>
      </c>
      <c r="U31" s="1">
        <v>11</v>
      </c>
      <c r="V31" s="27" t="s">
        <v>913</v>
      </c>
      <c r="W31" s="1">
        <v>1</v>
      </c>
      <c r="X31" s="28">
        <v>3</v>
      </c>
      <c r="Y31" s="29">
        <v>0.3</v>
      </c>
      <c r="Z31" s="29">
        <v>0.7</v>
      </c>
      <c r="AA31" s="26"/>
      <c r="AB31" s="26"/>
      <c r="AC31" s="27" t="s">
        <v>901</v>
      </c>
      <c r="AD31" t="s">
        <v>553</v>
      </c>
      <c r="AE31">
        <v>1</v>
      </c>
      <c r="AF31" t="s">
        <v>279</v>
      </c>
      <c r="AG31" t="s">
        <v>902</v>
      </c>
      <c r="AH31" t="s">
        <v>903</v>
      </c>
      <c r="AJ31" s="15"/>
      <c r="AK31" t="s">
        <v>904</v>
      </c>
    </row>
    <row r="32" spans="1:37" ht="15" hidden="1" customHeight="1" x14ac:dyDescent="0.25">
      <c r="A32" s="1">
        <v>31</v>
      </c>
      <c r="B32" s="21">
        <v>23264</v>
      </c>
      <c r="C32" s="22"/>
      <c r="D32" s="21">
        <v>600</v>
      </c>
      <c r="E32" s="21">
        <v>60001</v>
      </c>
      <c r="F32" s="21">
        <v>60001</v>
      </c>
      <c r="G32" s="23" t="s">
        <v>479</v>
      </c>
      <c r="H32" s="23" t="s">
        <v>478</v>
      </c>
      <c r="I32" s="23" t="s">
        <v>894</v>
      </c>
      <c r="J32" s="23" t="s">
        <v>279</v>
      </c>
      <c r="K32" s="23" t="s">
        <v>279</v>
      </c>
      <c r="L32" s="23" t="s">
        <v>922</v>
      </c>
      <c r="M32" s="23" t="s">
        <v>279</v>
      </c>
      <c r="N32" s="23" t="s">
        <v>922</v>
      </c>
      <c r="O32" s="23" t="s">
        <v>474</v>
      </c>
      <c r="P32" s="23" t="s">
        <v>909</v>
      </c>
      <c r="Q32" s="23" t="s">
        <v>897</v>
      </c>
      <c r="R32" s="21">
        <v>28945</v>
      </c>
      <c r="S32" s="23" t="s">
        <v>478</v>
      </c>
      <c r="T32" s="23" t="s">
        <v>932</v>
      </c>
      <c r="U32" s="21">
        <v>28</v>
      </c>
      <c r="V32" s="27" t="s">
        <v>907</v>
      </c>
      <c r="W32" s="21">
        <v>25</v>
      </c>
      <c r="X32" s="24">
        <v>6</v>
      </c>
      <c r="Y32" s="25">
        <v>0.3</v>
      </c>
      <c r="Z32" s="25">
        <v>0.7</v>
      </c>
      <c r="AA32" s="22"/>
      <c r="AB32" s="22"/>
      <c r="AC32" s="23" t="s">
        <v>901</v>
      </c>
      <c r="AD32" s="17" t="s">
        <v>480</v>
      </c>
      <c r="AE32" s="17">
        <v>1</v>
      </c>
      <c r="AF32" s="17" t="s">
        <v>279</v>
      </c>
      <c r="AG32" s="17"/>
      <c r="AH32" t="s">
        <v>903</v>
      </c>
      <c r="AJ32" s="15"/>
      <c r="AK32" t="s">
        <v>904</v>
      </c>
    </row>
    <row r="33" spans="1:37" ht="15" hidden="1" customHeight="1" x14ac:dyDescent="0.25">
      <c r="A33" s="1">
        <v>32</v>
      </c>
      <c r="B33" s="1">
        <v>23274</v>
      </c>
      <c r="C33" s="26"/>
      <c r="D33" s="1">
        <v>581</v>
      </c>
      <c r="E33" s="1">
        <v>58101</v>
      </c>
      <c r="F33" s="1">
        <v>58101</v>
      </c>
      <c r="G33" s="27" t="s">
        <v>476</v>
      </c>
      <c r="H33" s="27" t="s">
        <v>475</v>
      </c>
      <c r="I33" s="27" t="s">
        <v>894</v>
      </c>
      <c r="J33" s="27" t="s">
        <v>279</v>
      </c>
      <c r="K33" s="27" t="s">
        <v>279</v>
      </c>
      <c r="L33" s="27" t="s">
        <v>922</v>
      </c>
      <c r="M33" s="27" t="s">
        <v>279</v>
      </c>
      <c r="N33" s="27" t="s">
        <v>922</v>
      </c>
      <c r="O33" s="27" t="s">
        <v>474</v>
      </c>
      <c r="P33" s="27" t="s">
        <v>909</v>
      </c>
      <c r="Q33" s="27" t="s">
        <v>897</v>
      </c>
      <c r="R33" s="1">
        <v>28584</v>
      </c>
      <c r="S33" s="27" t="s">
        <v>933</v>
      </c>
      <c r="T33" s="27" t="s">
        <v>932</v>
      </c>
      <c r="U33" s="1">
        <v>28</v>
      </c>
      <c r="V33" s="27" t="s">
        <v>907</v>
      </c>
      <c r="W33" s="1">
        <v>25</v>
      </c>
      <c r="X33" s="28">
        <v>6</v>
      </c>
      <c r="Y33" s="29">
        <v>0.3</v>
      </c>
      <c r="Z33" s="29">
        <v>0.7</v>
      </c>
      <c r="AA33" s="26"/>
      <c r="AB33" s="26"/>
      <c r="AC33" s="27" t="s">
        <v>901</v>
      </c>
      <c r="AD33" t="s">
        <v>477</v>
      </c>
      <c r="AE33">
        <v>1</v>
      </c>
      <c r="AF33" t="s">
        <v>279</v>
      </c>
      <c r="AH33" t="s">
        <v>903</v>
      </c>
      <c r="AJ33" s="15"/>
      <c r="AK33" t="s">
        <v>904</v>
      </c>
    </row>
    <row r="34" spans="1:37" ht="15" hidden="1" customHeight="1" x14ac:dyDescent="0.25">
      <c r="A34" s="8">
        <v>33</v>
      </c>
      <c r="B34" s="21">
        <v>23383</v>
      </c>
      <c r="C34" s="22"/>
      <c r="D34" s="21">
        <v>580</v>
      </c>
      <c r="E34" s="21">
        <v>58001</v>
      </c>
      <c r="F34" s="21">
        <v>58001</v>
      </c>
      <c r="G34" s="23" t="s">
        <v>468</v>
      </c>
      <c r="H34" s="23" t="s">
        <v>61</v>
      </c>
      <c r="I34" s="23" t="s">
        <v>894</v>
      </c>
      <c r="J34" s="23" t="s">
        <v>279</v>
      </c>
      <c r="K34" s="23" t="s">
        <v>279</v>
      </c>
      <c r="L34" s="23" t="s">
        <v>922</v>
      </c>
      <c r="M34" s="23" t="s">
        <v>279</v>
      </c>
      <c r="N34" s="23" t="s">
        <v>922</v>
      </c>
      <c r="O34" s="23" t="s">
        <v>601</v>
      </c>
      <c r="P34" s="23" t="s">
        <v>896</v>
      </c>
      <c r="Q34" s="23" t="s">
        <v>897</v>
      </c>
      <c r="R34" s="21">
        <v>29044</v>
      </c>
      <c r="S34" s="23" t="s">
        <v>934</v>
      </c>
      <c r="T34" s="23" t="s">
        <v>929</v>
      </c>
      <c r="U34" s="21">
        <v>22</v>
      </c>
      <c r="V34" s="27" t="s">
        <v>907</v>
      </c>
      <c r="W34" s="21">
        <v>25</v>
      </c>
      <c r="X34" s="24">
        <v>4</v>
      </c>
      <c r="Y34" s="25">
        <v>0.3</v>
      </c>
      <c r="Z34" s="25">
        <v>0.7</v>
      </c>
      <c r="AA34" s="22"/>
      <c r="AB34" s="22"/>
      <c r="AC34" s="23" t="s">
        <v>901</v>
      </c>
      <c r="AD34" s="17" t="s">
        <v>640</v>
      </c>
      <c r="AE34" s="17">
        <v>1</v>
      </c>
      <c r="AF34" s="17" t="s">
        <v>279</v>
      </c>
      <c r="AG34" s="17"/>
      <c r="AH34" t="s">
        <v>903</v>
      </c>
      <c r="AJ34" s="15"/>
      <c r="AK34" t="s">
        <v>904</v>
      </c>
    </row>
    <row r="35" spans="1:37" ht="15" hidden="1" customHeight="1" x14ac:dyDescent="0.25">
      <c r="A35" s="1">
        <v>34</v>
      </c>
      <c r="B35" s="1">
        <v>23386</v>
      </c>
      <c r="C35" s="26"/>
      <c r="D35" s="1">
        <v>601</v>
      </c>
      <c r="E35" s="1">
        <v>60101</v>
      </c>
      <c r="F35" s="1">
        <v>60101</v>
      </c>
      <c r="G35" s="27" t="s">
        <v>468</v>
      </c>
      <c r="H35" s="27" t="s">
        <v>61</v>
      </c>
      <c r="I35" s="27" t="s">
        <v>894</v>
      </c>
      <c r="J35" s="27" t="s">
        <v>279</v>
      </c>
      <c r="K35" s="27" t="s">
        <v>279</v>
      </c>
      <c r="L35" s="27" t="s">
        <v>922</v>
      </c>
      <c r="M35" s="27" t="s">
        <v>279</v>
      </c>
      <c r="N35" s="27" t="s">
        <v>922</v>
      </c>
      <c r="O35" s="27" t="s">
        <v>601</v>
      </c>
      <c r="P35" s="27" t="s">
        <v>896</v>
      </c>
      <c r="Q35" s="27" t="s">
        <v>897</v>
      </c>
      <c r="R35" s="1">
        <v>29045</v>
      </c>
      <c r="S35" s="27" t="s">
        <v>935</v>
      </c>
      <c r="T35" s="27" t="s">
        <v>932</v>
      </c>
      <c r="U35" s="1">
        <v>28</v>
      </c>
      <c r="V35" s="27" t="s">
        <v>907</v>
      </c>
      <c r="W35" s="1">
        <v>25</v>
      </c>
      <c r="X35" s="28">
        <v>6</v>
      </c>
      <c r="Y35" s="29">
        <v>0.3</v>
      </c>
      <c r="Z35" s="29">
        <v>0.7</v>
      </c>
      <c r="AA35" s="26"/>
      <c r="AB35" s="26"/>
      <c r="AC35" s="27" t="s">
        <v>901</v>
      </c>
      <c r="AD35" t="s">
        <v>627</v>
      </c>
      <c r="AE35">
        <v>1</v>
      </c>
      <c r="AF35" t="s">
        <v>279</v>
      </c>
      <c r="AH35" t="s">
        <v>903</v>
      </c>
      <c r="AJ35" s="15"/>
      <c r="AK35" t="s">
        <v>904</v>
      </c>
    </row>
    <row r="36" spans="1:37" ht="15" hidden="1" customHeight="1" x14ac:dyDescent="0.25">
      <c r="A36" s="1">
        <v>35</v>
      </c>
      <c r="B36" s="21">
        <v>23832</v>
      </c>
      <c r="C36" s="22"/>
      <c r="D36" s="21">
        <v>246</v>
      </c>
      <c r="E36" s="21">
        <v>24602</v>
      </c>
      <c r="F36" s="21">
        <v>24602</v>
      </c>
      <c r="G36" s="23" t="s">
        <v>481</v>
      </c>
      <c r="H36" s="23" t="s">
        <v>61</v>
      </c>
      <c r="I36" s="23" t="s">
        <v>894</v>
      </c>
      <c r="J36" s="23" t="s">
        <v>279</v>
      </c>
      <c r="K36" s="23" t="s">
        <v>279</v>
      </c>
      <c r="L36" s="23" t="s">
        <v>895</v>
      </c>
      <c r="M36" s="23" t="s">
        <v>279</v>
      </c>
      <c r="N36" s="23" t="s">
        <v>895</v>
      </c>
      <c r="O36" s="23" t="s">
        <v>290</v>
      </c>
      <c r="P36" s="23" t="s">
        <v>896</v>
      </c>
      <c r="Q36" s="23" t="s">
        <v>897</v>
      </c>
      <c r="R36" s="21">
        <v>29453</v>
      </c>
      <c r="S36" s="23" t="s">
        <v>936</v>
      </c>
      <c r="T36" s="23" t="s">
        <v>915</v>
      </c>
      <c r="U36" s="21">
        <v>11</v>
      </c>
      <c r="V36" s="23" t="s">
        <v>913</v>
      </c>
      <c r="W36" s="21">
        <v>1</v>
      </c>
      <c r="X36" s="24">
        <v>3</v>
      </c>
      <c r="Y36" s="25">
        <v>0.3</v>
      </c>
      <c r="Z36" s="25">
        <v>0.7</v>
      </c>
      <c r="AA36" s="22"/>
      <c r="AB36" s="22"/>
      <c r="AC36" s="23" t="s">
        <v>901</v>
      </c>
      <c r="AD36" s="17" t="s">
        <v>543</v>
      </c>
      <c r="AE36" s="17">
        <v>1</v>
      </c>
      <c r="AF36" s="17" t="s">
        <v>279</v>
      </c>
      <c r="AG36" s="17" t="s">
        <v>902</v>
      </c>
      <c r="AH36" t="s">
        <v>903</v>
      </c>
      <c r="AJ36" s="15"/>
      <c r="AK36" t="s">
        <v>904</v>
      </c>
    </row>
    <row r="37" spans="1:37" ht="15" hidden="1" customHeight="1" x14ac:dyDescent="0.25">
      <c r="A37" s="8">
        <v>36</v>
      </c>
      <c r="B37" s="1">
        <v>23837</v>
      </c>
      <c r="C37" s="26"/>
      <c r="D37" s="1">
        <v>245</v>
      </c>
      <c r="E37" s="1">
        <v>24502</v>
      </c>
      <c r="F37" s="1">
        <v>24502</v>
      </c>
      <c r="G37" s="27" t="s">
        <v>481</v>
      </c>
      <c r="H37" s="27" t="s">
        <v>61</v>
      </c>
      <c r="I37" s="27" t="s">
        <v>894</v>
      </c>
      <c r="J37" s="27" t="s">
        <v>279</v>
      </c>
      <c r="K37" s="27" t="s">
        <v>279</v>
      </c>
      <c r="L37" s="27" t="s">
        <v>895</v>
      </c>
      <c r="M37" s="27" t="s">
        <v>279</v>
      </c>
      <c r="N37" s="27" t="s">
        <v>895</v>
      </c>
      <c r="O37" s="27" t="s">
        <v>290</v>
      </c>
      <c r="P37" s="27" t="s">
        <v>896</v>
      </c>
      <c r="Q37" s="27" t="s">
        <v>897</v>
      </c>
      <c r="R37" s="1">
        <v>29455</v>
      </c>
      <c r="S37" s="27" t="s">
        <v>937</v>
      </c>
      <c r="T37" s="27" t="s">
        <v>915</v>
      </c>
      <c r="U37" s="1">
        <v>11</v>
      </c>
      <c r="V37" s="27" t="s">
        <v>913</v>
      </c>
      <c r="W37" s="1">
        <v>1</v>
      </c>
      <c r="X37" s="28">
        <v>3</v>
      </c>
      <c r="Y37" s="29">
        <v>0.3</v>
      </c>
      <c r="Z37" s="29">
        <v>0.7</v>
      </c>
      <c r="AA37" s="26"/>
      <c r="AB37" s="26"/>
      <c r="AC37" s="27" t="s">
        <v>901</v>
      </c>
      <c r="AD37" t="s">
        <v>542</v>
      </c>
      <c r="AE37">
        <v>1</v>
      </c>
      <c r="AF37" t="s">
        <v>279</v>
      </c>
      <c r="AG37" t="s">
        <v>902</v>
      </c>
      <c r="AH37" t="s">
        <v>903</v>
      </c>
      <c r="AJ37" s="15"/>
      <c r="AK37" t="s">
        <v>904</v>
      </c>
    </row>
    <row r="38" spans="1:37" ht="15" hidden="1" customHeight="1" x14ac:dyDescent="0.25">
      <c r="A38" s="1">
        <v>37</v>
      </c>
      <c r="B38" s="21">
        <v>23841</v>
      </c>
      <c r="C38" s="22"/>
      <c r="D38" s="21">
        <v>344</v>
      </c>
      <c r="E38" s="21">
        <v>34402</v>
      </c>
      <c r="F38" s="21">
        <v>34402</v>
      </c>
      <c r="G38" s="23" t="s">
        <v>481</v>
      </c>
      <c r="H38" s="23" t="s">
        <v>61</v>
      </c>
      <c r="I38" s="23" t="s">
        <v>894</v>
      </c>
      <c r="J38" s="23" t="s">
        <v>279</v>
      </c>
      <c r="K38" s="23" t="s">
        <v>279</v>
      </c>
      <c r="L38" s="23" t="s">
        <v>895</v>
      </c>
      <c r="M38" s="23" t="s">
        <v>279</v>
      </c>
      <c r="N38" s="23" t="s">
        <v>895</v>
      </c>
      <c r="O38" s="23" t="s">
        <v>290</v>
      </c>
      <c r="P38" s="23" t="s">
        <v>896</v>
      </c>
      <c r="Q38" s="23" t="s">
        <v>897</v>
      </c>
      <c r="R38" s="21">
        <v>29457</v>
      </c>
      <c r="S38" s="23" t="s">
        <v>938</v>
      </c>
      <c r="T38" s="23" t="s">
        <v>915</v>
      </c>
      <c r="U38" s="21">
        <v>11</v>
      </c>
      <c r="V38" s="23" t="s">
        <v>913</v>
      </c>
      <c r="W38" s="21">
        <v>1</v>
      </c>
      <c r="X38" s="24">
        <v>3</v>
      </c>
      <c r="Y38" s="25">
        <v>0.3</v>
      </c>
      <c r="Z38" s="25">
        <v>0.7</v>
      </c>
      <c r="AA38" s="22"/>
      <c r="AB38" s="22"/>
      <c r="AC38" s="23" t="s">
        <v>901</v>
      </c>
      <c r="AD38" s="17" t="s">
        <v>546</v>
      </c>
      <c r="AE38" s="17">
        <v>1</v>
      </c>
      <c r="AF38" s="17" t="s">
        <v>279</v>
      </c>
      <c r="AG38" s="17" t="s">
        <v>902</v>
      </c>
      <c r="AH38" t="s">
        <v>903</v>
      </c>
      <c r="AJ38" s="15"/>
      <c r="AK38" t="s">
        <v>904</v>
      </c>
    </row>
    <row r="39" spans="1:37" ht="15" hidden="1" customHeight="1" x14ac:dyDescent="0.25">
      <c r="A39" s="1">
        <v>38</v>
      </c>
      <c r="B39" s="1">
        <v>23845</v>
      </c>
      <c r="C39" s="26"/>
      <c r="D39" s="1">
        <v>249</v>
      </c>
      <c r="E39" s="1">
        <v>24902</v>
      </c>
      <c r="F39" s="1">
        <v>24902</v>
      </c>
      <c r="G39" s="27" t="s">
        <v>481</v>
      </c>
      <c r="H39" s="27" t="s">
        <v>61</v>
      </c>
      <c r="I39" s="27" t="s">
        <v>894</v>
      </c>
      <c r="J39" s="27" t="s">
        <v>279</v>
      </c>
      <c r="K39" s="27" t="s">
        <v>279</v>
      </c>
      <c r="L39" s="27" t="s">
        <v>895</v>
      </c>
      <c r="M39" s="27" t="s">
        <v>279</v>
      </c>
      <c r="N39" s="27" t="s">
        <v>895</v>
      </c>
      <c r="O39" s="27" t="s">
        <v>290</v>
      </c>
      <c r="P39" s="27" t="s">
        <v>896</v>
      </c>
      <c r="Q39" s="27" t="s">
        <v>897</v>
      </c>
      <c r="R39" s="1">
        <v>29459</v>
      </c>
      <c r="S39" s="27" t="s">
        <v>939</v>
      </c>
      <c r="T39" s="27" t="s">
        <v>915</v>
      </c>
      <c r="U39" s="1">
        <v>11</v>
      </c>
      <c r="V39" s="27" t="s">
        <v>913</v>
      </c>
      <c r="W39" s="1">
        <v>1</v>
      </c>
      <c r="X39" s="28">
        <v>3</v>
      </c>
      <c r="Y39" s="29">
        <v>0.3</v>
      </c>
      <c r="Z39" s="29">
        <v>0.7</v>
      </c>
      <c r="AA39" s="26"/>
      <c r="AB39" s="26"/>
      <c r="AC39" s="27" t="s">
        <v>901</v>
      </c>
      <c r="AD39" t="s">
        <v>547</v>
      </c>
      <c r="AE39">
        <v>1</v>
      </c>
      <c r="AF39" t="s">
        <v>279</v>
      </c>
      <c r="AG39" t="s">
        <v>902</v>
      </c>
      <c r="AH39" t="s">
        <v>903</v>
      </c>
      <c r="AJ39" s="15"/>
      <c r="AK39" t="s">
        <v>904</v>
      </c>
    </row>
    <row r="40" spans="1:37" ht="15" hidden="1" customHeight="1" x14ac:dyDescent="0.25">
      <c r="A40" s="8">
        <v>39</v>
      </c>
      <c r="B40" s="21">
        <v>23849</v>
      </c>
      <c r="C40" s="22"/>
      <c r="D40" s="21">
        <v>250</v>
      </c>
      <c r="E40" s="21">
        <v>25002</v>
      </c>
      <c r="F40" s="21">
        <v>25002</v>
      </c>
      <c r="G40" s="23" t="s">
        <v>481</v>
      </c>
      <c r="H40" s="23" t="s">
        <v>61</v>
      </c>
      <c r="I40" s="23" t="s">
        <v>894</v>
      </c>
      <c r="J40" s="23" t="s">
        <v>279</v>
      </c>
      <c r="K40" s="23" t="s">
        <v>279</v>
      </c>
      <c r="L40" s="23" t="s">
        <v>895</v>
      </c>
      <c r="M40" s="23" t="s">
        <v>279</v>
      </c>
      <c r="N40" s="23" t="s">
        <v>895</v>
      </c>
      <c r="O40" s="23" t="s">
        <v>290</v>
      </c>
      <c r="P40" s="23" t="s">
        <v>896</v>
      </c>
      <c r="Q40" s="23" t="s">
        <v>897</v>
      </c>
      <c r="R40" s="21">
        <v>29461</v>
      </c>
      <c r="S40" s="23" t="s">
        <v>940</v>
      </c>
      <c r="T40" s="23" t="s">
        <v>915</v>
      </c>
      <c r="U40" s="21">
        <v>11</v>
      </c>
      <c r="V40" s="23" t="s">
        <v>913</v>
      </c>
      <c r="W40" s="21">
        <v>1</v>
      </c>
      <c r="X40" s="24">
        <v>3</v>
      </c>
      <c r="Y40" s="25">
        <v>0.3</v>
      </c>
      <c r="Z40" s="25">
        <v>0.7</v>
      </c>
      <c r="AA40" s="22"/>
      <c r="AB40" s="22"/>
      <c r="AC40" s="23" t="s">
        <v>901</v>
      </c>
      <c r="AD40" s="17" t="s">
        <v>549</v>
      </c>
      <c r="AE40" s="17">
        <v>1</v>
      </c>
      <c r="AF40" s="17" t="s">
        <v>279</v>
      </c>
      <c r="AG40" s="17" t="s">
        <v>902</v>
      </c>
      <c r="AH40" t="s">
        <v>903</v>
      </c>
      <c r="AJ40" s="15"/>
      <c r="AK40" t="s">
        <v>904</v>
      </c>
    </row>
    <row r="41" spans="1:37" ht="15" hidden="1" customHeight="1" x14ac:dyDescent="0.25">
      <c r="A41" s="1">
        <v>40</v>
      </c>
      <c r="B41" s="1">
        <v>23853</v>
      </c>
      <c r="C41" s="26"/>
      <c r="D41" s="1">
        <v>244</v>
      </c>
      <c r="E41" s="1">
        <v>24402</v>
      </c>
      <c r="F41" s="1">
        <v>24402</v>
      </c>
      <c r="G41" s="27" t="s">
        <v>481</v>
      </c>
      <c r="H41" s="27" t="s">
        <v>61</v>
      </c>
      <c r="I41" s="27" t="s">
        <v>894</v>
      </c>
      <c r="J41" s="27" t="s">
        <v>279</v>
      </c>
      <c r="K41" s="27" t="s">
        <v>279</v>
      </c>
      <c r="L41" s="27" t="s">
        <v>895</v>
      </c>
      <c r="M41" s="27" t="s">
        <v>279</v>
      </c>
      <c r="N41" s="27" t="s">
        <v>895</v>
      </c>
      <c r="O41" s="27" t="s">
        <v>290</v>
      </c>
      <c r="P41" s="27" t="s">
        <v>896</v>
      </c>
      <c r="Q41" s="27" t="s">
        <v>897</v>
      </c>
      <c r="R41" s="1">
        <v>29463</v>
      </c>
      <c r="S41" s="27" t="s">
        <v>941</v>
      </c>
      <c r="T41" s="27" t="s">
        <v>915</v>
      </c>
      <c r="U41" s="1">
        <v>11</v>
      </c>
      <c r="V41" s="27" t="s">
        <v>913</v>
      </c>
      <c r="W41" s="1">
        <v>1</v>
      </c>
      <c r="X41" s="28">
        <v>3</v>
      </c>
      <c r="Y41" s="29">
        <v>0.3</v>
      </c>
      <c r="Z41" s="29">
        <v>0.7</v>
      </c>
      <c r="AA41" s="26"/>
      <c r="AB41" s="26"/>
      <c r="AC41" s="27" t="s">
        <v>901</v>
      </c>
      <c r="AD41" t="s">
        <v>541</v>
      </c>
      <c r="AE41">
        <v>1</v>
      </c>
      <c r="AF41" t="s">
        <v>279</v>
      </c>
      <c r="AG41" t="s">
        <v>902</v>
      </c>
      <c r="AH41" t="s">
        <v>903</v>
      </c>
      <c r="AJ41" s="15"/>
      <c r="AK41" t="s">
        <v>904</v>
      </c>
    </row>
    <row r="42" spans="1:37" ht="15" hidden="1" customHeight="1" x14ac:dyDescent="0.25">
      <c r="A42" s="1">
        <v>41</v>
      </c>
      <c r="B42" s="21">
        <v>23923</v>
      </c>
      <c r="C42" s="22"/>
      <c r="D42" s="21">
        <v>271</v>
      </c>
      <c r="E42" s="21">
        <v>27102</v>
      </c>
      <c r="F42" s="21">
        <v>27102</v>
      </c>
      <c r="G42" s="23" t="s">
        <v>500</v>
      </c>
      <c r="H42" s="23" t="s">
        <v>61</v>
      </c>
      <c r="I42" s="23" t="s">
        <v>894</v>
      </c>
      <c r="J42" s="23" t="s">
        <v>279</v>
      </c>
      <c r="K42" s="23" t="s">
        <v>279</v>
      </c>
      <c r="L42" s="23" t="s">
        <v>895</v>
      </c>
      <c r="M42" s="23" t="s">
        <v>279</v>
      </c>
      <c r="N42" s="23" t="s">
        <v>895</v>
      </c>
      <c r="O42" s="23" t="s">
        <v>325</v>
      </c>
      <c r="P42" s="23" t="s">
        <v>896</v>
      </c>
      <c r="Q42" s="23" t="s">
        <v>897</v>
      </c>
      <c r="R42" s="21">
        <v>29499</v>
      </c>
      <c r="S42" s="23" t="s">
        <v>942</v>
      </c>
      <c r="T42" s="23" t="s">
        <v>943</v>
      </c>
      <c r="U42" s="21">
        <v>9</v>
      </c>
      <c r="V42" s="23" t="s">
        <v>913</v>
      </c>
      <c r="W42" s="21">
        <v>1</v>
      </c>
      <c r="X42" s="24">
        <v>2</v>
      </c>
      <c r="Y42" s="25">
        <v>0.3</v>
      </c>
      <c r="Z42" s="25">
        <v>0.7</v>
      </c>
      <c r="AA42" s="22"/>
      <c r="AB42" s="22"/>
      <c r="AC42" s="23" t="s">
        <v>901</v>
      </c>
      <c r="AD42" s="17" t="s">
        <v>501</v>
      </c>
      <c r="AE42" s="17">
        <v>1</v>
      </c>
      <c r="AF42" s="17" t="s">
        <v>279</v>
      </c>
      <c r="AG42" s="17" t="s">
        <v>902</v>
      </c>
      <c r="AH42" t="s">
        <v>903</v>
      </c>
      <c r="AJ42" s="15"/>
      <c r="AK42" t="s">
        <v>904</v>
      </c>
    </row>
    <row r="43" spans="1:37" ht="15" hidden="1" customHeight="1" x14ac:dyDescent="0.25">
      <c r="A43" s="8">
        <v>42</v>
      </c>
      <c r="B43" s="1">
        <v>23925</v>
      </c>
      <c r="C43" s="26"/>
      <c r="D43" s="1">
        <v>271</v>
      </c>
      <c r="E43" s="1">
        <v>27103</v>
      </c>
      <c r="F43" s="1">
        <v>27103</v>
      </c>
      <c r="G43" s="27" t="s">
        <v>481</v>
      </c>
      <c r="H43" s="27" t="s">
        <v>61</v>
      </c>
      <c r="I43" s="27" t="s">
        <v>894</v>
      </c>
      <c r="J43" s="27" t="s">
        <v>279</v>
      </c>
      <c r="K43" s="27" t="s">
        <v>279</v>
      </c>
      <c r="L43" s="27" t="s">
        <v>895</v>
      </c>
      <c r="M43" s="27" t="s">
        <v>279</v>
      </c>
      <c r="N43" s="27" t="s">
        <v>901</v>
      </c>
      <c r="O43" s="27" t="s">
        <v>325</v>
      </c>
      <c r="P43" s="27" t="s">
        <v>896</v>
      </c>
      <c r="Q43" s="27" t="s">
        <v>897</v>
      </c>
      <c r="R43" s="1">
        <v>29500</v>
      </c>
      <c r="S43" s="27" t="s">
        <v>942</v>
      </c>
      <c r="T43" s="27" t="s">
        <v>915</v>
      </c>
      <c r="U43" s="1">
        <v>11</v>
      </c>
      <c r="V43" s="27" t="s">
        <v>913</v>
      </c>
      <c r="W43" s="1">
        <v>1</v>
      </c>
      <c r="X43" s="28">
        <v>3</v>
      </c>
      <c r="Y43" s="29">
        <v>0.3</v>
      </c>
      <c r="Z43" s="29">
        <v>0.7</v>
      </c>
      <c r="AA43" s="26"/>
      <c r="AB43" s="26"/>
      <c r="AC43" s="27" t="s">
        <v>901</v>
      </c>
      <c r="AD43" t="s">
        <v>501</v>
      </c>
      <c r="AE43">
        <v>1</v>
      </c>
      <c r="AF43" t="s">
        <v>279</v>
      </c>
      <c r="AG43" t="s">
        <v>902</v>
      </c>
      <c r="AH43" t="s">
        <v>903</v>
      </c>
      <c r="AJ43" s="15"/>
      <c r="AK43" t="s">
        <v>904</v>
      </c>
    </row>
    <row r="44" spans="1:37" ht="15" hidden="1" customHeight="1" x14ac:dyDescent="0.25">
      <c r="A44" s="1">
        <v>43</v>
      </c>
      <c r="B44" s="21">
        <v>23927</v>
      </c>
      <c r="C44" s="22"/>
      <c r="D44" s="21">
        <v>275</v>
      </c>
      <c r="E44" s="21">
        <v>27502</v>
      </c>
      <c r="F44" s="21">
        <v>27502</v>
      </c>
      <c r="G44" s="23" t="s">
        <v>516</v>
      </c>
      <c r="H44" s="23" t="s">
        <v>61</v>
      </c>
      <c r="I44" s="23" t="s">
        <v>894</v>
      </c>
      <c r="J44" s="23" t="s">
        <v>279</v>
      </c>
      <c r="K44" s="23" t="s">
        <v>279</v>
      </c>
      <c r="L44" s="23" t="s">
        <v>895</v>
      </c>
      <c r="M44" s="23" t="s">
        <v>279</v>
      </c>
      <c r="N44" s="23" t="s">
        <v>895</v>
      </c>
      <c r="O44" s="23" t="s">
        <v>325</v>
      </c>
      <c r="P44" s="23" t="s">
        <v>896</v>
      </c>
      <c r="Q44" s="23" t="s">
        <v>897</v>
      </c>
      <c r="R44" s="21">
        <v>29501</v>
      </c>
      <c r="S44" s="23" t="s">
        <v>944</v>
      </c>
      <c r="T44" s="23" t="s">
        <v>943</v>
      </c>
      <c r="U44" s="21">
        <v>9</v>
      </c>
      <c r="V44" s="23" t="s">
        <v>913</v>
      </c>
      <c r="W44" s="21">
        <v>1</v>
      </c>
      <c r="X44" s="24">
        <v>2</v>
      </c>
      <c r="Y44" s="25">
        <v>0.3</v>
      </c>
      <c r="Z44" s="25">
        <v>0.7</v>
      </c>
      <c r="AA44" s="22"/>
      <c r="AB44" s="22"/>
      <c r="AC44" s="23" t="s">
        <v>901</v>
      </c>
      <c r="AD44" s="17" t="s">
        <v>505</v>
      </c>
      <c r="AE44" s="17">
        <v>1</v>
      </c>
      <c r="AF44" s="17" t="s">
        <v>279</v>
      </c>
      <c r="AG44" s="17" t="s">
        <v>902</v>
      </c>
      <c r="AH44" t="s">
        <v>903</v>
      </c>
      <c r="AJ44" s="15"/>
      <c r="AK44" t="s">
        <v>904</v>
      </c>
    </row>
    <row r="45" spans="1:37" ht="15" hidden="1" customHeight="1" x14ac:dyDescent="0.25">
      <c r="A45" s="1">
        <v>44</v>
      </c>
      <c r="B45" s="1">
        <v>23929</v>
      </c>
      <c r="C45" s="26"/>
      <c r="D45" s="1">
        <v>275</v>
      </c>
      <c r="E45" s="1">
        <v>27503</v>
      </c>
      <c r="F45" s="1">
        <v>27503</v>
      </c>
      <c r="G45" s="27" t="s">
        <v>481</v>
      </c>
      <c r="H45" s="27" t="s">
        <v>61</v>
      </c>
      <c r="I45" s="27" t="s">
        <v>894</v>
      </c>
      <c r="J45" s="27" t="s">
        <v>279</v>
      </c>
      <c r="K45" s="27" t="s">
        <v>279</v>
      </c>
      <c r="L45" s="27" t="s">
        <v>895</v>
      </c>
      <c r="M45" s="27" t="s">
        <v>279</v>
      </c>
      <c r="N45" s="27" t="s">
        <v>895</v>
      </c>
      <c r="O45" s="27" t="s">
        <v>325</v>
      </c>
      <c r="P45" s="27" t="s">
        <v>896</v>
      </c>
      <c r="Q45" s="27" t="s">
        <v>897</v>
      </c>
      <c r="R45" s="1">
        <v>29502</v>
      </c>
      <c r="S45" s="27" t="s">
        <v>944</v>
      </c>
      <c r="T45" s="27" t="s">
        <v>915</v>
      </c>
      <c r="U45" s="1">
        <v>11</v>
      </c>
      <c r="V45" s="27" t="s">
        <v>913</v>
      </c>
      <c r="W45" s="1">
        <v>1</v>
      </c>
      <c r="X45" s="28">
        <v>3</v>
      </c>
      <c r="Y45" s="29">
        <v>0.3</v>
      </c>
      <c r="Z45" s="29">
        <v>0.7</v>
      </c>
      <c r="AA45" s="26"/>
      <c r="AB45" s="26"/>
      <c r="AC45" s="27" t="s">
        <v>901</v>
      </c>
      <c r="AD45" t="s">
        <v>505</v>
      </c>
      <c r="AE45">
        <v>1</v>
      </c>
      <c r="AF45" t="s">
        <v>279</v>
      </c>
      <c r="AG45" t="s">
        <v>902</v>
      </c>
      <c r="AH45" t="s">
        <v>903</v>
      </c>
      <c r="AJ45" s="15"/>
      <c r="AK45" t="s">
        <v>904</v>
      </c>
    </row>
    <row r="46" spans="1:37" ht="15" hidden="1" customHeight="1" x14ac:dyDescent="0.25">
      <c r="A46" s="8">
        <v>45</v>
      </c>
      <c r="B46" s="21">
        <v>23931</v>
      </c>
      <c r="C46" s="22"/>
      <c r="D46" s="21">
        <v>279</v>
      </c>
      <c r="E46" s="21">
        <v>27903</v>
      </c>
      <c r="F46" s="21">
        <v>27903</v>
      </c>
      <c r="G46" s="23" t="s">
        <v>517</v>
      </c>
      <c r="H46" s="23" t="s">
        <v>61</v>
      </c>
      <c r="I46" s="23" t="s">
        <v>894</v>
      </c>
      <c r="J46" s="23" t="s">
        <v>279</v>
      </c>
      <c r="K46" s="23" t="s">
        <v>279</v>
      </c>
      <c r="L46" s="23" t="s">
        <v>895</v>
      </c>
      <c r="M46" s="23" t="s">
        <v>279</v>
      </c>
      <c r="N46" s="23" t="s">
        <v>895</v>
      </c>
      <c r="O46" s="23" t="s">
        <v>325</v>
      </c>
      <c r="P46" s="23" t="s">
        <v>896</v>
      </c>
      <c r="Q46" s="23" t="s">
        <v>897</v>
      </c>
      <c r="R46" s="21">
        <v>29503</v>
      </c>
      <c r="S46" s="23" t="s">
        <v>945</v>
      </c>
      <c r="T46" s="23" t="s">
        <v>943</v>
      </c>
      <c r="U46" s="21">
        <v>9</v>
      </c>
      <c r="V46" s="23" t="s">
        <v>913</v>
      </c>
      <c r="W46" s="21">
        <v>1</v>
      </c>
      <c r="X46" s="24">
        <v>2</v>
      </c>
      <c r="Y46" s="25">
        <v>0.4</v>
      </c>
      <c r="Z46" s="25">
        <v>0.6</v>
      </c>
      <c r="AA46" s="22"/>
      <c r="AB46" s="22"/>
      <c r="AC46" s="23" t="s">
        <v>901</v>
      </c>
      <c r="AD46" s="17" t="s">
        <v>509</v>
      </c>
      <c r="AE46" s="17">
        <v>1</v>
      </c>
      <c r="AF46" s="17" t="s">
        <v>279</v>
      </c>
      <c r="AG46" s="17" t="s">
        <v>902</v>
      </c>
      <c r="AH46" t="s">
        <v>903</v>
      </c>
      <c r="AJ46" s="15"/>
      <c r="AK46" t="s">
        <v>904</v>
      </c>
    </row>
    <row r="47" spans="1:37" ht="15" hidden="1" customHeight="1" x14ac:dyDescent="0.25">
      <c r="A47" s="1">
        <v>46</v>
      </c>
      <c r="B47" s="1">
        <v>23933</v>
      </c>
      <c r="C47" s="26"/>
      <c r="D47" s="1">
        <v>279</v>
      </c>
      <c r="E47" s="1">
        <v>27902</v>
      </c>
      <c r="F47" s="1">
        <v>27902</v>
      </c>
      <c r="G47" s="27" t="s">
        <v>481</v>
      </c>
      <c r="H47" s="27" t="s">
        <v>61</v>
      </c>
      <c r="I47" s="27" t="s">
        <v>894</v>
      </c>
      <c r="J47" s="27" t="s">
        <v>279</v>
      </c>
      <c r="K47" s="27" t="s">
        <v>279</v>
      </c>
      <c r="L47" s="27" t="s">
        <v>895</v>
      </c>
      <c r="M47" s="27" t="s">
        <v>279</v>
      </c>
      <c r="N47" s="27" t="s">
        <v>895</v>
      </c>
      <c r="O47" s="27" t="s">
        <v>325</v>
      </c>
      <c r="P47" s="27" t="s">
        <v>896</v>
      </c>
      <c r="Q47" s="27" t="s">
        <v>897</v>
      </c>
      <c r="R47" s="1">
        <v>29504</v>
      </c>
      <c r="S47" s="27" t="s">
        <v>945</v>
      </c>
      <c r="T47" s="27" t="s">
        <v>915</v>
      </c>
      <c r="U47" s="1">
        <v>11</v>
      </c>
      <c r="V47" s="27" t="s">
        <v>913</v>
      </c>
      <c r="W47" s="1">
        <v>1</v>
      </c>
      <c r="X47" s="28">
        <v>3</v>
      </c>
      <c r="Y47" s="29">
        <v>0.3</v>
      </c>
      <c r="Z47" s="29">
        <v>0.7</v>
      </c>
      <c r="AA47" s="26"/>
      <c r="AB47" s="26"/>
      <c r="AC47" s="27" t="s">
        <v>901</v>
      </c>
      <c r="AD47" t="s">
        <v>509</v>
      </c>
      <c r="AE47">
        <v>1</v>
      </c>
      <c r="AF47" t="s">
        <v>279</v>
      </c>
      <c r="AG47" t="s">
        <v>902</v>
      </c>
      <c r="AH47" t="s">
        <v>903</v>
      </c>
      <c r="AJ47" s="15"/>
      <c r="AK47" t="s">
        <v>904</v>
      </c>
    </row>
    <row r="48" spans="1:37" ht="15" hidden="1" customHeight="1" x14ac:dyDescent="0.25">
      <c r="A48" s="1">
        <v>47</v>
      </c>
      <c r="B48" s="21">
        <v>23935</v>
      </c>
      <c r="C48" s="22"/>
      <c r="D48" s="21">
        <v>274</v>
      </c>
      <c r="E48" s="21">
        <v>27403</v>
      </c>
      <c r="F48" s="21">
        <v>27403</v>
      </c>
      <c r="G48" s="23" t="s">
        <v>514</v>
      </c>
      <c r="H48" s="23" t="s">
        <v>61</v>
      </c>
      <c r="I48" s="23" t="s">
        <v>894</v>
      </c>
      <c r="J48" s="23" t="s">
        <v>279</v>
      </c>
      <c r="K48" s="23" t="s">
        <v>279</v>
      </c>
      <c r="L48" s="23" t="s">
        <v>895</v>
      </c>
      <c r="M48" s="23" t="s">
        <v>279</v>
      </c>
      <c r="N48" s="23" t="s">
        <v>895</v>
      </c>
      <c r="O48" s="23" t="s">
        <v>325</v>
      </c>
      <c r="P48" s="23" t="s">
        <v>896</v>
      </c>
      <c r="Q48" s="23" t="s">
        <v>897</v>
      </c>
      <c r="R48" s="21">
        <v>29505</v>
      </c>
      <c r="S48" s="23" t="s">
        <v>946</v>
      </c>
      <c r="T48" s="23" t="s">
        <v>943</v>
      </c>
      <c r="U48" s="21">
        <v>9</v>
      </c>
      <c r="V48" s="23" t="s">
        <v>913</v>
      </c>
      <c r="W48" s="21">
        <v>1</v>
      </c>
      <c r="X48" s="24">
        <v>2</v>
      </c>
      <c r="Y48" s="25">
        <v>0.3</v>
      </c>
      <c r="Z48" s="25">
        <v>0.7</v>
      </c>
      <c r="AA48" s="22"/>
      <c r="AB48" s="22"/>
      <c r="AC48" s="23" t="s">
        <v>901</v>
      </c>
      <c r="AD48" s="17" t="s">
        <v>515</v>
      </c>
      <c r="AE48" s="17">
        <v>1</v>
      </c>
      <c r="AF48" s="17" t="s">
        <v>279</v>
      </c>
      <c r="AG48" s="17" t="s">
        <v>902</v>
      </c>
      <c r="AH48" t="s">
        <v>903</v>
      </c>
      <c r="AJ48" s="15"/>
      <c r="AK48" t="s">
        <v>904</v>
      </c>
    </row>
    <row r="49" spans="1:37" ht="15" hidden="1" customHeight="1" x14ac:dyDescent="0.25">
      <c r="A49" s="8">
        <v>48</v>
      </c>
      <c r="B49" s="1">
        <v>23937</v>
      </c>
      <c r="C49" s="26"/>
      <c r="D49" s="1">
        <v>274</v>
      </c>
      <c r="E49" s="1">
        <v>27402</v>
      </c>
      <c r="F49" s="1">
        <v>27402</v>
      </c>
      <c r="G49" s="27" t="s">
        <v>481</v>
      </c>
      <c r="H49" s="27" t="s">
        <v>61</v>
      </c>
      <c r="I49" s="27" t="s">
        <v>894</v>
      </c>
      <c r="J49" s="27" t="s">
        <v>279</v>
      </c>
      <c r="K49" s="27" t="s">
        <v>279</v>
      </c>
      <c r="L49" s="27" t="s">
        <v>895</v>
      </c>
      <c r="M49" s="27" t="s">
        <v>279</v>
      </c>
      <c r="N49" s="27" t="s">
        <v>895</v>
      </c>
      <c r="O49" s="27" t="s">
        <v>325</v>
      </c>
      <c r="P49" s="27" t="s">
        <v>896</v>
      </c>
      <c r="Q49" s="27" t="s">
        <v>897</v>
      </c>
      <c r="R49" s="1">
        <v>29506</v>
      </c>
      <c r="S49" s="27" t="s">
        <v>947</v>
      </c>
      <c r="T49" s="27" t="s">
        <v>915</v>
      </c>
      <c r="U49" s="1">
        <v>11</v>
      </c>
      <c r="V49" s="27" t="s">
        <v>913</v>
      </c>
      <c r="W49" s="1">
        <v>1</v>
      </c>
      <c r="X49" s="28">
        <v>3</v>
      </c>
      <c r="Y49" s="29">
        <v>0.3</v>
      </c>
      <c r="Z49" s="29">
        <v>0.7</v>
      </c>
      <c r="AA49" s="26"/>
      <c r="AB49" s="26"/>
      <c r="AC49" s="27" t="s">
        <v>901</v>
      </c>
      <c r="AD49" t="s">
        <v>510</v>
      </c>
      <c r="AE49">
        <v>1</v>
      </c>
      <c r="AF49" t="s">
        <v>279</v>
      </c>
      <c r="AG49" t="s">
        <v>902</v>
      </c>
      <c r="AH49" t="s">
        <v>903</v>
      </c>
      <c r="AJ49" s="15"/>
      <c r="AK49" t="s">
        <v>904</v>
      </c>
    </row>
    <row r="50" spans="1:37" ht="15" hidden="1" customHeight="1" x14ac:dyDescent="0.25">
      <c r="A50" s="1">
        <v>49</v>
      </c>
      <c r="B50" s="21">
        <v>23939</v>
      </c>
      <c r="C50" s="22"/>
      <c r="D50" s="21">
        <v>272</v>
      </c>
      <c r="E50" s="21">
        <v>27202</v>
      </c>
      <c r="F50" s="21">
        <v>27202</v>
      </c>
      <c r="G50" s="23" t="s">
        <v>522</v>
      </c>
      <c r="H50" s="23" t="s">
        <v>61</v>
      </c>
      <c r="I50" s="23" t="s">
        <v>894</v>
      </c>
      <c r="J50" s="23" t="s">
        <v>279</v>
      </c>
      <c r="K50" s="23" t="s">
        <v>279</v>
      </c>
      <c r="L50" s="23" t="s">
        <v>895</v>
      </c>
      <c r="M50" s="23" t="s">
        <v>279</v>
      </c>
      <c r="N50" s="23" t="s">
        <v>895</v>
      </c>
      <c r="O50" s="23" t="s">
        <v>325</v>
      </c>
      <c r="P50" s="23" t="s">
        <v>896</v>
      </c>
      <c r="Q50" s="23" t="s">
        <v>897</v>
      </c>
      <c r="R50" s="21">
        <v>29507</v>
      </c>
      <c r="S50" s="23" t="s">
        <v>948</v>
      </c>
      <c r="T50" s="23" t="s">
        <v>943</v>
      </c>
      <c r="U50" s="21">
        <v>9</v>
      </c>
      <c r="V50" s="23" t="s">
        <v>913</v>
      </c>
      <c r="W50" s="21">
        <v>1</v>
      </c>
      <c r="X50" s="24">
        <v>2</v>
      </c>
      <c r="Y50" s="25">
        <v>0.3</v>
      </c>
      <c r="Z50" s="25">
        <v>0.7</v>
      </c>
      <c r="AA50" s="22"/>
      <c r="AB50" s="22"/>
      <c r="AC50" s="23" t="s">
        <v>901</v>
      </c>
      <c r="AD50" s="17" t="s">
        <v>523</v>
      </c>
      <c r="AE50" s="17">
        <v>1</v>
      </c>
      <c r="AF50" s="17" t="s">
        <v>279</v>
      </c>
      <c r="AG50" s="17" t="s">
        <v>902</v>
      </c>
      <c r="AH50" t="s">
        <v>903</v>
      </c>
      <c r="AJ50" s="15"/>
      <c r="AK50" t="s">
        <v>904</v>
      </c>
    </row>
    <row r="51" spans="1:37" ht="15" hidden="1" customHeight="1" x14ac:dyDescent="0.25">
      <c r="A51" s="1">
        <v>50</v>
      </c>
      <c r="B51" s="1">
        <v>23941</v>
      </c>
      <c r="C51" s="26"/>
      <c r="D51" s="1">
        <v>272</v>
      </c>
      <c r="E51" s="1">
        <v>27203</v>
      </c>
      <c r="F51" s="1">
        <v>27203</v>
      </c>
      <c r="G51" s="27" t="s">
        <v>481</v>
      </c>
      <c r="H51" s="27" t="s">
        <v>61</v>
      </c>
      <c r="I51" s="27" t="s">
        <v>894</v>
      </c>
      <c r="J51" s="27" t="s">
        <v>279</v>
      </c>
      <c r="K51" s="27" t="s">
        <v>279</v>
      </c>
      <c r="L51" s="27" t="s">
        <v>895</v>
      </c>
      <c r="M51" s="27" t="s">
        <v>279</v>
      </c>
      <c r="N51" s="27" t="s">
        <v>895</v>
      </c>
      <c r="O51" s="27" t="s">
        <v>325</v>
      </c>
      <c r="P51" s="27" t="s">
        <v>896</v>
      </c>
      <c r="Q51" s="27" t="s">
        <v>897</v>
      </c>
      <c r="R51" s="1">
        <v>29508</v>
      </c>
      <c r="S51" s="27" t="s">
        <v>949</v>
      </c>
      <c r="T51" s="27" t="s">
        <v>915</v>
      </c>
      <c r="U51" s="1">
        <v>11</v>
      </c>
      <c r="V51" s="27" t="s">
        <v>913</v>
      </c>
      <c r="W51" s="1">
        <v>1</v>
      </c>
      <c r="X51" s="28">
        <v>3</v>
      </c>
      <c r="Y51" s="29">
        <v>0.3</v>
      </c>
      <c r="Z51" s="29">
        <v>0.7</v>
      </c>
      <c r="AA51" s="26"/>
      <c r="AB51" s="26"/>
      <c r="AC51" s="27" t="s">
        <v>901</v>
      </c>
      <c r="AD51" t="s">
        <v>503</v>
      </c>
      <c r="AE51">
        <v>1</v>
      </c>
      <c r="AF51" t="s">
        <v>279</v>
      </c>
      <c r="AG51" t="s">
        <v>902</v>
      </c>
      <c r="AH51" t="s">
        <v>903</v>
      </c>
      <c r="AJ51" s="15"/>
      <c r="AK51" t="s">
        <v>904</v>
      </c>
    </row>
    <row r="52" spans="1:37" ht="15" hidden="1" customHeight="1" x14ac:dyDescent="0.25">
      <c r="A52" s="8">
        <v>51</v>
      </c>
      <c r="B52" s="21">
        <v>24096</v>
      </c>
      <c r="C52" s="22"/>
      <c r="D52" s="21">
        <v>231</v>
      </c>
      <c r="E52" s="21">
        <v>89</v>
      </c>
      <c r="F52" s="21">
        <v>89</v>
      </c>
      <c r="G52" s="23" t="s">
        <v>468</v>
      </c>
      <c r="H52" s="23" t="s">
        <v>61</v>
      </c>
      <c r="I52" s="23" t="s">
        <v>894</v>
      </c>
      <c r="J52" s="23" t="s">
        <v>279</v>
      </c>
      <c r="K52" s="23" t="s">
        <v>279</v>
      </c>
      <c r="L52" s="23" t="s">
        <v>925</v>
      </c>
      <c r="M52" s="23" t="s">
        <v>279</v>
      </c>
      <c r="N52" s="23" t="s">
        <v>925</v>
      </c>
      <c r="O52" s="23" t="s">
        <v>122</v>
      </c>
      <c r="P52" s="23" t="s">
        <v>896</v>
      </c>
      <c r="Q52" s="23" t="s">
        <v>897</v>
      </c>
      <c r="R52" s="21">
        <v>29687</v>
      </c>
      <c r="S52" s="23" t="s">
        <v>950</v>
      </c>
      <c r="T52" s="23" t="s">
        <v>924</v>
      </c>
      <c r="U52" s="21">
        <v>12</v>
      </c>
      <c r="V52" s="27" t="s">
        <v>907</v>
      </c>
      <c r="W52" s="21">
        <v>25</v>
      </c>
      <c r="X52" s="24">
        <v>5</v>
      </c>
      <c r="Y52" s="25">
        <v>0.3</v>
      </c>
      <c r="Z52" s="25">
        <v>0.7</v>
      </c>
      <c r="AA52" s="22"/>
      <c r="AB52" s="22"/>
      <c r="AC52" s="23" t="s">
        <v>901</v>
      </c>
      <c r="AD52" s="17" t="s">
        <v>470</v>
      </c>
      <c r="AE52" s="17">
        <v>1</v>
      </c>
      <c r="AF52" s="17" t="s">
        <v>279</v>
      </c>
      <c r="AG52" s="17"/>
      <c r="AH52" t="s">
        <v>903</v>
      </c>
      <c r="AJ52" s="15"/>
      <c r="AK52" t="s">
        <v>908</v>
      </c>
    </row>
    <row r="53" spans="1:37" ht="15" hidden="1" customHeight="1" x14ac:dyDescent="0.25">
      <c r="A53" s="1">
        <v>52</v>
      </c>
      <c r="B53" s="1">
        <v>24300</v>
      </c>
      <c r="C53" s="26"/>
      <c r="D53" s="1">
        <v>583</v>
      </c>
      <c r="E53" s="1">
        <v>58301</v>
      </c>
      <c r="F53" s="1">
        <v>58301</v>
      </c>
      <c r="G53" s="27" t="s">
        <v>537</v>
      </c>
      <c r="H53" s="27" t="s">
        <v>536</v>
      </c>
      <c r="I53" s="27" t="s">
        <v>894</v>
      </c>
      <c r="J53" s="27" t="s">
        <v>279</v>
      </c>
      <c r="K53" s="27" t="s">
        <v>279</v>
      </c>
      <c r="L53" s="27" t="s">
        <v>922</v>
      </c>
      <c r="M53" s="27" t="s">
        <v>279</v>
      </c>
      <c r="N53" s="27" t="s">
        <v>922</v>
      </c>
      <c r="O53" s="27" t="s">
        <v>535</v>
      </c>
      <c r="P53" s="27" t="s">
        <v>896</v>
      </c>
      <c r="Q53" s="27" t="s">
        <v>897</v>
      </c>
      <c r="R53" s="1">
        <v>29810</v>
      </c>
      <c r="S53" s="27" t="s">
        <v>951</v>
      </c>
      <c r="T53" s="27" t="s">
        <v>952</v>
      </c>
      <c r="U53" s="1">
        <v>38</v>
      </c>
      <c r="V53" s="27" t="s">
        <v>907</v>
      </c>
      <c r="W53" s="1">
        <v>484</v>
      </c>
      <c r="X53" s="28">
        <v>20</v>
      </c>
      <c r="Y53" s="29">
        <v>0.3</v>
      </c>
      <c r="Z53" s="29">
        <v>0.7</v>
      </c>
      <c r="AA53" s="26"/>
      <c r="AB53" s="26"/>
      <c r="AC53" s="27" t="s">
        <v>901</v>
      </c>
      <c r="AD53" t="s">
        <v>538</v>
      </c>
      <c r="AE53">
        <v>1</v>
      </c>
      <c r="AF53" t="s">
        <v>279</v>
      </c>
      <c r="AG53" t="s">
        <v>902</v>
      </c>
      <c r="AH53" t="s">
        <v>903</v>
      </c>
      <c r="AJ53" s="15"/>
      <c r="AK53" t="s">
        <v>908</v>
      </c>
    </row>
    <row r="54" spans="1:37" ht="15" hidden="1" customHeight="1" x14ac:dyDescent="0.25">
      <c r="A54" s="1">
        <v>53</v>
      </c>
      <c r="B54" s="21">
        <v>24981</v>
      </c>
      <c r="C54" s="22"/>
      <c r="D54" s="21">
        <v>273</v>
      </c>
      <c r="E54" s="21">
        <v>27303</v>
      </c>
      <c r="F54" s="21">
        <v>27303</v>
      </c>
      <c r="G54" s="23" t="s">
        <v>481</v>
      </c>
      <c r="H54" s="23" t="s">
        <v>61</v>
      </c>
      <c r="I54" s="23" t="s">
        <v>894</v>
      </c>
      <c r="J54" s="23" t="s">
        <v>279</v>
      </c>
      <c r="K54" s="23" t="s">
        <v>279</v>
      </c>
      <c r="L54" s="23" t="s">
        <v>895</v>
      </c>
      <c r="M54" s="23" t="s">
        <v>279</v>
      </c>
      <c r="N54" s="23" t="s">
        <v>895</v>
      </c>
      <c r="O54" s="23" t="s">
        <v>325</v>
      </c>
      <c r="P54" s="23" t="s">
        <v>896</v>
      </c>
      <c r="Q54" s="23" t="s">
        <v>897</v>
      </c>
      <c r="R54" s="21">
        <v>30412</v>
      </c>
      <c r="S54" s="23" t="s">
        <v>953</v>
      </c>
      <c r="T54" s="23" t="s">
        <v>906</v>
      </c>
      <c r="U54" s="21">
        <v>9</v>
      </c>
      <c r="V54" s="23" t="s">
        <v>913</v>
      </c>
      <c r="W54" s="21">
        <v>1</v>
      </c>
      <c r="X54" s="24">
        <v>2</v>
      </c>
      <c r="Y54" s="25">
        <v>0.3</v>
      </c>
      <c r="Z54" s="25">
        <v>0.7</v>
      </c>
      <c r="AA54" s="22"/>
      <c r="AB54" s="22"/>
      <c r="AC54" s="23" t="s">
        <v>901</v>
      </c>
      <c r="AD54" s="17" t="s">
        <v>504</v>
      </c>
      <c r="AE54" s="17">
        <v>1</v>
      </c>
      <c r="AF54" s="17" t="s">
        <v>279</v>
      </c>
      <c r="AG54" s="17" t="s">
        <v>902</v>
      </c>
      <c r="AH54" t="s">
        <v>903</v>
      </c>
      <c r="AJ54" s="15"/>
      <c r="AK54" t="s">
        <v>904</v>
      </c>
    </row>
    <row r="55" spans="1:37" ht="15" hidden="1" customHeight="1" x14ac:dyDescent="0.25">
      <c r="A55" s="8">
        <v>54</v>
      </c>
      <c r="B55" s="1">
        <v>24983</v>
      </c>
      <c r="C55" s="26"/>
      <c r="D55" s="1">
        <v>273</v>
      </c>
      <c r="E55" s="1">
        <v>27302</v>
      </c>
      <c r="F55" s="1">
        <v>27302</v>
      </c>
      <c r="G55" s="27" t="s">
        <v>481</v>
      </c>
      <c r="H55" s="27" t="s">
        <v>61</v>
      </c>
      <c r="I55" s="27" t="s">
        <v>894</v>
      </c>
      <c r="J55" s="27" t="s">
        <v>279</v>
      </c>
      <c r="K55" s="27" t="s">
        <v>279</v>
      </c>
      <c r="L55" s="27" t="s">
        <v>895</v>
      </c>
      <c r="M55" s="27" t="s">
        <v>279</v>
      </c>
      <c r="N55" s="27" t="s">
        <v>895</v>
      </c>
      <c r="O55" s="27" t="s">
        <v>325</v>
      </c>
      <c r="P55" s="27" t="s">
        <v>896</v>
      </c>
      <c r="Q55" s="27" t="s">
        <v>897</v>
      </c>
      <c r="R55" s="1">
        <v>30413</v>
      </c>
      <c r="S55" s="27" t="s">
        <v>953</v>
      </c>
      <c r="T55" s="27" t="s">
        <v>915</v>
      </c>
      <c r="U55" s="1">
        <v>11</v>
      </c>
      <c r="V55" s="27" t="s">
        <v>913</v>
      </c>
      <c r="W55" s="1">
        <v>1</v>
      </c>
      <c r="X55" s="28">
        <v>3</v>
      </c>
      <c r="Y55" s="29">
        <v>0.3</v>
      </c>
      <c r="Z55" s="29">
        <v>0.7</v>
      </c>
      <c r="AA55" s="26"/>
      <c r="AB55" s="26"/>
      <c r="AC55" s="27" t="s">
        <v>901</v>
      </c>
      <c r="AD55" t="s">
        <v>504</v>
      </c>
      <c r="AE55">
        <v>1</v>
      </c>
      <c r="AF55" t="s">
        <v>279</v>
      </c>
      <c r="AG55" t="s">
        <v>902</v>
      </c>
      <c r="AH55" t="s">
        <v>903</v>
      </c>
      <c r="AJ55" s="15"/>
      <c r="AK55" t="s">
        <v>904</v>
      </c>
    </row>
    <row r="56" spans="1:37" ht="15" hidden="1" customHeight="1" x14ac:dyDescent="0.25">
      <c r="A56" s="1">
        <v>55</v>
      </c>
      <c r="B56" s="21">
        <v>24985</v>
      </c>
      <c r="C56" s="22"/>
      <c r="D56" s="21">
        <v>278</v>
      </c>
      <c r="E56" s="21">
        <v>27803</v>
      </c>
      <c r="F56" s="21">
        <v>27803</v>
      </c>
      <c r="G56" s="23" t="s">
        <v>481</v>
      </c>
      <c r="H56" s="23" t="s">
        <v>61</v>
      </c>
      <c r="I56" s="23" t="s">
        <v>894</v>
      </c>
      <c r="J56" s="23" t="s">
        <v>279</v>
      </c>
      <c r="K56" s="23" t="s">
        <v>279</v>
      </c>
      <c r="L56" s="23" t="s">
        <v>895</v>
      </c>
      <c r="M56" s="23" t="s">
        <v>279</v>
      </c>
      <c r="N56" s="23" t="s">
        <v>895</v>
      </c>
      <c r="O56" s="23" t="s">
        <v>325</v>
      </c>
      <c r="P56" s="23" t="s">
        <v>896</v>
      </c>
      <c r="Q56" s="23" t="s">
        <v>897</v>
      </c>
      <c r="R56" s="21">
        <v>30414</v>
      </c>
      <c r="S56" s="23" t="s">
        <v>954</v>
      </c>
      <c r="T56" s="23" t="s">
        <v>906</v>
      </c>
      <c r="U56" s="21">
        <v>9</v>
      </c>
      <c r="V56" s="23" t="s">
        <v>913</v>
      </c>
      <c r="W56" s="21">
        <v>1</v>
      </c>
      <c r="X56" s="24">
        <v>2</v>
      </c>
      <c r="Y56" s="25">
        <v>0.3</v>
      </c>
      <c r="Z56" s="25">
        <v>0.7</v>
      </c>
      <c r="AA56" s="22"/>
      <c r="AB56" s="22"/>
      <c r="AC56" s="23" t="s">
        <v>901</v>
      </c>
      <c r="AD56" s="17" t="s">
        <v>508</v>
      </c>
      <c r="AE56" s="17">
        <v>1</v>
      </c>
      <c r="AF56" s="17" t="s">
        <v>279</v>
      </c>
      <c r="AG56" s="17" t="s">
        <v>902</v>
      </c>
      <c r="AH56" t="s">
        <v>903</v>
      </c>
      <c r="AJ56" s="15"/>
      <c r="AK56" t="s">
        <v>904</v>
      </c>
    </row>
    <row r="57" spans="1:37" ht="15" hidden="1" customHeight="1" x14ac:dyDescent="0.25">
      <c r="A57" s="1">
        <v>56</v>
      </c>
      <c r="B57" s="1">
        <v>24987</v>
      </c>
      <c r="C57" s="26"/>
      <c r="D57" s="1">
        <v>278</v>
      </c>
      <c r="E57" s="1">
        <v>27802</v>
      </c>
      <c r="F57" s="1">
        <v>27802</v>
      </c>
      <c r="G57" s="27" t="s">
        <v>481</v>
      </c>
      <c r="H57" s="27" t="s">
        <v>61</v>
      </c>
      <c r="I57" s="27" t="s">
        <v>894</v>
      </c>
      <c r="J57" s="27" t="s">
        <v>279</v>
      </c>
      <c r="K57" s="27" t="s">
        <v>279</v>
      </c>
      <c r="L57" s="27" t="s">
        <v>895</v>
      </c>
      <c r="M57" s="27" t="s">
        <v>279</v>
      </c>
      <c r="N57" s="27" t="s">
        <v>895</v>
      </c>
      <c r="O57" s="27" t="s">
        <v>325</v>
      </c>
      <c r="P57" s="27" t="s">
        <v>896</v>
      </c>
      <c r="Q57" s="27" t="s">
        <v>897</v>
      </c>
      <c r="R57" s="1">
        <v>30415</v>
      </c>
      <c r="S57" s="27" t="s">
        <v>954</v>
      </c>
      <c r="T57" s="27" t="s">
        <v>915</v>
      </c>
      <c r="U57" s="1">
        <v>11</v>
      </c>
      <c r="V57" s="27" t="s">
        <v>913</v>
      </c>
      <c r="W57" s="1">
        <v>1</v>
      </c>
      <c r="X57" s="28">
        <v>3</v>
      </c>
      <c r="Y57" s="29">
        <v>0.3</v>
      </c>
      <c r="Z57" s="29">
        <v>0.7</v>
      </c>
      <c r="AA57" s="26"/>
      <c r="AB57" s="26"/>
      <c r="AC57" s="27" t="s">
        <v>901</v>
      </c>
      <c r="AD57" t="s">
        <v>508</v>
      </c>
      <c r="AE57">
        <v>1</v>
      </c>
      <c r="AF57" t="s">
        <v>279</v>
      </c>
      <c r="AG57" t="s">
        <v>902</v>
      </c>
      <c r="AH57" t="s">
        <v>903</v>
      </c>
      <c r="AJ57" s="15"/>
      <c r="AK57" t="s">
        <v>904</v>
      </c>
    </row>
    <row r="58" spans="1:37" ht="15" hidden="1" customHeight="1" x14ac:dyDescent="0.25">
      <c r="A58" s="8">
        <v>57</v>
      </c>
      <c r="B58" s="21">
        <v>25069</v>
      </c>
      <c r="C58" s="22"/>
      <c r="D58" s="21">
        <v>346</v>
      </c>
      <c r="E58" s="21">
        <v>34602</v>
      </c>
      <c r="F58" s="21">
        <v>34602</v>
      </c>
      <c r="G58" s="23" t="s">
        <v>481</v>
      </c>
      <c r="H58" s="23" t="s">
        <v>61</v>
      </c>
      <c r="I58" s="23" t="s">
        <v>894</v>
      </c>
      <c r="J58" s="23" t="s">
        <v>279</v>
      </c>
      <c r="K58" s="23" t="s">
        <v>279</v>
      </c>
      <c r="L58" s="23" t="s">
        <v>895</v>
      </c>
      <c r="M58" s="23" t="s">
        <v>279</v>
      </c>
      <c r="N58" s="23" t="s">
        <v>895</v>
      </c>
      <c r="O58" s="23" t="s">
        <v>290</v>
      </c>
      <c r="P58" s="23" t="s">
        <v>896</v>
      </c>
      <c r="Q58" s="23" t="s">
        <v>897</v>
      </c>
      <c r="R58" s="21">
        <v>30455</v>
      </c>
      <c r="S58" s="23" t="s">
        <v>955</v>
      </c>
      <c r="T58" s="23" t="s">
        <v>915</v>
      </c>
      <c r="U58" s="21">
        <v>11</v>
      </c>
      <c r="V58" s="23" t="s">
        <v>913</v>
      </c>
      <c r="W58" s="21">
        <v>1</v>
      </c>
      <c r="X58" s="24">
        <v>3</v>
      </c>
      <c r="Y58" s="25">
        <v>0.3</v>
      </c>
      <c r="Z58" s="25">
        <v>0.7</v>
      </c>
      <c r="AA58" s="22"/>
      <c r="AB58" s="22"/>
      <c r="AC58" s="23" t="s">
        <v>901</v>
      </c>
      <c r="AD58" s="17" t="s">
        <v>539</v>
      </c>
      <c r="AE58" s="17">
        <v>1</v>
      </c>
      <c r="AF58" s="17" t="s">
        <v>279</v>
      </c>
      <c r="AG58" s="17" t="s">
        <v>902</v>
      </c>
      <c r="AH58" t="s">
        <v>903</v>
      </c>
      <c r="AJ58" s="15"/>
      <c r="AK58" t="s">
        <v>904</v>
      </c>
    </row>
    <row r="59" spans="1:37" ht="15" hidden="1" customHeight="1" x14ac:dyDescent="0.25">
      <c r="A59" s="1">
        <v>58</v>
      </c>
      <c r="B59" s="1">
        <v>25126</v>
      </c>
      <c r="C59" s="26"/>
      <c r="D59" s="1">
        <v>454</v>
      </c>
      <c r="E59" s="1">
        <v>45402</v>
      </c>
      <c r="F59" s="1">
        <v>45402</v>
      </c>
      <c r="G59" s="27" t="s">
        <v>481</v>
      </c>
      <c r="H59" s="27" t="s">
        <v>61</v>
      </c>
      <c r="I59" s="27" t="s">
        <v>894</v>
      </c>
      <c r="J59" s="27" t="s">
        <v>279</v>
      </c>
      <c r="K59" s="27" t="s">
        <v>279</v>
      </c>
      <c r="L59" s="27" t="s">
        <v>925</v>
      </c>
      <c r="M59" s="27" t="s">
        <v>279</v>
      </c>
      <c r="N59" s="27" t="s">
        <v>925</v>
      </c>
      <c r="O59" s="27" t="s">
        <v>601</v>
      </c>
      <c r="P59" s="27" t="s">
        <v>896</v>
      </c>
      <c r="Q59" s="27" t="s">
        <v>897</v>
      </c>
      <c r="R59" s="1">
        <v>30486</v>
      </c>
      <c r="S59" s="27" t="s">
        <v>956</v>
      </c>
      <c r="T59" s="27" t="s">
        <v>928</v>
      </c>
      <c r="U59" s="1">
        <v>8</v>
      </c>
      <c r="V59" s="27" t="s">
        <v>913</v>
      </c>
      <c r="W59" s="1">
        <v>1</v>
      </c>
      <c r="X59" s="28">
        <v>1.5</v>
      </c>
      <c r="Y59" s="29">
        <v>0.3</v>
      </c>
      <c r="Z59" s="29">
        <v>0.7</v>
      </c>
      <c r="AA59" s="26"/>
      <c r="AB59" s="26"/>
      <c r="AC59" s="27" t="s">
        <v>901</v>
      </c>
      <c r="AD59" t="s">
        <v>626</v>
      </c>
      <c r="AE59">
        <v>1</v>
      </c>
      <c r="AF59" t="s">
        <v>279</v>
      </c>
      <c r="AG59" t="s">
        <v>902</v>
      </c>
      <c r="AH59" t="s">
        <v>903</v>
      </c>
      <c r="AJ59" s="15"/>
      <c r="AK59" t="s">
        <v>904</v>
      </c>
    </row>
    <row r="60" spans="1:37" ht="15" hidden="1" customHeight="1" x14ac:dyDescent="0.25">
      <c r="A60" s="1">
        <v>59</v>
      </c>
      <c r="B60" s="21">
        <v>25130</v>
      </c>
      <c r="C60" s="22"/>
      <c r="D60" s="21">
        <v>455</v>
      </c>
      <c r="E60" s="21">
        <v>45502</v>
      </c>
      <c r="F60" s="21">
        <v>45502</v>
      </c>
      <c r="G60" s="23" t="s">
        <v>481</v>
      </c>
      <c r="H60" s="23" t="s">
        <v>61</v>
      </c>
      <c r="I60" s="23" t="s">
        <v>894</v>
      </c>
      <c r="J60" s="23" t="s">
        <v>279</v>
      </c>
      <c r="K60" s="23" t="s">
        <v>279</v>
      </c>
      <c r="L60" s="23" t="s">
        <v>925</v>
      </c>
      <c r="M60" s="23" t="s">
        <v>279</v>
      </c>
      <c r="N60" s="23" t="s">
        <v>925</v>
      </c>
      <c r="O60" s="23" t="s">
        <v>601</v>
      </c>
      <c r="P60" s="23" t="s">
        <v>896</v>
      </c>
      <c r="Q60" s="23" t="s">
        <v>897</v>
      </c>
      <c r="R60" s="21">
        <v>30488</v>
      </c>
      <c r="S60" s="23" t="s">
        <v>957</v>
      </c>
      <c r="T60" s="23" t="s">
        <v>928</v>
      </c>
      <c r="U60" s="21">
        <v>8</v>
      </c>
      <c r="V60" s="23" t="s">
        <v>913</v>
      </c>
      <c r="W60" s="21">
        <v>1</v>
      </c>
      <c r="X60" s="24">
        <v>1.5</v>
      </c>
      <c r="Y60" s="25">
        <v>0.3</v>
      </c>
      <c r="Z60" s="25">
        <v>0.7</v>
      </c>
      <c r="AA60" s="22"/>
      <c r="AB60" s="22"/>
      <c r="AC60" s="23" t="s">
        <v>901</v>
      </c>
      <c r="AD60" s="17" t="s">
        <v>615</v>
      </c>
      <c r="AE60" s="17">
        <v>1</v>
      </c>
      <c r="AF60" s="17" t="s">
        <v>279</v>
      </c>
      <c r="AG60" s="17" t="s">
        <v>902</v>
      </c>
      <c r="AH60" t="s">
        <v>903</v>
      </c>
      <c r="AJ60" s="15"/>
      <c r="AK60" t="s">
        <v>904</v>
      </c>
    </row>
    <row r="61" spans="1:37" ht="15" hidden="1" customHeight="1" x14ac:dyDescent="0.25">
      <c r="A61" s="8">
        <v>60</v>
      </c>
      <c r="B61" s="1">
        <v>25134</v>
      </c>
      <c r="C61" s="26"/>
      <c r="D61" s="1">
        <v>453</v>
      </c>
      <c r="E61" s="1">
        <v>45302</v>
      </c>
      <c r="F61" s="1">
        <v>45302</v>
      </c>
      <c r="G61" s="27" t="s">
        <v>481</v>
      </c>
      <c r="H61" s="27" t="s">
        <v>61</v>
      </c>
      <c r="I61" s="27" t="s">
        <v>894</v>
      </c>
      <c r="J61" s="27" t="s">
        <v>279</v>
      </c>
      <c r="K61" s="27" t="s">
        <v>279</v>
      </c>
      <c r="L61" s="27" t="s">
        <v>925</v>
      </c>
      <c r="M61" s="27" t="s">
        <v>279</v>
      </c>
      <c r="N61" s="27" t="s">
        <v>925</v>
      </c>
      <c r="O61" s="27" t="s">
        <v>601</v>
      </c>
      <c r="P61" s="27" t="s">
        <v>896</v>
      </c>
      <c r="Q61" s="27" t="s">
        <v>897</v>
      </c>
      <c r="R61" s="1">
        <v>30490</v>
      </c>
      <c r="S61" s="27" t="s">
        <v>958</v>
      </c>
      <c r="T61" s="27" t="s">
        <v>928</v>
      </c>
      <c r="U61" s="1">
        <v>8</v>
      </c>
      <c r="V61" s="27" t="s">
        <v>913</v>
      </c>
      <c r="W61" s="1">
        <v>1</v>
      </c>
      <c r="X61" s="28">
        <v>1.5</v>
      </c>
      <c r="Y61" s="29">
        <v>0.3</v>
      </c>
      <c r="Z61" s="29">
        <v>0.7</v>
      </c>
      <c r="AA61" s="26"/>
      <c r="AB61" s="26"/>
      <c r="AC61" s="27" t="s">
        <v>901</v>
      </c>
      <c r="AD61" t="s">
        <v>608</v>
      </c>
      <c r="AE61">
        <v>1</v>
      </c>
      <c r="AF61" t="s">
        <v>279</v>
      </c>
      <c r="AG61" t="s">
        <v>902</v>
      </c>
      <c r="AH61" t="s">
        <v>903</v>
      </c>
      <c r="AJ61" s="15"/>
      <c r="AK61" t="s">
        <v>904</v>
      </c>
    </row>
    <row r="62" spans="1:37" ht="15" hidden="1" customHeight="1" x14ac:dyDescent="0.25">
      <c r="A62" s="1">
        <v>61</v>
      </c>
      <c r="B62" s="21">
        <v>25138</v>
      </c>
      <c r="C62" s="22"/>
      <c r="D62" s="21">
        <v>452</v>
      </c>
      <c r="E62" s="21">
        <v>45202</v>
      </c>
      <c r="F62" s="21">
        <v>45202</v>
      </c>
      <c r="G62" s="23" t="s">
        <v>481</v>
      </c>
      <c r="H62" s="23" t="s">
        <v>61</v>
      </c>
      <c r="I62" s="23" t="s">
        <v>894</v>
      </c>
      <c r="J62" s="23" t="s">
        <v>279</v>
      </c>
      <c r="K62" s="23" t="s">
        <v>279</v>
      </c>
      <c r="L62" s="23" t="s">
        <v>925</v>
      </c>
      <c r="M62" s="23" t="s">
        <v>279</v>
      </c>
      <c r="N62" s="23" t="s">
        <v>925</v>
      </c>
      <c r="O62" s="23" t="s">
        <v>601</v>
      </c>
      <c r="P62" s="23" t="s">
        <v>896</v>
      </c>
      <c r="Q62" s="23" t="s">
        <v>897</v>
      </c>
      <c r="R62" s="21">
        <v>30492</v>
      </c>
      <c r="S62" s="23" t="s">
        <v>959</v>
      </c>
      <c r="T62" s="23" t="s">
        <v>928</v>
      </c>
      <c r="U62" s="21">
        <v>8</v>
      </c>
      <c r="V62" s="23" t="s">
        <v>913</v>
      </c>
      <c r="W62" s="21">
        <v>1</v>
      </c>
      <c r="X62" s="24">
        <v>1.5</v>
      </c>
      <c r="Y62" s="25">
        <v>0.3</v>
      </c>
      <c r="Z62" s="25">
        <v>0.7</v>
      </c>
      <c r="AA62" s="22"/>
      <c r="AB62" s="22"/>
      <c r="AC62" s="23" t="s">
        <v>901</v>
      </c>
      <c r="AD62" s="17" t="s">
        <v>606</v>
      </c>
      <c r="AE62" s="17">
        <v>1</v>
      </c>
      <c r="AF62" s="17" t="s">
        <v>279</v>
      </c>
      <c r="AG62" s="17" t="s">
        <v>902</v>
      </c>
      <c r="AH62" t="s">
        <v>903</v>
      </c>
      <c r="AJ62" s="15"/>
      <c r="AK62" t="s">
        <v>904</v>
      </c>
    </row>
    <row r="63" spans="1:37" ht="15" hidden="1" customHeight="1" x14ac:dyDescent="0.25">
      <c r="A63" s="1">
        <v>62</v>
      </c>
      <c r="B63" s="1">
        <v>25142</v>
      </c>
      <c r="C63" s="26"/>
      <c r="D63" s="1">
        <v>456</v>
      </c>
      <c r="E63" s="1">
        <v>45602</v>
      </c>
      <c r="F63" s="1">
        <v>45602</v>
      </c>
      <c r="G63" s="27" t="s">
        <v>481</v>
      </c>
      <c r="H63" s="27" t="s">
        <v>61</v>
      </c>
      <c r="I63" s="27" t="s">
        <v>894</v>
      </c>
      <c r="J63" s="27" t="s">
        <v>279</v>
      </c>
      <c r="K63" s="27" t="s">
        <v>279</v>
      </c>
      <c r="L63" s="27" t="s">
        <v>925</v>
      </c>
      <c r="M63" s="27" t="s">
        <v>279</v>
      </c>
      <c r="N63" s="27" t="s">
        <v>925</v>
      </c>
      <c r="O63" s="27" t="s">
        <v>601</v>
      </c>
      <c r="P63" s="27" t="s">
        <v>896</v>
      </c>
      <c r="Q63" s="27" t="s">
        <v>897</v>
      </c>
      <c r="R63" s="1">
        <v>30494</v>
      </c>
      <c r="S63" s="27" t="s">
        <v>944</v>
      </c>
      <c r="T63" s="27" t="s">
        <v>928</v>
      </c>
      <c r="U63" s="1">
        <v>8</v>
      </c>
      <c r="V63" s="27" t="s">
        <v>913</v>
      </c>
      <c r="W63" s="1">
        <v>1</v>
      </c>
      <c r="X63" s="28">
        <v>1.5</v>
      </c>
      <c r="Y63" s="29">
        <v>0.3</v>
      </c>
      <c r="Z63" s="29">
        <v>0.7</v>
      </c>
      <c r="AA63" s="26"/>
      <c r="AB63" s="26"/>
      <c r="AC63" s="27" t="s">
        <v>901</v>
      </c>
      <c r="AD63" t="s">
        <v>505</v>
      </c>
      <c r="AE63">
        <v>1</v>
      </c>
      <c r="AF63" t="s">
        <v>279</v>
      </c>
      <c r="AG63" t="s">
        <v>902</v>
      </c>
      <c r="AH63" t="s">
        <v>903</v>
      </c>
      <c r="AJ63" s="15"/>
      <c r="AK63" t="s">
        <v>904</v>
      </c>
    </row>
    <row r="64" spans="1:37" ht="15" hidden="1" customHeight="1" x14ac:dyDescent="0.25">
      <c r="A64" s="8">
        <v>63</v>
      </c>
      <c r="B64" s="21">
        <v>25146</v>
      </c>
      <c r="C64" s="22"/>
      <c r="D64" s="21">
        <v>451</v>
      </c>
      <c r="E64" s="21">
        <v>45101</v>
      </c>
      <c r="F64" s="21">
        <v>45101</v>
      </c>
      <c r="G64" s="23" t="s">
        <v>481</v>
      </c>
      <c r="H64" s="23" t="s">
        <v>61</v>
      </c>
      <c r="I64" s="23" t="s">
        <v>894</v>
      </c>
      <c r="J64" s="23" t="s">
        <v>279</v>
      </c>
      <c r="K64" s="23" t="s">
        <v>279</v>
      </c>
      <c r="L64" s="23" t="s">
        <v>925</v>
      </c>
      <c r="M64" s="23" t="s">
        <v>279</v>
      </c>
      <c r="N64" s="23" t="s">
        <v>925</v>
      </c>
      <c r="O64" s="23" t="s">
        <v>601</v>
      </c>
      <c r="P64" s="23" t="s">
        <v>896</v>
      </c>
      <c r="Q64" s="23" t="s">
        <v>897</v>
      </c>
      <c r="R64" s="21">
        <v>30496</v>
      </c>
      <c r="S64" s="23" t="s">
        <v>960</v>
      </c>
      <c r="T64" s="23" t="s">
        <v>928</v>
      </c>
      <c r="U64" s="21">
        <v>8</v>
      </c>
      <c r="V64" s="23" t="s">
        <v>913</v>
      </c>
      <c r="W64" s="21">
        <v>1</v>
      </c>
      <c r="X64" s="24">
        <v>1.5</v>
      </c>
      <c r="Y64" s="25">
        <v>0.3</v>
      </c>
      <c r="Z64" s="25">
        <v>0.7</v>
      </c>
      <c r="AA64" s="22"/>
      <c r="AB64" s="22"/>
      <c r="AC64" s="23" t="s">
        <v>901</v>
      </c>
      <c r="AD64" s="17" t="s">
        <v>617</v>
      </c>
      <c r="AE64" s="17">
        <v>1</v>
      </c>
      <c r="AF64" s="17" t="s">
        <v>279</v>
      </c>
      <c r="AG64" s="17" t="s">
        <v>902</v>
      </c>
      <c r="AH64" t="s">
        <v>903</v>
      </c>
      <c r="AJ64" s="15"/>
      <c r="AK64" t="s">
        <v>904</v>
      </c>
    </row>
    <row r="65" spans="1:37" ht="15" hidden="1" customHeight="1" x14ac:dyDescent="0.25">
      <c r="A65" s="1">
        <v>64</v>
      </c>
      <c r="B65" s="1">
        <v>25150</v>
      </c>
      <c r="C65" s="26"/>
      <c r="D65" s="1">
        <v>457</v>
      </c>
      <c r="E65" s="1">
        <v>45702</v>
      </c>
      <c r="F65" s="1">
        <v>45702</v>
      </c>
      <c r="G65" s="27" t="s">
        <v>481</v>
      </c>
      <c r="H65" s="27" t="s">
        <v>61</v>
      </c>
      <c r="I65" s="27" t="s">
        <v>894</v>
      </c>
      <c r="J65" s="27" t="s">
        <v>279</v>
      </c>
      <c r="K65" s="27" t="s">
        <v>279</v>
      </c>
      <c r="L65" s="27" t="s">
        <v>925</v>
      </c>
      <c r="M65" s="27" t="s">
        <v>279</v>
      </c>
      <c r="N65" s="27" t="s">
        <v>925</v>
      </c>
      <c r="O65" s="27" t="s">
        <v>601</v>
      </c>
      <c r="P65" s="27" t="s">
        <v>896</v>
      </c>
      <c r="Q65" s="27" t="s">
        <v>897</v>
      </c>
      <c r="R65" s="1">
        <v>30498</v>
      </c>
      <c r="S65" s="27" t="s">
        <v>961</v>
      </c>
      <c r="T65" s="27" t="s">
        <v>928</v>
      </c>
      <c r="U65" s="1">
        <v>8</v>
      </c>
      <c r="V65" s="27" t="s">
        <v>913</v>
      </c>
      <c r="W65" s="1">
        <v>1</v>
      </c>
      <c r="X65" s="28">
        <v>1.5</v>
      </c>
      <c r="Y65" s="29">
        <v>0.3</v>
      </c>
      <c r="Z65" s="29">
        <v>0.7</v>
      </c>
      <c r="AA65" s="26"/>
      <c r="AB65" s="26"/>
      <c r="AC65" s="27" t="s">
        <v>901</v>
      </c>
      <c r="AD65" t="s">
        <v>620</v>
      </c>
      <c r="AE65">
        <v>1</v>
      </c>
      <c r="AF65" t="s">
        <v>279</v>
      </c>
      <c r="AG65" t="s">
        <v>902</v>
      </c>
      <c r="AH65" t="s">
        <v>903</v>
      </c>
      <c r="AJ65" s="15"/>
      <c r="AK65" t="s">
        <v>904</v>
      </c>
    </row>
    <row r="66" spans="1:37" ht="15" hidden="1" customHeight="1" x14ac:dyDescent="0.25">
      <c r="A66" s="1">
        <v>65</v>
      </c>
      <c r="B66" s="21">
        <v>25162</v>
      </c>
      <c r="C66" s="22"/>
      <c r="D66" s="21">
        <v>276</v>
      </c>
      <c r="E66" s="21">
        <v>27601</v>
      </c>
      <c r="F66" s="21">
        <v>27601</v>
      </c>
      <c r="G66" s="23" t="s">
        <v>481</v>
      </c>
      <c r="H66" s="23" t="s">
        <v>61</v>
      </c>
      <c r="I66" s="23" t="s">
        <v>894</v>
      </c>
      <c r="J66" s="23" t="s">
        <v>279</v>
      </c>
      <c r="K66" s="23" t="s">
        <v>279</v>
      </c>
      <c r="L66" s="23" t="s">
        <v>925</v>
      </c>
      <c r="M66" s="23" t="s">
        <v>279</v>
      </c>
      <c r="N66" s="23" t="s">
        <v>925</v>
      </c>
      <c r="O66" s="23" t="s">
        <v>325</v>
      </c>
      <c r="P66" s="23" t="s">
        <v>896</v>
      </c>
      <c r="Q66" s="23" t="s">
        <v>897</v>
      </c>
      <c r="R66" s="21">
        <v>30504</v>
      </c>
      <c r="S66" s="23" t="s">
        <v>962</v>
      </c>
      <c r="T66" s="23" t="s">
        <v>928</v>
      </c>
      <c r="U66" s="21">
        <v>8</v>
      </c>
      <c r="V66" s="23" t="s">
        <v>913</v>
      </c>
      <c r="W66" s="21">
        <v>1</v>
      </c>
      <c r="X66" s="24">
        <v>1.5</v>
      </c>
      <c r="Y66" s="25">
        <v>0.3</v>
      </c>
      <c r="Z66" s="25">
        <v>0.7</v>
      </c>
      <c r="AA66" s="22"/>
      <c r="AB66" s="22"/>
      <c r="AC66" s="23" t="s">
        <v>901</v>
      </c>
      <c r="AD66" s="17" t="s">
        <v>502</v>
      </c>
      <c r="AE66" s="17">
        <v>1</v>
      </c>
      <c r="AF66" s="17" t="s">
        <v>279</v>
      </c>
      <c r="AG66" s="17" t="s">
        <v>902</v>
      </c>
      <c r="AH66" t="s">
        <v>903</v>
      </c>
      <c r="AJ66" s="15"/>
      <c r="AK66" t="s">
        <v>904</v>
      </c>
    </row>
    <row r="67" spans="1:37" ht="15" hidden="1" customHeight="1" x14ac:dyDescent="0.25">
      <c r="A67" s="8">
        <v>66</v>
      </c>
      <c r="B67" s="1">
        <v>25172</v>
      </c>
      <c r="C67" s="26"/>
      <c r="D67" s="1">
        <v>277</v>
      </c>
      <c r="E67" s="1">
        <v>27701</v>
      </c>
      <c r="F67" s="1">
        <v>27701</v>
      </c>
      <c r="G67" s="27" t="s">
        <v>481</v>
      </c>
      <c r="H67" s="27" t="s">
        <v>61</v>
      </c>
      <c r="I67" s="27" t="s">
        <v>894</v>
      </c>
      <c r="J67" s="27" t="s">
        <v>279</v>
      </c>
      <c r="K67" s="27" t="s">
        <v>279</v>
      </c>
      <c r="L67" s="27" t="s">
        <v>925</v>
      </c>
      <c r="M67" s="27" t="s">
        <v>279</v>
      </c>
      <c r="N67" s="27" t="s">
        <v>925</v>
      </c>
      <c r="O67" s="27" t="s">
        <v>325</v>
      </c>
      <c r="P67" s="27" t="s">
        <v>896</v>
      </c>
      <c r="Q67" s="27" t="s">
        <v>897</v>
      </c>
      <c r="R67" s="1">
        <v>30509</v>
      </c>
      <c r="S67" s="27" t="s">
        <v>963</v>
      </c>
      <c r="T67" s="27" t="s">
        <v>928</v>
      </c>
      <c r="U67" s="1">
        <v>8</v>
      </c>
      <c r="V67" s="27" t="s">
        <v>913</v>
      </c>
      <c r="W67" s="1">
        <v>1</v>
      </c>
      <c r="X67" s="28">
        <v>1.5</v>
      </c>
      <c r="Y67" s="29">
        <v>0.3</v>
      </c>
      <c r="Z67" s="29">
        <v>0.7</v>
      </c>
      <c r="AA67" s="26"/>
      <c r="AB67" s="26"/>
      <c r="AC67" s="27" t="s">
        <v>901</v>
      </c>
      <c r="AD67" t="s">
        <v>507</v>
      </c>
      <c r="AE67">
        <v>1</v>
      </c>
      <c r="AF67" t="s">
        <v>279</v>
      </c>
      <c r="AG67" t="s">
        <v>902</v>
      </c>
      <c r="AH67" t="s">
        <v>903</v>
      </c>
      <c r="AJ67" s="15"/>
      <c r="AK67" t="s">
        <v>904</v>
      </c>
    </row>
    <row r="68" spans="1:37" ht="15" hidden="1" customHeight="1" x14ac:dyDescent="0.25">
      <c r="A68" s="1">
        <v>67</v>
      </c>
      <c r="B68" s="21">
        <v>25376</v>
      </c>
      <c r="C68" s="22"/>
      <c r="D68" s="21">
        <v>587</v>
      </c>
      <c r="E68" s="21">
        <v>58701</v>
      </c>
      <c r="F68" s="21">
        <v>58701</v>
      </c>
      <c r="G68" s="23" t="s">
        <v>468</v>
      </c>
      <c r="H68" s="23" t="s">
        <v>61</v>
      </c>
      <c r="I68" s="23" t="s">
        <v>894</v>
      </c>
      <c r="J68" s="23" t="s">
        <v>279</v>
      </c>
      <c r="K68" s="23" t="s">
        <v>279</v>
      </c>
      <c r="L68" s="23" t="s">
        <v>922</v>
      </c>
      <c r="M68" s="23" t="s">
        <v>279</v>
      </c>
      <c r="N68" s="23" t="s">
        <v>922</v>
      </c>
      <c r="O68" s="23" t="s">
        <v>532</v>
      </c>
      <c r="P68" s="23" t="s">
        <v>909</v>
      </c>
      <c r="Q68" s="23" t="s">
        <v>897</v>
      </c>
      <c r="R68" s="21">
        <v>30710</v>
      </c>
      <c r="S68" s="23" t="s">
        <v>964</v>
      </c>
      <c r="T68" s="23" t="s">
        <v>932</v>
      </c>
      <c r="U68" s="21">
        <v>28</v>
      </c>
      <c r="V68" s="27" t="s">
        <v>907</v>
      </c>
      <c r="W68" s="21">
        <v>25</v>
      </c>
      <c r="X68" s="24">
        <v>6</v>
      </c>
      <c r="Y68" s="25">
        <v>0.3</v>
      </c>
      <c r="Z68" s="25">
        <v>0.7</v>
      </c>
      <c r="AA68" s="22"/>
      <c r="AB68" s="22"/>
      <c r="AC68" s="23" t="s">
        <v>901</v>
      </c>
      <c r="AD68" s="17" t="s">
        <v>534</v>
      </c>
      <c r="AE68" s="17">
        <v>1</v>
      </c>
      <c r="AF68" s="17" t="s">
        <v>279</v>
      </c>
      <c r="AG68" s="17"/>
      <c r="AH68" t="s">
        <v>903</v>
      </c>
      <c r="AJ68" s="15"/>
      <c r="AK68" t="s">
        <v>908</v>
      </c>
    </row>
    <row r="69" spans="1:37" ht="15" hidden="1" customHeight="1" x14ac:dyDescent="0.25">
      <c r="A69" s="1">
        <v>68</v>
      </c>
      <c r="B69" s="1">
        <v>25398</v>
      </c>
      <c r="C69" s="26"/>
      <c r="D69" s="1">
        <v>510</v>
      </c>
      <c r="E69" s="1">
        <v>51001</v>
      </c>
      <c r="F69" s="1">
        <v>51001</v>
      </c>
      <c r="G69" s="27" t="s">
        <v>481</v>
      </c>
      <c r="H69" s="27" t="s">
        <v>61</v>
      </c>
      <c r="I69" s="27" t="s">
        <v>894</v>
      </c>
      <c r="J69" s="27" t="s">
        <v>279</v>
      </c>
      <c r="K69" s="27" t="s">
        <v>279</v>
      </c>
      <c r="L69" s="27" t="s">
        <v>925</v>
      </c>
      <c r="M69" s="27" t="s">
        <v>279</v>
      </c>
      <c r="N69" s="27" t="s">
        <v>925</v>
      </c>
      <c r="O69" s="27" t="s">
        <v>601</v>
      </c>
      <c r="P69" s="27" t="s">
        <v>896</v>
      </c>
      <c r="Q69" s="27" t="s">
        <v>897</v>
      </c>
      <c r="R69" s="1">
        <v>30718</v>
      </c>
      <c r="S69" s="27" t="s">
        <v>965</v>
      </c>
      <c r="T69" s="27" t="s">
        <v>912</v>
      </c>
      <c r="U69" s="1">
        <v>10</v>
      </c>
      <c r="V69" s="27" t="s">
        <v>913</v>
      </c>
      <c r="W69" s="1">
        <v>1</v>
      </c>
      <c r="X69" s="28">
        <v>2.5</v>
      </c>
      <c r="Y69" s="29">
        <v>0.3</v>
      </c>
      <c r="Z69" s="29">
        <v>0.7</v>
      </c>
      <c r="AA69" s="26"/>
      <c r="AB69" s="26"/>
      <c r="AC69" s="27" t="s">
        <v>901</v>
      </c>
      <c r="AD69" t="s">
        <v>627</v>
      </c>
      <c r="AE69">
        <v>1</v>
      </c>
      <c r="AF69" t="s">
        <v>279</v>
      </c>
      <c r="AG69" t="s">
        <v>902</v>
      </c>
      <c r="AH69" t="s">
        <v>903</v>
      </c>
      <c r="AJ69" s="15"/>
      <c r="AK69" t="s">
        <v>904</v>
      </c>
    </row>
    <row r="70" spans="1:37" ht="15" hidden="1" customHeight="1" x14ac:dyDescent="0.25">
      <c r="A70" s="8">
        <v>69</v>
      </c>
      <c r="B70" s="21">
        <v>25399</v>
      </c>
      <c r="C70" s="22"/>
      <c r="D70" s="21">
        <v>277</v>
      </c>
      <c r="E70" s="21">
        <v>27702</v>
      </c>
      <c r="F70" s="21">
        <v>27702</v>
      </c>
      <c r="G70" s="23" t="s">
        <v>481</v>
      </c>
      <c r="H70" s="23" t="s">
        <v>61</v>
      </c>
      <c r="I70" s="23" t="s">
        <v>894</v>
      </c>
      <c r="J70" s="23" t="s">
        <v>279</v>
      </c>
      <c r="K70" s="23" t="s">
        <v>279</v>
      </c>
      <c r="L70" s="23" t="s">
        <v>925</v>
      </c>
      <c r="M70" s="23" t="s">
        <v>279</v>
      </c>
      <c r="N70" s="23" t="s">
        <v>925</v>
      </c>
      <c r="O70" s="23" t="s">
        <v>325</v>
      </c>
      <c r="P70" s="23" t="s">
        <v>896</v>
      </c>
      <c r="Q70" s="23" t="s">
        <v>897</v>
      </c>
      <c r="R70" s="21">
        <v>30511</v>
      </c>
      <c r="S70" s="23" t="s">
        <v>963</v>
      </c>
      <c r="T70" s="23" t="s">
        <v>912</v>
      </c>
      <c r="U70" s="21">
        <v>10</v>
      </c>
      <c r="V70" s="23" t="s">
        <v>913</v>
      </c>
      <c r="W70" s="21">
        <v>1</v>
      </c>
      <c r="X70" s="24">
        <v>2.5</v>
      </c>
      <c r="Y70" s="25">
        <v>0.3</v>
      </c>
      <c r="Z70" s="25">
        <v>0.7</v>
      </c>
      <c r="AA70" s="22"/>
      <c r="AB70" s="22"/>
      <c r="AC70" s="23" t="s">
        <v>901</v>
      </c>
      <c r="AD70" s="17" t="s">
        <v>507</v>
      </c>
      <c r="AE70" s="17">
        <v>1</v>
      </c>
      <c r="AF70" s="17" t="s">
        <v>279</v>
      </c>
      <c r="AG70" s="17" t="s">
        <v>902</v>
      </c>
      <c r="AH70" t="s">
        <v>903</v>
      </c>
      <c r="AJ70" s="15"/>
      <c r="AK70" t="s">
        <v>904</v>
      </c>
    </row>
    <row r="71" spans="1:37" ht="15" hidden="1" customHeight="1" x14ac:dyDescent="0.25">
      <c r="A71" s="1">
        <v>70</v>
      </c>
      <c r="B71" s="1">
        <v>25401</v>
      </c>
      <c r="C71" s="26"/>
      <c r="D71" s="1">
        <v>276</v>
      </c>
      <c r="E71" s="1">
        <v>27602</v>
      </c>
      <c r="F71" s="1">
        <v>27602</v>
      </c>
      <c r="G71" s="27" t="s">
        <v>481</v>
      </c>
      <c r="H71" s="27" t="s">
        <v>61</v>
      </c>
      <c r="I71" s="27" t="s">
        <v>894</v>
      </c>
      <c r="J71" s="27" t="s">
        <v>279</v>
      </c>
      <c r="K71" s="27" t="s">
        <v>279</v>
      </c>
      <c r="L71" s="27" t="s">
        <v>925</v>
      </c>
      <c r="M71" s="27" t="s">
        <v>279</v>
      </c>
      <c r="N71" s="27" t="s">
        <v>925</v>
      </c>
      <c r="O71" s="27" t="s">
        <v>325</v>
      </c>
      <c r="P71" s="27" t="s">
        <v>896</v>
      </c>
      <c r="Q71" s="27" t="s">
        <v>897</v>
      </c>
      <c r="R71" s="1">
        <v>30505</v>
      </c>
      <c r="S71" s="27" t="s">
        <v>966</v>
      </c>
      <c r="T71" s="27" t="s">
        <v>912</v>
      </c>
      <c r="U71" s="1">
        <v>10</v>
      </c>
      <c r="V71" s="27" t="s">
        <v>913</v>
      </c>
      <c r="W71" s="1">
        <v>1</v>
      </c>
      <c r="X71" s="28">
        <v>2.5</v>
      </c>
      <c r="Y71" s="29">
        <v>0.3</v>
      </c>
      <c r="Z71" s="29">
        <v>0.7</v>
      </c>
      <c r="AA71" s="26"/>
      <c r="AB71" s="26"/>
      <c r="AC71" s="27" t="s">
        <v>901</v>
      </c>
      <c r="AD71" t="s">
        <v>506</v>
      </c>
      <c r="AE71">
        <v>1</v>
      </c>
      <c r="AF71" t="s">
        <v>279</v>
      </c>
      <c r="AG71" t="s">
        <v>902</v>
      </c>
      <c r="AH71" t="s">
        <v>903</v>
      </c>
      <c r="AJ71" s="15"/>
      <c r="AK71" t="s">
        <v>904</v>
      </c>
    </row>
    <row r="72" spans="1:37" ht="15" hidden="1" customHeight="1" x14ac:dyDescent="0.25">
      <c r="A72" s="1">
        <v>71</v>
      </c>
      <c r="B72" s="21">
        <v>25404</v>
      </c>
      <c r="C72" s="22"/>
      <c r="D72" s="21">
        <v>457</v>
      </c>
      <c r="E72" s="21">
        <v>45701</v>
      </c>
      <c r="F72" s="21">
        <v>45701</v>
      </c>
      <c r="G72" s="23" t="s">
        <v>481</v>
      </c>
      <c r="H72" s="23" t="s">
        <v>61</v>
      </c>
      <c r="I72" s="23" t="s">
        <v>894</v>
      </c>
      <c r="J72" s="23" t="s">
        <v>279</v>
      </c>
      <c r="K72" s="23" t="s">
        <v>279</v>
      </c>
      <c r="L72" s="23" t="s">
        <v>925</v>
      </c>
      <c r="M72" s="23" t="s">
        <v>279</v>
      </c>
      <c r="N72" s="23" t="s">
        <v>925</v>
      </c>
      <c r="O72" s="23" t="s">
        <v>601</v>
      </c>
      <c r="P72" s="23" t="s">
        <v>896</v>
      </c>
      <c r="Q72" s="23" t="s">
        <v>897</v>
      </c>
      <c r="R72" s="21">
        <v>30499</v>
      </c>
      <c r="S72" s="23" t="s">
        <v>961</v>
      </c>
      <c r="T72" s="23" t="s">
        <v>912</v>
      </c>
      <c r="U72" s="21">
        <v>10</v>
      </c>
      <c r="V72" s="23" t="s">
        <v>913</v>
      </c>
      <c r="W72" s="21">
        <v>1</v>
      </c>
      <c r="X72" s="24">
        <v>2.5</v>
      </c>
      <c r="Y72" s="25">
        <v>0.3</v>
      </c>
      <c r="Z72" s="25">
        <v>0.7</v>
      </c>
      <c r="AA72" s="22"/>
      <c r="AB72" s="22"/>
      <c r="AC72" s="23" t="s">
        <v>901</v>
      </c>
      <c r="AD72" s="17" t="s">
        <v>620</v>
      </c>
      <c r="AE72" s="17">
        <v>1</v>
      </c>
      <c r="AF72" s="17" t="s">
        <v>279</v>
      </c>
      <c r="AG72" s="17" t="s">
        <v>902</v>
      </c>
      <c r="AH72" t="s">
        <v>903</v>
      </c>
      <c r="AJ72" s="15"/>
      <c r="AK72" t="s">
        <v>904</v>
      </c>
    </row>
    <row r="73" spans="1:37" ht="15" hidden="1" customHeight="1" x14ac:dyDescent="0.25">
      <c r="A73" s="8">
        <v>72</v>
      </c>
      <c r="B73" s="1">
        <v>25405</v>
      </c>
      <c r="C73" s="26"/>
      <c r="D73" s="1">
        <v>451</v>
      </c>
      <c r="E73" s="1">
        <v>45102</v>
      </c>
      <c r="F73" s="1">
        <v>45102</v>
      </c>
      <c r="G73" s="27" t="s">
        <v>481</v>
      </c>
      <c r="H73" s="27" t="s">
        <v>61</v>
      </c>
      <c r="I73" s="27" t="s">
        <v>894</v>
      </c>
      <c r="J73" s="27" t="s">
        <v>279</v>
      </c>
      <c r="K73" s="27" t="s">
        <v>279</v>
      </c>
      <c r="L73" s="27" t="s">
        <v>925</v>
      </c>
      <c r="M73" s="27" t="s">
        <v>279</v>
      </c>
      <c r="N73" s="27" t="s">
        <v>925</v>
      </c>
      <c r="O73" s="27" t="s">
        <v>601</v>
      </c>
      <c r="P73" s="27" t="s">
        <v>896</v>
      </c>
      <c r="Q73" s="27" t="s">
        <v>897</v>
      </c>
      <c r="R73" s="1">
        <v>30497</v>
      </c>
      <c r="S73" s="27" t="s">
        <v>960</v>
      </c>
      <c r="T73" s="27" t="s">
        <v>912</v>
      </c>
      <c r="U73" s="1">
        <v>10</v>
      </c>
      <c r="V73" s="27" t="s">
        <v>913</v>
      </c>
      <c r="W73" s="1">
        <v>1</v>
      </c>
      <c r="X73" s="28">
        <v>2.5</v>
      </c>
      <c r="Y73" s="29">
        <v>0.3</v>
      </c>
      <c r="Z73" s="29">
        <v>0.7</v>
      </c>
      <c r="AA73" s="26"/>
      <c r="AB73" s="26"/>
      <c r="AC73" s="27" t="s">
        <v>901</v>
      </c>
      <c r="AD73" t="s">
        <v>617</v>
      </c>
      <c r="AE73">
        <v>1</v>
      </c>
      <c r="AF73" t="s">
        <v>279</v>
      </c>
      <c r="AG73" t="s">
        <v>902</v>
      </c>
      <c r="AH73" t="s">
        <v>903</v>
      </c>
      <c r="AJ73" s="15"/>
      <c r="AK73" t="s">
        <v>904</v>
      </c>
    </row>
    <row r="74" spans="1:37" ht="15" hidden="1" customHeight="1" x14ac:dyDescent="0.25">
      <c r="A74" s="1">
        <v>73</v>
      </c>
      <c r="B74" s="21">
        <v>25407</v>
      </c>
      <c r="C74" s="22"/>
      <c r="D74" s="21">
        <v>452</v>
      </c>
      <c r="E74" s="21">
        <v>45201</v>
      </c>
      <c r="F74" s="21">
        <v>45201</v>
      </c>
      <c r="G74" s="23" t="s">
        <v>481</v>
      </c>
      <c r="H74" s="23" t="s">
        <v>61</v>
      </c>
      <c r="I74" s="23" t="s">
        <v>894</v>
      </c>
      <c r="J74" s="23" t="s">
        <v>279</v>
      </c>
      <c r="K74" s="23" t="s">
        <v>279</v>
      </c>
      <c r="L74" s="23" t="s">
        <v>925</v>
      </c>
      <c r="M74" s="23" t="s">
        <v>279</v>
      </c>
      <c r="N74" s="23" t="s">
        <v>925</v>
      </c>
      <c r="O74" s="23" t="s">
        <v>601</v>
      </c>
      <c r="P74" s="23" t="s">
        <v>896</v>
      </c>
      <c r="Q74" s="23" t="s">
        <v>897</v>
      </c>
      <c r="R74" s="21">
        <v>30493</v>
      </c>
      <c r="S74" s="23" t="s">
        <v>959</v>
      </c>
      <c r="T74" s="23" t="s">
        <v>912</v>
      </c>
      <c r="U74" s="21">
        <v>10</v>
      </c>
      <c r="V74" s="23" t="s">
        <v>913</v>
      </c>
      <c r="W74" s="21">
        <v>1</v>
      </c>
      <c r="X74" s="24">
        <v>2.5</v>
      </c>
      <c r="Y74" s="25">
        <v>0.3</v>
      </c>
      <c r="Z74" s="25">
        <v>0.7</v>
      </c>
      <c r="AA74" s="22"/>
      <c r="AB74" s="22"/>
      <c r="AC74" s="23" t="s">
        <v>901</v>
      </c>
      <c r="AD74" s="17" t="s">
        <v>606</v>
      </c>
      <c r="AE74" s="17">
        <v>1</v>
      </c>
      <c r="AF74" s="17" t="s">
        <v>279</v>
      </c>
      <c r="AG74" s="17" t="s">
        <v>902</v>
      </c>
      <c r="AH74" t="s">
        <v>903</v>
      </c>
      <c r="AJ74" s="15"/>
      <c r="AK74" t="s">
        <v>904</v>
      </c>
    </row>
    <row r="75" spans="1:37" ht="15" hidden="1" customHeight="1" x14ac:dyDescent="0.25">
      <c r="A75" s="1">
        <v>74</v>
      </c>
      <c r="B75" s="1">
        <v>25408</v>
      </c>
      <c r="C75" s="26"/>
      <c r="D75" s="1">
        <v>453</v>
      </c>
      <c r="E75" s="1">
        <v>45301</v>
      </c>
      <c r="F75" s="1">
        <v>45301</v>
      </c>
      <c r="G75" s="27" t="s">
        <v>481</v>
      </c>
      <c r="H75" s="27" t="s">
        <v>61</v>
      </c>
      <c r="I75" s="27" t="s">
        <v>894</v>
      </c>
      <c r="J75" s="27" t="s">
        <v>279</v>
      </c>
      <c r="K75" s="27" t="s">
        <v>279</v>
      </c>
      <c r="L75" s="27" t="s">
        <v>925</v>
      </c>
      <c r="M75" s="27" t="s">
        <v>279</v>
      </c>
      <c r="N75" s="27" t="s">
        <v>925</v>
      </c>
      <c r="O75" s="27" t="s">
        <v>601</v>
      </c>
      <c r="P75" s="27" t="s">
        <v>896</v>
      </c>
      <c r="Q75" s="27" t="s">
        <v>897</v>
      </c>
      <c r="R75" s="1">
        <v>30491</v>
      </c>
      <c r="S75" s="27" t="s">
        <v>958</v>
      </c>
      <c r="T75" s="27" t="s">
        <v>912</v>
      </c>
      <c r="U75" s="1">
        <v>10</v>
      </c>
      <c r="V75" s="27" t="s">
        <v>913</v>
      </c>
      <c r="W75" s="1">
        <v>1</v>
      </c>
      <c r="X75" s="28">
        <v>2.5</v>
      </c>
      <c r="Y75" s="29">
        <v>0.3</v>
      </c>
      <c r="Z75" s="29">
        <v>0.7</v>
      </c>
      <c r="AA75" s="26"/>
      <c r="AB75" s="26"/>
      <c r="AC75" s="27" t="s">
        <v>901</v>
      </c>
      <c r="AD75" t="s">
        <v>608</v>
      </c>
      <c r="AE75">
        <v>1</v>
      </c>
      <c r="AF75" t="s">
        <v>279</v>
      </c>
      <c r="AG75" t="s">
        <v>902</v>
      </c>
      <c r="AH75" t="s">
        <v>903</v>
      </c>
      <c r="AJ75" s="15"/>
      <c r="AK75" t="s">
        <v>904</v>
      </c>
    </row>
    <row r="76" spans="1:37" ht="15" hidden="1" customHeight="1" x14ac:dyDescent="0.25">
      <c r="A76" s="8">
        <v>75</v>
      </c>
      <c r="B76" s="21">
        <v>25409</v>
      </c>
      <c r="C76" s="22"/>
      <c r="D76" s="21">
        <v>455</v>
      </c>
      <c r="E76" s="21">
        <v>45501</v>
      </c>
      <c r="F76" s="21">
        <v>45501</v>
      </c>
      <c r="G76" s="23" t="s">
        <v>481</v>
      </c>
      <c r="H76" s="23" t="s">
        <v>61</v>
      </c>
      <c r="I76" s="23" t="s">
        <v>894</v>
      </c>
      <c r="J76" s="23" t="s">
        <v>279</v>
      </c>
      <c r="K76" s="23" t="s">
        <v>279</v>
      </c>
      <c r="L76" s="23" t="s">
        <v>925</v>
      </c>
      <c r="M76" s="23" t="s">
        <v>279</v>
      </c>
      <c r="N76" s="23" t="s">
        <v>925</v>
      </c>
      <c r="O76" s="23" t="s">
        <v>601</v>
      </c>
      <c r="P76" s="23" t="s">
        <v>896</v>
      </c>
      <c r="Q76" s="23" t="s">
        <v>897</v>
      </c>
      <c r="R76" s="21">
        <v>30489</v>
      </c>
      <c r="S76" s="23" t="s">
        <v>957</v>
      </c>
      <c r="T76" s="23" t="s">
        <v>912</v>
      </c>
      <c r="U76" s="21">
        <v>10</v>
      </c>
      <c r="V76" s="23" t="s">
        <v>913</v>
      </c>
      <c r="W76" s="21">
        <v>1</v>
      </c>
      <c r="X76" s="24">
        <v>2.5</v>
      </c>
      <c r="Y76" s="25">
        <v>0.3</v>
      </c>
      <c r="Z76" s="25">
        <v>0.7</v>
      </c>
      <c r="AA76" s="22"/>
      <c r="AB76" s="22"/>
      <c r="AC76" s="23" t="s">
        <v>901</v>
      </c>
      <c r="AD76" s="17" t="s">
        <v>615</v>
      </c>
      <c r="AE76" s="17">
        <v>1</v>
      </c>
      <c r="AF76" s="17" t="s">
        <v>279</v>
      </c>
      <c r="AG76" s="17" t="s">
        <v>902</v>
      </c>
      <c r="AH76" t="s">
        <v>903</v>
      </c>
      <c r="AJ76" s="15"/>
      <c r="AK76" t="s">
        <v>904</v>
      </c>
    </row>
    <row r="77" spans="1:37" ht="15" hidden="1" customHeight="1" x14ac:dyDescent="0.25">
      <c r="A77" s="1">
        <v>76</v>
      </c>
      <c r="B77" s="1">
        <v>25410</v>
      </c>
      <c r="C77" s="26"/>
      <c r="D77" s="1">
        <v>454</v>
      </c>
      <c r="E77" s="1">
        <v>45401</v>
      </c>
      <c r="F77" s="1">
        <v>45401</v>
      </c>
      <c r="G77" s="27" t="s">
        <v>481</v>
      </c>
      <c r="H77" s="27" t="s">
        <v>61</v>
      </c>
      <c r="I77" s="27" t="s">
        <v>894</v>
      </c>
      <c r="J77" s="27" t="s">
        <v>279</v>
      </c>
      <c r="K77" s="27" t="s">
        <v>279</v>
      </c>
      <c r="L77" s="27" t="s">
        <v>925</v>
      </c>
      <c r="M77" s="27" t="s">
        <v>279</v>
      </c>
      <c r="N77" s="27" t="s">
        <v>925</v>
      </c>
      <c r="O77" s="27" t="s">
        <v>601</v>
      </c>
      <c r="P77" s="27" t="s">
        <v>896</v>
      </c>
      <c r="Q77" s="27" t="s">
        <v>897</v>
      </c>
      <c r="R77" s="1">
        <v>30487</v>
      </c>
      <c r="S77" s="27" t="s">
        <v>967</v>
      </c>
      <c r="T77" s="27" t="s">
        <v>912</v>
      </c>
      <c r="U77" s="1">
        <v>10</v>
      </c>
      <c r="V77" s="27" t="s">
        <v>913</v>
      </c>
      <c r="W77" s="1">
        <v>1</v>
      </c>
      <c r="X77" s="28">
        <v>2.5</v>
      </c>
      <c r="Y77" s="29">
        <v>0.3</v>
      </c>
      <c r="Z77" s="29">
        <v>0.7</v>
      </c>
      <c r="AA77" s="26"/>
      <c r="AB77" s="26"/>
      <c r="AC77" s="27" t="s">
        <v>901</v>
      </c>
      <c r="AD77" t="s">
        <v>626</v>
      </c>
      <c r="AE77">
        <v>1</v>
      </c>
      <c r="AF77" t="s">
        <v>279</v>
      </c>
      <c r="AG77" t="s">
        <v>902</v>
      </c>
      <c r="AH77" t="s">
        <v>903</v>
      </c>
      <c r="AJ77" s="15"/>
      <c r="AK77" t="s">
        <v>904</v>
      </c>
    </row>
    <row r="78" spans="1:37" ht="15" hidden="1" customHeight="1" x14ac:dyDescent="0.25">
      <c r="A78" s="1">
        <v>77</v>
      </c>
      <c r="B78" s="21">
        <v>25414</v>
      </c>
      <c r="C78" s="22"/>
      <c r="D78" s="21">
        <v>309</v>
      </c>
      <c r="E78" s="21">
        <v>30902</v>
      </c>
      <c r="F78" s="21">
        <v>30902</v>
      </c>
      <c r="G78" s="23" t="s">
        <v>481</v>
      </c>
      <c r="H78" s="23" t="s">
        <v>61</v>
      </c>
      <c r="I78" s="23" t="s">
        <v>894</v>
      </c>
      <c r="J78" s="23" t="s">
        <v>279</v>
      </c>
      <c r="K78" s="23" t="s">
        <v>279</v>
      </c>
      <c r="L78" s="23" t="s">
        <v>925</v>
      </c>
      <c r="M78" s="23" t="s">
        <v>279</v>
      </c>
      <c r="N78" s="23" t="s">
        <v>925</v>
      </c>
      <c r="O78" s="23" t="s">
        <v>290</v>
      </c>
      <c r="P78" s="23" t="s">
        <v>896</v>
      </c>
      <c r="Q78" s="23" t="s">
        <v>897</v>
      </c>
      <c r="R78" s="21">
        <v>30719</v>
      </c>
      <c r="S78" s="23" t="s">
        <v>968</v>
      </c>
      <c r="T78" s="23" t="s">
        <v>928</v>
      </c>
      <c r="U78" s="21">
        <v>8</v>
      </c>
      <c r="V78" s="23" t="s">
        <v>913</v>
      </c>
      <c r="W78" s="21">
        <v>1</v>
      </c>
      <c r="X78" s="24">
        <v>1.5</v>
      </c>
      <c r="Y78" s="25">
        <v>0.3</v>
      </c>
      <c r="Z78" s="25">
        <v>0.7</v>
      </c>
      <c r="AA78" s="22"/>
      <c r="AB78" s="22"/>
      <c r="AC78" s="23" t="s">
        <v>901</v>
      </c>
      <c r="AD78" s="17" t="s">
        <v>556</v>
      </c>
      <c r="AE78" s="17">
        <v>1</v>
      </c>
      <c r="AF78" s="17" t="s">
        <v>279</v>
      </c>
      <c r="AG78" s="17" t="s">
        <v>902</v>
      </c>
      <c r="AH78" t="s">
        <v>903</v>
      </c>
      <c r="AJ78" s="15"/>
      <c r="AK78" t="s">
        <v>904</v>
      </c>
    </row>
    <row r="79" spans="1:37" ht="15" hidden="1" customHeight="1" x14ac:dyDescent="0.25">
      <c r="A79" s="8">
        <v>78</v>
      </c>
      <c r="B79" s="1">
        <v>25415</v>
      </c>
      <c r="C79" s="26"/>
      <c r="D79" s="1">
        <v>309</v>
      </c>
      <c r="E79" s="1">
        <v>30901</v>
      </c>
      <c r="F79" s="1">
        <v>30901</v>
      </c>
      <c r="G79" s="27" t="s">
        <v>481</v>
      </c>
      <c r="H79" s="27" t="s">
        <v>61</v>
      </c>
      <c r="I79" s="27" t="s">
        <v>894</v>
      </c>
      <c r="J79" s="27" t="s">
        <v>279</v>
      </c>
      <c r="K79" s="27" t="s">
        <v>279</v>
      </c>
      <c r="L79" s="27" t="s">
        <v>925</v>
      </c>
      <c r="M79" s="27" t="s">
        <v>279</v>
      </c>
      <c r="N79" s="27" t="s">
        <v>925</v>
      </c>
      <c r="O79" s="27" t="s">
        <v>290</v>
      </c>
      <c r="P79" s="27" t="s">
        <v>896</v>
      </c>
      <c r="Q79" s="27" t="s">
        <v>897</v>
      </c>
      <c r="R79" s="1">
        <v>30720</v>
      </c>
      <c r="S79" s="27" t="s">
        <v>968</v>
      </c>
      <c r="T79" s="27" t="s">
        <v>912</v>
      </c>
      <c r="U79" s="1">
        <v>10</v>
      </c>
      <c r="V79" s="27" t="s">
        <v>913</v>
      </c>
      <c r="W79" s="1">
        <v>1</v>
      </c>
      <c r="X79" s="28">
        <v>2.5</v>
      </c>
      <c r="Y79" s="29">
        <v>0.3</v>
      </c>
      <c r="Z79" s="29">
        <v>0.7</v>
      </c>
      <c r="AA79" s="30"/>
      <c r="AB79" s="30"/>
      <c r="AC79" s="27" t="s">
        <v>901</v>
      </c>
      <c r="AD79" t="s">
        <v>556</v>
      </c>
      <c r="AE79">
        <v>1</v>
      </c>
      <c r="AF79" t="s">
        <v>279</v>
      </c>
      <c r="AG79" t="s">
        <v>902</v>
      </c>
      <c r="AH79" t="s">
        <v>903</v>
      </c>
      <c r="AJ79" s="15"/>
      <c r="AK79" t="s">
        <v>904</v>
      </c>
    </row>
    <row r="80" spans="1:37" ht="15" hidden="1" customHeight="1" x14ac:dyDescent="0.25">
      <c r="A80" s="1">
        <v>79</v>
      </c>
      <c r="B80" s="21">
        <v>25417</v>
      </c>
      <c r="C80" s="22"/>
      <c r="D80" s="21">
        <v>304</v>
      </c>
      <c r="E80" s="21">
        <v>30401</v>
      </c>
      <c r="F80" s="21">
        <v>30401</v>
      </c>
      <c r="G80" s="23" t="s">
        <v>481</v>
      </c>
      <c r="H80" s="23" t="s">
        <v>61</v>
      </c>
      <c r="I80" s="23" t="s">
        <v>894</v>
      </c>
      <c r="J80" s="23" t="s">
        <v>279</v>
      </c>
      <c r="K80" s="23" t="s">
        <v>279</v>
      </c>
      <c r="L80" s="23" t="s">
        <v>925</v>
      </c>
      <c r="M80" s="23" t="s">
        <v>279</v>
      </c>
      <c r="N80" s="23" t="s">
        <v>925</v>
      </c>
      <c r="O80" s="23" t="s">
        <v>290</v>
      </c>
      <c r="P80" s="23" t="s">
        <v>896</v>
      </c>
      <c r="Q80" s="23" t="s">
        <v>897</v>
      </c>
      <c r="R80" s="21">
        <v>30721</v>
      </c>
      <c r="S80" s="23" t="s">
        <v>969</v>
      </c>
      <c r="T80" s="23" t="s">
        <v>912</v>
      </c>
      <c r="U80" s="21">
        <v>10</v>
      </c>
      <c r="V80" s="23" t="s">
        <v>913</v>
      </c>
      <c r="W80" s="21">
        <v>1</v>
      </c>
      <c r="X80" s="24">
        <v>2.5</v>
      </c>
      <c r="Y80" s="25">
        <v>0.3</v>
      </c>
      <c r="Z80" s="25">
        <v>0.7</v>
      </c>
      <c r="AA80" s="31"/>
      <c r="AB80" s="31"/>
      <c r="AC80" s="23" t="s">
        <v>901</v>
      </c>
      <c r="AD80" s="17" t="s">
        <v>548</v>
      </c>
      <c r="AE80" s="17">
        <v>1</v>
      </c>
      <c r="AF80" s="17" t="s">
        <v>279</v>
      </c>
      <c r="AG80" s="17" t="s">
        <v>902</v>
      </c>
      <c r="AH80" t="s">
        <v>903</v>
      </c>
      <c r="AJ80" s="15"/>
      <c r="AK80" t="s">
        <v>904</v>
      </c>
    </row>
    <row r="81" spans="1:37" ht="15" hidden="1" customHeight="1" x14ac:dyDescent="0.25">
      <c r="A81" s="1">
        <v>80</v>
      </c>
      <c r="B81" s="1">
        <v>25419</v>
      </c>
      <c r="C81" s="26"/>
      <c r="D81" s="1">
        <v>304</v>
      </c>
      <c r="E81" s="1">
        <v>30402</v>
      </c>
      <c r="F81" s="1">
        <v>30402</v>
      </c>
      <c r="G81" s="27" t="s">
        <v>481</v>
      </c>
      <c r="H81" s="27" t="s">
        <v>61</v>
      </c>
      <c r="I81" s="27" t="s">
        <v>894</v>
      </c>
      <c r="J81" s="27" t="s">
        <v>279</v>
      </c>
      <c r="K81" s="27" t="s">
        <v>279</v>
      </c>
      <c r="L81" s="27" t="s">
        <v>925</v>
      </c>
      <c r="M81" s="27" t="s">
        <v>279</v>
      </c>
      <c r="N81" s="27" t="s">
        <v>925</v>
      </c>
      <c r="O81" s="27" t="s">
        <v>290</v>
      </c>
      <c r="P81" s="27" t="s">
        <v>896</v>
      </c>
      <c r="Q81" s="27" t="s">
        <v>897</v>
      </c>
      <c r="R81" s="1">
        <v>30722</v>
      </c>
      <c r="S81" s="27" t="s">
        <v>969</v>
      </c>
      <c r="T81" s="27" t="s">
        <v>928</v>
      </c>
      <c r="U81" s="1">
        <v>8</v>
      </c>
      <c r="V81" s="27" t="s">
        <v>913</v>
      </c>
      <c r="W81" s="1">
        <v>1</v>
      </c>
      <c r="X81" s="28">
        <v>1.5</v>
      </c>
      <c r="Y81" s="29">
        <v>0.3</v>
      </c>
      <c r="Z81" s="29">
        <v>0.7</v>
      </c>
      <c r="AA81" s="30"/>
      <c r="AB81" s="30"/>
      <c r="AC81" s="27" t="s">
        <v>901</v>
      </c>
      <c r="AD81" t="s">
        <v>548</v>
      </c>
      <c r="AE81">
        <v>1</v>
      </c>
      <c r="AF81" t="s">
        <v>279</v>
      </c>
      <c r="AG81" t="s">
        <v>902</v>
      </c>
      <c r="AH81" t="s">
        <v>903</v>
      </c>
      <c r="AJ81" s="15"/>
      <c r="AK81" t="s">
        <v>904</v>
      </c>
    </row>
    <row r="82" spans="1:37" ht="15" hidden="1" customHeight="1" x14ac:dyDescent="0.25">
      <c r="A82" s="8">
        <v>81</v>
      </c>
      <c r="B82" s="21">
        <v>25422</v>
      </c>
      <c r="C82" s="22"/>
      <c r="D82" s="21">
        <v>254</v>
      </c>
      <c r="E82" s="21">
        <v>25402</v>
      </c>
      <c r="F82" s="21">
        <v>25402</v>
      </c>
      <c r="G82" s="23" t="s">
        <v>750</v>
      </c>
      <c r="H82" s="23" t="s">
        <v>747</v>
      </c>
      <c r="I82" s="23" t="s">
        <v>894</v>
      </c>
      <c r="J82" s="23" t="s">
        <v>280</v>
      </c>
      <c r="K82" s="23" t="s">
        <v>280</v>
      </c>
      <c r="L82" s="23" t="s">
        <v>901</v>
      </c>
      <c r="M82" s="23" t="s">
        <v>280</v>
      </c>
      <c r="N82" s="23" t="s">
        <v>901</v>
      </c>
      <c r="O82" s="23" t="s">
        <v>305</v>
      </c>
      <c r="P82" s="23" t="s">
        <v>896</v>
      </c>
      <c r="Q82" s="23" t="s">
        <v>897</v>
      </c>
      <c r="R82" s="21">
        <v>30723</v>
      </c>
      <c r="S82" s="23" t="s">
        <v>970</v>
      </c>
      <c r="T82" s="23" t="s">
        <v>971</v>
      </c>
      <c r="U82" s="21">
        <v>56</v>
      </c>
      <c r="V82" s="23" t="s">
        <v>913</v>
      </c>
      <c r="W82" s="21">
        <v>1</v>
      </c>
      <c r="X82" s="24">
        <v>1.99</v>
      </c>
      <c r="Y82" s="25">
        <v>0.26910000000000001</v>
      </c>
      <c r="Z82" s="25">
        <v>0.24909999999999999</v>
      </c>
      <c r="AA82" s="25">
        <v>0.3518</v>
      </c>
      <c r="AB82" s="25">
        <v>0.13</v>
      </c>
      <c r="AC82" s="23" t="s">
        <v>972</v>
      </c>
      <c r="AD82" s="17" t="s">
        <v>749</v>
      </c>
      <c r="AE82" s="17">
        <v>1</v>
      </c>
      <c r="AF82" s="17" t="s">
        <v>280</v>
      </c>
      <c r="AG82" s="17" t="s">
        <v>902</v>
      </c>
      <c r="AH82" t="s">
        <v>903</v>
      </c>
      <c r="AJ82" s="15"/>
      <c r="AK82" t="s">
        <v>908</v>
      </c>
    </row>
    <row r="83" spans="1:37" ht="15" hidden="1" customHeight="1" x14ac:dyDescent="0.25">
      <c r="A83" s="1">
        <v>82</v>
      </c>
      <c r="B83" s="1">
        <v>25424</v>
      </c>
      <c r="C83" s="26"/>
      <c r="D83" s="1">
        <v>254</v>
      </c>
      <c r="E83" s="1">
        <v>25403</v>
      </c>
      <c r="F83" s="1">
        <v>25403</v>
      </c>
      <c r="G83" s="27" t="s">
        <v>746</v>
      </c>
      <c r="H83" s="27" t="s">
        <v>743</v>
      </c>
      <c r="I83" s="27" t="s">
        <v>894</v>
      </c>
      <c r="J83" s="27" t="s">
        <v>280</v>
      </c>
      <c r="K83" s="27" t="s">
        <v>280</v>
      </c>
      <c r="L83" s="27" t="s">
        <v>901</v>
      </c>
      <c r="M83" s="27" t="s">
        <v>280</v>
      </c>
      <c r="N83" s="27" t="s">
        <v>901</v>
      </c>
      <c r="O83" s="27" t="s">
        <v>305</v>
      </c>
      <c r="P83" s="27" t="s">
        <v>896</v>
      </c>
      <c r="Q83" s="27" t="s">
        <v>897</v>
      </c>
      <c r="R83" s="1">
        <v>30724</v>
      </c>
      <c r="S83" s="27" t="s">
        <v>973</v>
      </c>
      <c r="T83" s="27" t="s">
        <v>971</v>
      </c>
      <c r="U83" s="1">
        <v>56</v>
      </c>
      <c r="V83" s="27" t="s">
        <v>913</v>
      </c>
      <c r="W83" s="1">
        <v>1</v>
      </c>
      <c r="X83" s="28">
        <v>1.99</v>
      </c>
      <c r="Y83" s="29">
        <v>0.24399999999999999</v>
      </c>
      <c r="Z83" s="29">
        <v>0.22399999999999998</v>
      </c>
      <c r="AA83" s="32">
        <v>0.40200000000000002</v>
      </c>
      <c r="AB83" s="32">
        <v>0.13</v>
      </c>
      <c r="AC83" s="27" t="s">
        <v>974</v>
      </c>
      <c r="AD83" t="s">
        <v>745</v>
      </c>
      <c r="AE83">
        <v>1</v>
      </c>
      <c r="AF83" t="s">
        <v>280</v>
      </c>
      <c r="AG83" t="s">
        <v>902</v>
      </c>
      <c r="AH83" t="s">
        <v>903</v>
      </c>
      <c r="AJ83" s="15"/>
      <c r="AK83" t="s">
        <v>908</v>
      </c>
    </row>
    <row r="84" spans="1:37" ht="15" hidden="1" customHeight="1" x14ac:dyDescent="0.25">
      <c r="A84" s="1">
        <v>83</v>
      </c>
      <c r="B84" s="21">
        <v>25428</v>
      </c>
      <c r="C84" s="22"/>
      <c r="D84" s="21">
        <v>254</v>
      </c>
      <c r="E84" s="21">
        <v>25404</v>
      </c>
      <c r="F84" s="21">
        <v>25404</v>
      </c>
      <c r="G84" s="23" t="s">
        <v>754</v>
      </c>
      <c r="H84" s="23" t="s">
        <v>751</v>
      </c>
      <c r="I84" s="23" t="s">
        <v>894</v>
      </c>
      <c r="J84" s="23" t="s">
        <v>280</v>
      </c>
      <c r="K84" s="23" t="s">
        <v>280</v>
      </c>
      <c r="L84" s="23" t="s">
        <v>901</v>
      </c>
      <c r="M84" s="23" t="s">
        <v>280</v>
      </c>
      <c r="N84" s="23" t="s">
        <v>901</v>
      </c>
      <c r="O84" s="23" t="s">
        <v>305</v>
      </c>
      <c r="P84" s="23" t="s">
        <v>896</v>
      </c>
      <c r="Q84" s="23" t="s">
        <v>897</v>
      </c>
      <c r="R84" s="21">
        <v>30726</v>
      </c>
      <c r="S84" s="23" t="s">
        <v>975</v>
      </c>
      <c r="T84" s="23" t="s">
        <v>971</v>
      </c>
      <c r="U84" s="21">
        <v>56</v>
      </c>
      <c r="V84" s="23" t="s">
        <v>913</v>
      </c>
      <c r="W84" s="21">
        <v>1</v>
      </c>
      <c r="X84" s="24">
        <v>1.99</v>
      </c>
      <c r="Y84" s="25">
        <v>0.25659999999999999</v>
      </c>
      <c r="Z84" s="25">
        <v>0.2366</v>
      </c>
      <c r="AA84" s="33">
        <v>0.37689999999999996</v>
      </c>
      <c r="AB84" s="33">
        <v>0.13</v>
      </c>
      <c r="AC84" s="23" t="s">
        <v>976</v>
      </c>
      <c r="AD84" s="17" t="s">
        <v>753</v>
      </c>
      <c r="AE84" s="17">
        <v>1</v>
      </c>
      <c r="AF84" s="17" t="s">
        <v>280</v>
      </c>
      <c r="AG84" s="17" t="s">
        <v>902</v>
      </c>
      <c r="AH84" t="s">
        <v>903</v>
      </c>
      <c r="AJ84" s="15"/>
      <c r="AK84" t="s">
        <v>908</v>
      </c>
    </row>
    <row r="85" spans="1:37" ht="15" hidden="1" customHeight="1" x14ac:dyDescent="0.25">
      <c r="A85" s="8">
        <v>84</v>
      </c>
      <c r="B85" s="1">
        <v>25432</v>
      </c>
      <c r="C85" s="26"/>
      <c r="D85" s="1">
        <v>254</v>
      </c>
      <c r="E85" s="1">
        <v>25405</v>
      </c>
      <c r="F85" s="1">
        <v>25405</v>
      </c>
      <c r="G85" s="27" t="s">
        <v>738</v>
      </c>
      <c r="H85" s="27" t="s">
        <v>735</v>
      </c>
      <c r="I85" s="27" t="s">
        <v>894</v>
      </c>
      <c r="J85" s="27" t="s">
        <v>280</v>
      </c>
      <c r="K85" s="27" t="s">
        <v>280</v>
      </c>
      <c r="L85" s="27" t="s">
        <v>901</v>
      </c>
      <c r="M85" s="27" t="s">
        <v>280</v>
      </c>
      <c r="N85" s="27" t="s">
        <v>901</v>
      </c>
      <c r="O85" s="27" t="s">
        <v>305</v>
      </c>
      <c r="P85" s="27" t="s">
        <v>896</v>
      </c>
      <c r="Q85" s="27" t="s">
        <v>897</v>
      </c>
      <c r="R85" s="1">
        <v>30728</v>
      </c>
      <c r="S85" s="27" t="s">
        <v>977</v>
      </c>
      <c r="T85" s="27" t="s">
        <v>971</v>
      </c>
      <c r="U85" s="1">
        <v>56</v>
      </c>
      <c r="V85" s="27" t="s">
        <v>913</v>
      </c>
      <c r="W85" s="1">
        <v>1</v>
      </c>
      <c r="X85" s="28">
        <v>1.99</v>
      </c>
      <c r="Y85" s="29">
        <v>0.245</v>
      </c>
      <c r="Z85" s="29">
        <v>0.22500000000000001</v>
      </c>
      <c r="AA85" s="32">
        <v>0.4</v>
      </c>
      <c r="AB85" s="32">
        <v>0.13</v>
      </c>
      <c r="AC85" s="27" t="s">
        <v>978</v>
      </c>
      <c r="AD85" t="s">
        <v>737</v>
      </c>
      <c r="AE85">
        <v>1</v>
      </c>
      <c r="AF85" t="s">
        <v>280</v>
      </c>
      <c r="AG85" t="s">
        <v>902</v>
      </c>
      <c r="AH85" t="s">
        <v>903</v>
      </c>
      <c r="AJ85" s="15"/>
      <c r="AK85" t="s">
        <v>908</v>
      </c>
    </row>
    <row r="86" spans="1:37" ht="15" hidden="1" customHeight="1" x14ac:dyDescent="0.25">
      <c r="A86" s="1">
        <v>85</v>
      </c>
      <c r="B86" s="21">
        <v>25437</v>
      </c>
      <c r="C86" s="22"/>
      <c r="D86" s="21">
        <v>305</v>
      </c>
      <c r="E86" s="21">
        <v>30501</v>
      </c>
      <c r="F86" s="21">
        <v>30501</v>
      </c>
      <c r="G86" s="23" t="s">
        <v>481</v>
      </c>
      <c r="H86" s="23" t="s">
        <v>61</v>
      </c>
      <c r="I86" s="23" t="s">
        <v>894</v>
      </c>
      <c r="J86" s="23" t="s">
        <v>279</v>
      </c>
      <c r="K86" s="23" t="s">
        <v>279</v>
      </c>
      <c r="L86" s="23" t="s">
        <v>925</v>
      </c>
      <c r="M86" s="23" t="s">
        <v>279</v>
      </c>
      <c r="N86" s="23" t="s">
        <v>925</v>
      </c>
      <c r="O86" s="23" t="s">
        <v>290</v>
      </c>
      <c r="P86" s="23" t="s">
        <v>896</v>
      </c>
      <c r="Q86" s="23" t="s">
        <v>897</v>
      </c>
      <c r="R86" s="21">
        <v>30730</v>
      </c>
      <c r="S86" s="23" t="s">
        <v>979</v>
      </c>
      <c r="T86" s="23" t="s">
        <v>912</v>
      </c>
      <c r="U86" s="21">
        <v>10</v>
      </c>
      <c r="V86" s="23" t="s">
        <v>913</v>
      </c>
      <c r="W86" s="21">
        <v>1</v>
      </c>
      <c r="X86" s="24">
        <v>2.5</v>
      </c>
      <c r="Y86" s="25">
        <v>0.3</v>
      </c>
      <c r="Z86" s="25">
        <v>0.7</v>
      </c>
      <c r="AA86" s="22"/>
      <c r="AB86" s="22"/>
      <c r="AC86" s="23" t="s">
        <v>901</v>
      </c>
      <c r="AD86" s="17" t="s">
        <v>550</v>
      </c>
      <c r="AE86" s="17">
        <v>1</v>
      </c>
      <c r="AF86" s="17" t="s">
        <v>279</v>
      </c>
      <c r="AG86" s="17" t="s">
        <v>902</v>
      </c>
      <c r="AH86" t="s">
        <v>903</v>
      </c>
      <c r="AJ86" s="15"/>
      <c r="AK86" t="s">
        <v>904</v>
      </c>
    </row>
    <row r="87" spans="1:37" ht="15" hidden="1" customHeight="1" x14ac:dyDescent="0.25">
      <c r="A87" s="1">
        <v>86</v>
      </c>
      <c r="B87" s="1">
        <v>25442</v>
      </c>
      <c r="C87" s="26"/>
      <c r="D87" s="1">
        <v>305</v>
      </c>
      <c r="E87" s="1">
        <v>30502</v>
      </c>
      <c r="F87" s="1">
        <v>30502</v>
      </c>
      <c r="G87" s="27" t="s">
        <v>481</v>
      </c>
      <c r="H87" s="27" t="s">
        <v>61</v>
      </c>
      <c r="I87" s="27" t="s">
        <v>894</v>
      </c>
      <c r="J87" s="27" t="s">
        <v>279</v>
      </c>
      <c r="K87" s="27" t="s">
        <v>279</v>
      </c>
      <c r="L87" s="27" t="s">
        <v>925</v>
      </c>
      <c r="M87" s="27" t="s">
        <v>279</v>
      </c>
      <c r="N87" s="27" t="s">
        <v>925</v>
      </c>
      <c r="O87" s="27" t="s">
        <v>290</v>
      </c>
      <c r="P87" s="27" t="s">
        <v>896</v>
      </c>
      <c r="Q87" s="27" t="s">
        <v>897</v>
      </c>
      <c r="R87" s="1">
        <v>30732</v>
      </c>
      <c r="S87" s="27" t="s">
        <v>979</v>
      </c>
      <c r="T87" s="27" t="s">
        <v>928</v>
      </c>
      <c r="U87" s="1">
        <v>8</v>
      </c>
      <c r="V87" s="27" t="s">
        <v>913</v>
      </c>
      <c r="W87" s="1">
        <v>1</v>
      </c>
      <c r="X87" s="28">
        <v>1.5</v>
      </c>
      <c r="Y87" s="29">
        <v>0.3</v>
      </c>
      <c r="Z87" s="29">
        <v>0.7</v>
      </c>
      <c r="AA87" s="26"/>
      <c r="AB87" s="26"/>
      <c r="AC87" s="27" t="s">
        <v>901</v>
      </c>
      <c r="AD87" t="s">
        <v>550</v>
      </c>
      <c r="AE87">
        <v>1</v>
      </c>
      <c r="AF87" t="s">
        <v>279</v>
      </c>
      <c r="AG87" t="s">
        <v>902</v>
      </c>
      <c r="AH87" t="s">
        <v>903</v>
      </c>
      <c r="AJ87" s="15"/>
      <c r="AK87" t="s">
        <v>904</v>
      </c>
    </row>
    <row r="88" spans="1:37" ht="15" hidden="1" customHeight="1" x14ac:dyDescent="0.25">
      <c r="A88" s="8">
        <v>87</v>
      </c>
      <c r="B88" s="21">
        <v>25452</v>
      </c>
      <c r="C88" s="22"/>
      <c r="D88" s="21">
        <v>466</v>
      </c>
      <c r="E88" s="21">
        <v>46602</v>
      </c>
      <c r="F88" s="21">
        <v>46602</v>
      </c>
      <c r="G88" s="23" t="s">
        <v>653</v>
      </c>
      <c r="H88" s="23" t="s">
        <v>652</v>
      </c>
      <c r="I88" s="23" t="s">
        <v>894</v>
      </c>
      <c r="J88" s="23" t="s">
        <v>280</v>
      </c>
      <c r="K88" s="23" t="s">
        <v>280</v>
      </c>
      <c r="L88" s="23" t="s">
        <v>901</v>
      </c>
      <c r="M88" s="23" t="s">
        <v>280</v>
      </c>
      <c r="N88" s="23" t="s">
        <v>901</v>
      </c>
      <c r="O88" s="23" t="s">
        <v>305</v>
      </c>
      <c r="P88" s="23" t="s">
        <v>896</v>
      </c>
      <c r="Q88" s="23" t="s">
        <v>897</v>
      </c>
      <c r="R88" s="21">
        <v>30738</v>
      </c>
      <c r="S88" s="23" t="s">
        <v>980</v>
      </c>
      <c r="T88" s="23" t="s">
        <v>906</v>
      </c>
      <c r="U88" s="21">
        <v>9</v>
      </c>
      <c r="V88" s="23" t="s">
        <v>913</v>
      </c>
      <c r="W88" s="21">
        <v>1</v>
      </c>
      <c r="X88" s="24">
        <v>2</v>
      </c>
      <c r="Y88" s="25">
        <v>0.6</v>
      </c>
      <c r="Z88" s="25">
        <v>0.4</v>
      </c>
      <c r="AA88" s="22"/>
      <c r="AB88" s="22"/>
      <c r="AC88" s="23" t="s">
        <v>901</v>
      </c>
      <c r="AD88" s="17" t="s">
        <v>652</v>
      </c>
      <c r="AE88" s="17">
        <v>1</v>
      </c>
      <c r="AF88" s="17" t="s">
        <v>280</v>
      </c>
      <c r="AG88" s="17" t="s">
        <v>902</v>
      </c>
      <c r="AH88" t="s">
        <v>903</v>
      </c>
      <c r="AJ88" s="15"/>
      <c r="AK88" t="s">
        <v>908</v>
      </c>
    </row>
    <row r="89" spans="1:37" ht="15" hidden="1" customHeight="1" x14ac:dyDescent="0.25">
      <c r="A89" s="1">
        <v>88</v>
      </c>
      <c r="B89" s="1">
        <v>25454</v>
      </c>
      <c r="C89" s="26"/>
      <c r="D89" s="1">
        <v>306</v>
      </c>
      <c r="E89" s="1">
        <v>30601</v>
      </c>
      <c r="F89" s="1">
        <v>30601</v>
      </c>
      <c r="G89" s="27" t="s">
        <v>481</v>
      </c>
      <c r="H89" s="27" t="s">
        <v>61</v>
      </c>
      <c r="I89" s="27" t="s">
        <v>894</v>
      </c>
      <c r="J89" s="27" t="s">
        <v>279</v>
      </c>
      <c r="K89" s="27" t="s">
        <v>279</v>
      </c>
      <c r="L89" s="27" t="s">
        <v>925</v>
      </c>
      <c r="M89" s="27" t="s">
        <v>279</v>
      </c>
      <c r="N89" s="27" t="s">
        <v>925</v>
      </c>
      <c r="O89" s="27" t="s">
        <v>290</v>
      </c>
      <c r="P89" s="27" t="s">
        <v>896</v>
      </c>
      <c r="Q89" s="27" t="s">
        <v>897</v>
      </c>
      <c r="R89" s="1">
        <v>30739</v>
      </c>
      <c r="S89" s="27" t="s">
        <v>981</v>
      </c>
      <c r="T89" s="27" t="s">
        <v>912</v>
      </c>
      <c r="U89" s="1">
        <v>10</v>
      </c>
      <c r="V89" s="27" t="s">
        <v>913</v>
      </c>
      <c r="W89" s="1">
        <v>1</v>
      </c>
      <c r="X89" s="28">
        <v>2.5</v>
      </c>
      <c r="Y89" s="29">
        <v>0.3</v>
      </c>
      <c r="Z89" s="29">
        <v>0.7</v>
      </c>
      <c r="AA89" s="26"/>
      <c r="AB89" s="26"/>
      <c r="AC89" s="27" t="s">
        <v>901</v>
      </c>
      <c r="AD89" t="s">
        <v>551</v>
      </c>
      <c r="AE89">
        <v>1</v>
      </c>
      <c r="AF89" t="s">
        <v>279</v>
      </c>
      <c r="AG89" t="s">
        <v>902</v>
      </c>
      <c r="AH89" t="s">
        <v>903</v>
      </c>
      <c r="AJ89" s="15"/>
      <c r="AK89" t="s">
        <v>904</v>
      </c>
    </row>
    <row r="90" spans="1:37" ht="15" hidden="1" customHeight="1" x14ac:dyDescent="0.25">
      <c r="A90" s="1">
        <v>89</v>
      </c>
      <c r="B90" s="21">
        <v>25456</v>
      </c>
      <c r="C90" s="22"/>
      <c r="D90" s="21">
        <v>306</v>
      </c>
      <c r="E90" s="21">
        <v>30602</v>
      </c>
      <c r="F90" s="21">
        <v>30602</v>
      </c>
      <c r="G90" s="23" t="s">
        <v>481</v>
      </c>
      <c r="H90" s="23" t="s">
        <v>61</v>
      </c>
      <c r="I90" s="23" t="s">
        <v>894</v>
      </c>
      <c r="J90" s="23" t="s">
        <v>279</v>
      </c>
      <c r="K90" s="23" t="s">
        <v>279</v>
      </c>
      <c r="L90" s="23" t="s">
        <v>925</v>
      </c>
      <c r="M90" s="23" t="s">
        <v>279</v>
      </c>
      <c r="N90" s="23" t="s">
        <v>925</v>
      </c>
      <c r="O90" s="23" t="s">
        <v>290</v>
      </c>
      <c r="P90" s="23" t="s">
        <v>896</v>
      </c>
      <c r="Q90" s="23" t="s">
        <v>897</v>
      </c>
      <c r="R90" s="21">
        <v>30744</v>
      </c>
      <c r="S90" s="23" t="s">
        <v>981</v>
      </c>
      <c r="T90" s="23" t="s">
        <v>928</v>
      </c>
      <c r="U90" s="21">
        <v>8</v>
      </c>
      <c r="V90" s="23" t="s">
        <v>913</v>
      </c>
      <c r="W90" s="21">
        <v>1</v>
      </c>
      <c r="X90" s="24">
        <v>1.5</v>
      </c>
      <c r="Y90" s="25">
        <v>0.3</v>
      </c>
      <c r="Z90" s="25">
        <v>0.7</v>
      </c>
      <c r="AA90" s="22"/>
      <c r="AB90" s="22"/>
      <c r="AC90" s="23" t="s">
        <v>901</v>
      </c>
      <c r="AD90" s="17" t="s">
        <v>551</v>
      </c>
      <c r="AE90" s="17">
        <v>1</v>
      </c>
      <c r="AF90" s="17" t="s">
        <v>279</v>
      </c>
      <c r="AG90" s="17" t="s">
        <v>902</v>
      </c>
      <c r="AH90" t="s">
        <v>903</v>
      </c>
      <c r="AJ90" s="15"/>
      <c r="AK90" t="s">
        <v>904</v>
      </c>
    </row>
    <row r="91" spans="1:37" ht="15" hidden="1" customHeight="1" x14ac:dyDescent="0.25">
      <c r="A91" s="8">
        <v>90</v>
      </c>
      <c r="B91" s="1">
        <v>25458</v>
      </c>
      <c r="C91" s="26"/>
      <c r="D91" s="1">
        <v>307</v>
      </c>
      <c r="E91" s="1">
        <v>30701</v>
      </c>
      <c r="F91" s="1">
        <v>30701</v>
      </c>
      <c r="G91" s="27" t="s">
        <v>481</v>
      </c>
      <c r="H91" s="27" t="s">
        <v>61</v>
      </c>
      <c r="I91" s="27" t="s">
        <v>894</v>
      </c>
      <c r="J91" s="27" t="s">
        <v>279</v>
      </c>
      <c r="K91" s="27" t="s">
        <v>279</v>
      </c>
      <c r="L91" s="27" t="s">
        <v>925</v>
      </c>
      <c r="M91" s="27" t="s">
        <v>279</v>
      </c>
      <c r="N91" s="27" t="s">
        <v>925</v>
      </c>
      <c r="O91" s="27" t="s">
        <v>290</v>
      </c>
      <c r="P91" s="27" t="s">
        <v>896</v>
      </c>
      <c r="Q91" s="27" t="s">
        <v>897</v>
      </c>
      <c r="R91" s="1">
        <v>30745</v>
      </c>
      <c r="S91" s="27" t="s">
        <v>982</v>
      </c>
      <c r="T91" s="27" t="s">
        <v>912</v>
      </c>
      <c r="U91" s="1">
        <v>10</v>
      </c>
      <c r="V91" s="27" t="s">
        <v>913</v>
      </c>
      <c r="W91" s="1">
        <v>1</v>
      </c>
      <c r="X91" s="28">
        <v>2.5</v>
      </c>
      <c r="Y91" s="29">
        <v>0.3</v>
      </c>
      <c r="Z91" s="29">
        <v>0.7</v>
      </c>
      <c r="AA91" s="26"/>
      <c r="AB91" s="26"/>
      <c r="AC91" s="27" t="s">
        <v>901</v>
      </c>
      <c r="AD91" t="s">
        <v>554</v>
      </c>
      <c r="AE91">
        <v>1</v>
      </c>
      <c r="AF91" t="s">
        <v>279</v>
      </c>
      <c r="AG91" t="s">
        <v>902</v>
      </c>
      <c r="AH91" t="s">
        <v>903</v>
      </c>
      <c r="AJ91" s="15"/>
      <c r="AK91" t="s">
        <v>904</v>
      </c>
    </row>
    <row r="92" spans="1:37" ht="15" hidden="1" customHeight="1" x14ac:dyDescent="0.25">
      <c r="A92" s="1">
        <v>91</v>
      </c>
      <c r="B92" s="21">
        <v>25460</v>
      </c>
      <c r="C92" s="22"/>
      <c r="D92" s="21">
        <v>307</v>
      </c>
      <c r="E92" s="21">
        <v>30702</v>
      </c>
      <c r="F92" s="21">
        <v>30702</v>
      </c>
      <c r="G92" s="23" t="s">
        <v>481</v>
      </c>
      <c r="H92" s="23" t="s">
        <v>61</v>
      </c>
      <c r="I92" s="23" t="s">
        <v>894</v>
      </c>
      <c r="J92" s="23" t="s">
        <v>279</v>
      </c>
      <c r="K92" s="23" t="s">
        <v>279</v>
      </c>
      <c r="L92" s="23" t="s">
        <v>925</v>
      </c>
      <c r="M92" s="23" t="s">
        <v>279</v>
      </c>
      <c r="N92" s="23" t="s">
        <v>925</v>
      </c>
      <c r="O92" s="23" t="s">
        <v>290</v>
      </c>
      <c r="P92" s="23" t="s">
        <v>896</v>
      </c>
      <c r="Q92" s="23" t="s">
        <v>897</v>
      </c>
      <c r="R92" s="21">
        <v>30746</v>
      </c>
      <c r="S92" s="23" t="s">
        <v>982</v>
      </c>
      <c r="T92" s="23" t="s">
        <v>928</v>
      </c>
      <c r="U92" s="21">
        <v>8</v>
      </c>
      <c r="V92" s="23" t="s">
        <v>913</v>
      </c>
      <c r="W92" s="21">
        <v>1</v>
      </c>
      <c r="X92" s="24">
        <v>1.5</v>
      </c>
      <c r="Y92" s="25">
        <v>0.3</v>
      </c>
      <c r="Z92" s="25">
        <v>0.7</v>
      </c>
      <c r="AA92" s="22"/>
      <c r="AB92" s="22"/>
      <c r="AC92" s="23" t="s">
        <v>901</v>
      </c>
      <c r="AD92" s="17" t="s">
        <v>554</v>
      </c>
      <c r="AE92" s="17">
        <v>1</v>
      </c>
      <c r="AF92" s="17" t="s">
        <v>279</v>
      </c>
      <c r="AG92" s="17" t="s">
        <v>902</v>
      </c>
      <c r="AH92" t="s">
        <v>903</v>
      </c>
      <c r="AJ92" s="15"/>
      <c r="AK92" t="s">
        <v>904</v>
      </c>
    </row>
    <row r="93" spans="1:37" ht="15" hidden="1" customHeight="1" x14ac:dyDescent="0.25">
      <c r="A93" s="1">
        <v>92</v>
      </c>
      <c r="B93" s="1">
        <v>25462</v>
      </c>
      <c r="C93" s="26"/>
      <c r="D93" s="1">
        <v>308</v>
      </c>
      <c r="E93" s="1">
        <v>30801</v>
      </c>
      <c r="F93" s="1">
        <v>30801</v>
      </c>
      <c r="G93" s="27" t="s">
        <v>481</v>
      </c>
      <c r="H93" s="27" t="s">
        <v>61</v>
      </c>
      <c r="I93" s="27" t="s">
        <v>894</v>
      </c>
      <c r="J93" s="27" t="s">
        <v>279</v>
      </c>
      <c r="K93" s="27" t="s">
        <v>279</v>
      </c>
      <c r="L93" s="27" t="s">
        <v>925</v>
      </c>
      <c r="M93" s="27" t="s">
        <v>279</v>
      </c>
      <c r="N93" s="27" t="s">
        <v>925</v>
      </c>
      <c r="O93" s="27" t="s">
        <v>290</v>
      </c>
      <c r="P93" s="27" t="s">
        <v>896</v>
      </c>
      <c r="Q93" s="27" t="s">
        <v>897</v>
      </c>
      <c r="R93" s="1">
        <v>30747</v>
      </c>
      <c r="S93" s="27" t="s">
        <v>983</v>
      </c>
      <c r="T93" s="27" t="s">
        <v>912</v>
      </c>
      <c r="U93" s="1">
        <v>10</v>
      </c>
      <c r="V93" s="27" t="s">
        <v>913</v>
      </c>
      <c r="W93" s="1">
        <v>1</v>
      </c>
      <c r="X93" s="28">
        <v>2.5</v>
      </c>
      <c r="Y93" s="29">
        <v>0.3</v>
      </c>
      <c r="Z93" s="29">
        <v>0.7</v>
      </c>
      <c r="AA93" s="26"/>
      <c r="AB93" s="26"/>
      <c r="AC93" s="27" t="s">
        <v>901</v>
      </c>
      <c r="AD93" t="s">
        <v>555</v>
      </c>
      <c r="AE93">
        <v>1</v>
      </c>
      <c r="AF93" t="s">
        <v>279</v>
      </c>
      <c r="AG93" t="s">
        <v>902</v>
      </c>
      <c r="AH93" t="s">
        <v>903</v>
      </c>
      <c r="AJ93" s="15"/>
      <c r="AK93" t="s">
        <v>904</v>
      </c>
    </row>
    <row r="94" spans="1:37" ht="15" hidden="1" customHeight="1" x14ac:dyDescent="0.25">
      <c r="A94" s="8">
        <v>93</v>
      </c>
      <c r="B94" s="21">
        <v>25464</v>
      </c>
      <c r="C94" s="22"/>
      <c r="D94" s="21">
        <v>308</v>
      </c>
      <c r="E94" s="21">
        <v>30802</v>
      </c>
      <c r="F94" s="21">
        <v>30802</v>
      </c>
      <c r="G94" s="23" t="s">
        <v>481</v>
      </c>
      <c r="H94" s="23" t="s">
        <v>61</v>
      </c>
      <c r="I94" s="23" t="s">
        <v>894</v>
      </c>
      <c r="J94" s="23" t="s">
        <v>279</v>
      </c>
      <c r="K94" s="23" t="s">
        <v>279</v>
      </c>
      <c r="L94" s="23" t="s">
        <v>925</v>
      </c>
      <c r="M94" s="23" t="s">
        <v>279</v>
      </c>
      <c r="N94" s="23" t="s">
        <v>925</v>
      </c>
      <c r="O94" s="23" t="s">
        <v>290</v>
      </c>
      <c r="P94" s="23" t="s">
        <v>896</v>
      </c>
      <c r="Q94" s="23" t="s">
        <v>897</v>
      </c>
      <c r="R94" s="21">
        <v>30748</v>
      </c>
      <c r="S94" s="23" t="s">
        <v>983</v>
      </c>
      <c r="T94" s="23" t="s">
        <v>928</v>
      </c>
      <c r="U94" s="21">
        <v>8</v>
      </c>
      <c r="V94" s="23" t="s">
        <v>913</v>
      </c>
      <c r="W94" s="21">
        <v>1</v>
      </c>
      <c r="X94" s="24">
        <v>1.5</v>
      </c>
      <c r="Y94" s="25">
        <v>0.3</v>
      </c>
      <c r="Z94" s="25">
        <v>0.7</v>
      </c>
      <c r="AA94" s="22"/>
      <c r="AB94" s="22"/>
      <c r="AC94" s="23" t="s">
        <v>901</v>
      </c>
      <c r="AD94" s="17" t="s">
        <v>555</v>
      </c>
      <c r="AE94" s="17">
        <v>1</v>
      </c>
      <c r="AF94" s="17" t="s">
        <v>279</v>
      </c>
      <c r="AG94" s="17" t="s">
        <v>902</v>
      </c>
      <c r="AH94" t="s">
        <v>903</v>
      </c>
      <c r="AJ94" s="15"/>
      <c r="AK94" t="s">
        <v>904</v>
      </c>
    </row>
    <row r="95" spans="1:37" ht="15" hidden="1" customHeight="1" x14ac:dyDescent="0.25">
      <c r="A95" s="1">
        <v>94</v>
      </c>
      <c r="B95" s="1">
        <v>25609</v>
      </c>
      <c r="C95" s="26"/>
      <c r="D95" s="1">
        <v>364</v>
      </c>
      <c r="E95" s="1">
        <v>36401</v>
      </c>
      <c r="F95" s="1">
        <v>36401</v>
      </c>
      <c r="G95" s="27" t="s">
        <v>398</v>
      </c>
      <c r="H95" s="27" t="s">
        <v>397</v>
      </c>
      <c r="I95" s="27" t="s">
        <v>894</v>
      </c>
      <c r="J95" s="27" t="s">
        <v>256</v>
      </c>
      <c r="K95" s="27" t="s">
        <v>256</v>
      </c>
      <c r="L95" s="27" t="s">
        <v>901</v>
      </c>
      <c r="M95" s="27" t="s">
        <v>905</v>
      </c>
      <c r="N95" s="27" t="s">
        <v>256</v>
      </c>
      <c r="O95" s="27" t="s">
        <v>334</v>
      </c>
      <c r="P95" s="27" t="s">
        <v>896</v>
      </c>
      <c r="Q95" s="27" t="s">
        <v>897</v>
      </c>
      <c r="R95" s="1">
        <v>30468</v>
      </c>
      <c r="S95" s="27" t="s">
        <v>397</v>
      </c>
      <c r="T95" s="27" t="s">
        <v>929</v>
      </c>
      <c r="U95" s="1">
        <v>22</v>
      </c>
      <c r="V95" s="27" t="s">
        <v>907</v>
      </c>
      <c r="W95" s="1">
        <v>25</v>
      </c>
      <c r="X95" s="28">
        <v>4</v>
      </c>
      <c r="Y95" s="29">
        <v>0.4</v>
      </c>
      <c r="Z95" s="29">
        <v>0.6</v>
      </c>
      <c r="AA95" s="30"/>
      <c r="AB95" s="30"/>
      <c r="AC95" s="27" t="s">
        <v>901</v>
      </c>
      <c r="AD95" t="s">
        <v>399</v>
      </c>
      <c r="AE95">
        <v>1</v>
      </c>
      <c r="AF95" t="s">
        <v>43</v>
      </c>
      <c r="AG95" t="s">
        <v>902</v>
      </c>
      <c r="AH95" t="s">
        <v>903</v>
      </c>
      <c r="AJ95" s="15">
        <f>VLOOKUP(Tabla1[[#This Row],[CPC]],[1]Sheet3!$A:$D,4,0)</f>
        <v>0.40000000000000008</v>
      </c>
      <c r="AK95" t="s">
        <v>908</v>
      </c>
    </row>
    <row r="96" spans="1:37" ht="15" hidden="1" customHeight="1" x14ac:dyDescent="0.25">
      <c r="A96" s="1">
        <v>95</v>
      </c>
      <c r="B96" s="21">
        <v>25707</v>
      </c>
      <c r="C96" s="22"/>
      <c r="D96" s="21">
        <v>456</v>
      </c>
      <c r="E96" s="21">
        <v>45601</v>
      </c>
      <c r="F96" s="21">
        <v>45601</v>
      </c>
      <c r="G96" s="23" t="s">
        <v>481</v>
      </c>
      <c r="H96" s="23" t="s">
        <v>61</v>
      </c>
      <c r="I96" s="23" t="s">
        <v>894</v>
      </c>
      <c r="J96" s="23" t="s">
        <v>279</v>
      </c>
      <c r="K96" s="23" t="s">
        <v>279</v>
      </c>
      <c r="L96" s="23" t="s">
        <v>925</v>
      </c>
      <c r="M96" s="23" t="s">
        <v>279</v>
      </c>
      <c r="N96" s="23" t="s">
        <v>925</v>
      </c>
      <c r="O96" s="23" t="s">
        <v>601</v>
      </c>
      <c r="P96" s="23" t="s">
        <v>896</v>
      </c>
      <c r="Q96" s="23" t="s">
        <v>897</v>
      </c>
      <c r="R96" s="21">
        <v>30495</v>
      </c>
      <c r="S96" s="23" t="s">
        <v>944</v>
      </c>
      <c r="T96" s="23" t="s">
        <v>912</v>
      </c>
      <c r="U96" s="21">
        <v>10</v>
      </c>
      <c r="V96" s="23" t="s">
        <v>913</v>
      </c>
      <c r="W96" s="21">
        <v>1</v>
      </c>
      <c r="X96" s="24">
        <v>2.5</v>
      </c>
      <c r="Y96" s="25">
        <v>0.3</v>
      </c>
      <c r="Z96" s="25">
        <v>0.7</v>
      </c>
      <c r="AA96" s="22"/>
      <c r="AB96" s="22"/>
      <c r="AC96" s="23" t="s">
        <v>901</v>
      </c>
      <c r="AD96" s="17" t="s">
        <v>505</v>
      </c>
      <c r="AE96" s="17">
        <v>1</v>
      </c>
      <c r="AF96" s="17" t="s">
        <v>279</v>
      </c>
      <c r="AG96" s="17" t="s">
        <v>902</v>
      </c>
      <c r="AH96" t="s">
        <v>903</v>
      </c>
      <c r="AJ96" s="15"/>
      <c r="AK96" t="s">
        <v>904</v>
      </c>
    </row>
    <row r="97" spans="1:37" ht="15" hidden="1" customHeight="1" x14ac:dyDescent="0.25">
      <c r="A97" s="8">
        <v>96</v>
      </c>
      <c r="B97" s="1">
        <v>25712</v>
      </c>
      <c r="C97" s="26"/>
      <c r="D97" s="1">
        <v>280</v>
      </c>
      <c r="E97" s="1">
        <v>28001</v>
      </c>
      <c r="F97" s="1">
        <v>28001</v>
      </c>
      <c r="G97" s="27" t="s">
        <v>481</v>
      </c>
      <c r="H97" s="27" t="s">
        <v>61</v>
      </c>
      <c r="I97" s="27" t="s">
        <v>894</v>
      </c>
      <c r="J97" s="27" t="s">
        <v>279</v>
      </c>
      <c r="K97" s="27" t="s">
        <v>279</v>
      </c>
      <c r="L97" s="27" t="s">
        <v>925</v>
      </c>
      <c r="M97" s="27" t="s">
        <v>279</v>
      </c>
      <c r="N97" s="27" t="s">
        <v>925</v>
      </c>
      <c r="O97" s="27" t="s">
        <v>325</v>
      </c>
      <c r="P97" s="27" t="s">
        <v>896</v>
      </c>
      <c r="Q97" s="27" t="s">
        <v>897</v>
      </c>
      <c r="R97" s="1">
        <v>30906</v>
      </c>
      <c r="S97" s="27" t="s">
        <v>984</v>
      </c>
      <c r="T97" s="27" t="s">
        <v>912</v>
      </c>
      <c r="U97" s="1">
        <v>10</v>
      </c>
      <c r="V97" s="27" t="s">
        <v>913</v>
      </c>
      <c r="W97" s="1">
        <v>1</v>
      </c>
      <c r="X97" s="28">
        <v>2.5</v>
      </c>
      <c r="Y97" s="29">
        <v>0.3</v>
      </c>
      <c r="Z97" s="29">
        <v>0.7</v>
      </c>
      <c r="AA97" s="26"/>
      <c r="AB97" s="26"/>
      <c r="AC97" s="27" t="s">
        <v>901</v>
      </c>
      <c r="AD97" t="s">
        <v>511</v>
      </c>
      <c r="AE97">
        <v>1</v>
      </c>
      <c r="AF97" t="s">
        <v>279</v>
      </c>
      <c r="AG97" t="s">
        <v>902</v>
      </c>
      <c r="AH97" t="s">
        <v>903</v>
      </c>
      <c r="AJ97" s="15"/>
      <c r="AK97" t="s">
        <v>904</v>
      </c>
    </row>
    <row r="98" spans="1:37" ht="15" hidden="1" customHeight="1" x14ac:dyDescent="0.25">
      <c r="A98" s="1">
        <v>97</v>
      </c>
      <c r="B98" s="21">
        <v>25814</v>
      </c>
      <c r="C98" s="22"/>
      <c r="D98" s="21">
        <v>254</v>
      </c>
      <c r="E98" s="21">
        <v>25401</v>
      </c>
      <c r="F98" s="21">
        <v>25401</v>
      </c>
      <c r="G98" s="23" t="s">
        <v>760</v>
      </c>
      <c r="H98" s="23" t="s">
        <v>759</v>
      </c>
      <c r="I98" s="23" t="s">
        <v>894</v>
      </c>
      <c r="J98" s="23" t="s">
        <v>280</v>
      </c>
      <c r="K98" s="23" t="s">
        <v>280</v>
      </c>
      <c r="L98" s="23" t="s">
        <v>901</v>
      </c>
      <c r="M98" s="23" t="s">
        <v>280</v>
      </c>
      <c r="N98" s="23" t="s">
        <v>901</v>
      </c>
      <c r="O98" s="23" t="s">
        <v>305</v>
      </c>
      <c r="P98" s="23" t="s">
        <v>896</v>
      </c>
      <c r="Q98" s="23" t="s">
        <v>897</v>
      </c>
      <c r="R98" s="21">
        <v>31007</v>
      </c>
      <c r="S98" s="23" t="s">
        <v>985</v>
      </c>
      <c r="T98" s="23" t="s">
        <v>986</v>
      </c>
      <c r="U98" s="21">
        <v>60</v>
      </c>
      <c r="V98" s="27" t="s">
        <v>907</v>
      </c>
      <c r="W98" s="21">
        <v>25</v>
      </c>
      <c r="X98" s="24">
        <v>3.99</v>
      </c>
      <c r="Y98" s="25">
        <v>0.27500000000000002</v>
      </c>
      <c r="Z98" s="25">
        <v>0.19500000000000001</v>
      </c>
      <c r="AA98" s="33">
        <v>0.4</v>
      </c>
      <c r="AB98" s="33">
        <v>0.13</v>
      </c>
      <c r="AC98" s="23" t="s">
        <v>987</v>
      </c>
      <c r="AD98" s="17" t="s">
        <v>761</v>
      </c>
      <c r="AE98" s="17">
        <v>1</v>
      </c>
      <c r="AF98" s="17" t="s">
        <v>280</v>
      </c>
      <c r="AG98" s="17" t="s">
        <v>988</v>
      </c>
      <c r="AH98" t="s">
        <v>903</v>
      </c>
      <c r="AJ98" s="15">
        <f>VLOOKUP(Tabla1[[#This Row],[CPC]],[1]Sheet3!$A:$D,4,0)</f>
        <v>0.24358143541616309</v>
      </c>
      <c r="AK98" t="s">
        <v>908</v>
      </c>
    </row>
    <row r="99" spans="1:37" ht="15" hidden="1" customHeight="1" x14ac:dyDescent="0.25">
      <c r="A99" s="1">
        <v>98</v>
      </c>
      <c r="B99" s="1">
        <v>25828</v>
      </c>
      <c r="C99" s="26"/>
      <c r="D99" s="1">
        <v>365</v>
      </c>
      <c r="E99" s="1">
        <v>36501</v>
      </c>
      <c r="F99" s="1">
        <v>36501</v>
      </c>
      <c r="G99" s="27" t="s">
        <v>387</v>
      </c>
      <c r="H99" s="27" t="s">
        <v>386</v>
      </c>
      <c r="I99" s="27" t="s">
        <v>894</v>
      </c>
      <c r="J99" s="27" t="s">
        <v>256</v>
      </c>
      <c r="K99" s="27" t="s">
        <v>256</v>
      </c>
      <c r="L99" s="27" t="s">
        <v>901</v>
      </c>
      <c r="M99" s="27" t="s">
        <v>905</v>
      </c>
      <c r="N99" s="27" t="s">
        <v>256</v>
      </c>
      <c r="O99" s="27" t="s">
        <v>334</v>
      </c>
      <c r="P99" s="27" t="s">
        <v>896</v>
      </c>
      <c r="Q99" s="27" t="s">
        <v>897</v>
      </c>
      <c r="R99" s="1">
        <v>31009</v>
      </c>
      <c r="S99" s="27" t="s">
        <v>386</v>
      </c>
      <c r="T99" s="27" t="s">
        <v>915</v>
      </c>
      <c r="U99" s="1">
        <v>11</v>
      </c>
      <c r="V99" s="27" t="s">
        <v>907</v>
      </c>
      <c r="W99" s="1">
        <v>25</v>
      </c>
      <c r="X99" s="28">
        <v>3</v>
      </c>
      <c r="Y99" s="29">
        <v>0.4</v>
      </c>
      <c r="Z99" s="29">
        <v>0.6</v>
      </c>
      <c r="AA99" s="26"/>
      <c r="AB99" s="26"/>
      <c r="AC99" s="27" t="s">
        <v>901</v>
      </c>
      <c r="AD99" t="s">
        <v>388</v>
      </c>
      <c r="AE99">
        <v>1</v>
      </c>
      <c r="AF99" t="s">
        <v>43</v>
      </c>
      <c r="AG99" t="s">
        <v>902</v>
      </c>
      <c r="AH99" t="s">
        <v>903</v>
      </c>
      <c r="AJ99" s="15">
        <f>VLOOKUP(Tabla1[[#This Row],[CPC]],[1]Sheet3!$A:$D,4,0)</f>
        <v>0.40000000000000058</v>
      </c>
      <c r="AK99" t="s">
        <v>908</v>
      </c>
    </row>
    <row r="100" spans="1:37" ht="15" hidden="1" customHeight="1" x14ac:dyDescent="0.25">
      <c r="A100" s="8">
        <v>99</v>
      </c>
      <c r="B100" s="21">
        <v>25849</v>
      </c>
      <c r="C100" s="22"/>
      <c r="D100" s="21">
        <v>605</v>
      </c>
      <c r="E100" s="21">
        <v>60501</v>
      </c>
      <c r="F100" s="21">
        <v>60501</v>
      </c>
      <c r="G100" s="23" t="s">
        <v>468</v>
      </c>
      <c r="H100" s="23" t="s">
        <v>61</v>
      </c>
      <c r="I100" s="23" t="s">
        <v>894</v>
      </c>
      <c r="J100" s="23" t="s">
        <v>279</v>
      </c>
      <c r="K100" s="23" t="s">
        <v>279</v>
      </c>
      <c r="L100" s="23" t="s">
        <v>895</v>
      </c>
      <c r="M100" s="23" t="s">
        <v>279</v>
      </c>
      <c r="N100" s="23" t="s">
        <v>895</v>
      </c>
      <c r="O100" s="23" t="s">
        <v>594</v>
      </c>
      <c r="P100" s="23" t="s">
        <v>896</v>
      </c>
      <c r="Q100" s="23" t="s">
        <v>897</v>
      </c>
      <c r="R100" s="21">
        <v>31025</v>
      </c>
      <c r="S100" s="23" t="s">
        <v>989</v>
      </c>
      <c r="T100" s="23" t="s">
        <v>920</v>
      </c>
      <c r="U100" s="21">
        <v>20</v>
      </c>
      <c r="V100" s="27" t="s">
        <v>907</v>
      </c>
      <c r="W100" s="21">
        <v>25</v>
      </c>
      <c r="X100" s="24">
        <v>10</v>
      </c>
      <c r="Y100" s="25">
        <v>0.3</v>
      </c>
      <c r="Z100" s="25">
        <v>0.7</v>
      </c>
      <c r="AA100" s="22"/>
      <c r="AB100" s="22"/>
      <c r="AC100" s="23" t="s">
        <v>901</v>
      </c>
      <c r="AD100" s="17" t="s">
        <v>595</v>
      </c>
      <c r="AE100" s="17">
        <v>1</v>
      </c>
      <c r="AF100" s="17" t="s">
        <v>279</v>
      </c>
      <c r="AG100" s="17"/>
      <c r="AH100" t="s">
        <v>903</v>
      </c>
      <c r="AJ100" s="15"/>
      <c r="AK100" t="s">
        <v>908</v>
      </c>
    </row>
    <row r="101" spans="1:37" ht="15" hidden="1" customHeight="1" x14ac:dyDescent="0.25">
      <c r="A101" s="1">
        <v>100</v>
      </c>
      <c r="B101" s="1">
        <v>25855</v>
      </c>
      <c r="C101" s="26"/>
      <c r="D101" s="1">
        <v>606</v>
      </c>
      <c r="E101" s="1">
        <v>60601</v>
      </c>
      <c r="F101" s="1">
        <v>60601</v>
      </c>
      <c r="G101" s="27" t="s">
        <v>468</v>
      </c>
      <c r="H101" s="27" t="s">
        <v>61</v>
      </c>
      <c r="I101" s="27" t="s">
        <v>894</v>
      </c>
      <c r="J101" s="27" t="s">
        <v>279</v>
      </c>
      <c r="K101" s="27" t="s">
        <v>279</v>
      </c>
      <c r="L101" s="27" t="s">
        <v>895</v>
      </c>
      <c r="M101" s="27" t="s">
        <v>279</v>
      </c>
      <c r="N101" s="27" t="s">
        <v>895</v>
      </c>
      <c r="O101" s="27" t="s">
        <v>594</v>
      </c>
      <c r="P101" s="27" t="s">
        <v>909</v>
      </c>
      <c r="Q101" s="27" t="s">
        <v>897</v>
      </c>
      <c r="R101" s="1">
        <v>31044</v>
      </c>
      <c r="S101" s="27" t="s">
        <v>990</v>
      </c>
      <c r="T101" s="27" t="s">
        <v>920</v>
      </c>
      <c r="U101" s="1">
        <v>20</v>
      </c>
      <c r="V101" s="27" t="s">
        <v>907</v>
      </c>
      <c r="W101" s="1">
        <v>25</v>
      </c>
      <c r="X101" s="28">
        <v>10</v>
      </c>
      <c r="Y101" s="29">
        <v>0.3</v>
      </c>
      <c r="Z101" s="29">
        <v>0.7</v>
      </c>
      <c r="AA101" s="26"/>
      <c r="AB101" s="26"/>
      <c r="AC101" s="27" t="s">
        <v>901</v>
      </c>
      <c r="AD101" t="s">
        <v>596</v>
      </c>
      <c r="AE101">
        <v>1</v>
      </c>
      <c r="AF101" t="s">
        <v>279</v>
      </c>
      <c r="AH101" t="s">
        <v>903</v>
      </c>
      <c r="AJ101" s="15"/>
      <c r="AK101" t="s">
        <v>908</v>
      </c>
    </row>
    <row r="102" spans="1:37" ht="15" hidden="1" customHeight="1" x14ac:dyDescent="0.25">
      <c r="A102" s="1">
        <v>101</v>
      </c>
      <c r="B102" s="21">
        <v>25857</v>
      </c>
      <c r="C102" s="22"/>
      <c r="D102" s="21">
        <v>466</v>
      </c>
      <c r="E102" s="21">
        <v>46601</v>
      </c>
      <c r="F102" s="21">
        <v>46601</v>
      </c>
      <c r="G102" s="23" t="s">
        <v>648</v>
      </c>
      <c r="H102" s="23" t="s">
        <v>647</v>
      </c>
      <c r="I102" s="23" t="s">
        <v>894</v>
      </c>
      <c r="J102" s="23" t="s">
        <v>280</v>
      </c>
      <c r="K102" s="23" t="s">
        <v>280</v>
      </c>
      <c r="L102" s="23" t="s">
        <v>901</v>
      </c>
      <c r="M102" s="23" t="s">
        <v>280</v>
      </c>
      <c r="N102" s="23" t="s">
        <v>901</v>
      </c>
      <c r="O102" s="23" t="s">
        <v>305</v>
      </c>
      <c r="P102" s="23" t="s">
        <v>896</v>
      </c>
      <c r="Q102" s="23" t="s">
        <v>897</v>
      </c>
      <c r="R102" s="21">
        <v>31045</v>
      </c>
      <c r="S102" s="23" t="s">
        <v>980</v>
      </c>
      <c r="T102" s="23" t="s">
        <v>915</v>
      </c>
      <c r="U102" s="21">
        <v>11</v>
      </c>
      <c r="V102" s="27" t="s">
        <v>907</v>
      </c>
      <c r="W102" s="21">
        <v>25</v>
      </c>
      <c r="X102" s="24">
        <v>3</v>
      </c>
      <c r="Y102" s="25">
        <v>0.65</v>
      </c>
      <c r="Z102" s="25">
        <v>0.35</v>
      </c>
      <c r="AA102" s="22"/>
      <c r="AB102" s="22"/>
      <c r="AC102" s="23" t="s">
        <v>901</v>
      </c>
      <c r="AD102" s="17" t="s">
        <v>647</v>
      </c>
      <c r="AE102" s="17">
        <v>1</v>
      </c>
      <c r="AF102" s="17" t="s">
        <v>280</v>
      </c>
      <c r="AG102" s="17" t="s">
        <v>902</v>
      </c>
      <c r="AH102" t="s">
        <v>903</v>
      </c>
      <c r="AJ102" s="15">
        <f>VLOOKUP(Tabla1[[#This Row],[CPC]],[1]Sheet3!$A:$D,4,0)</f>
        <v>0.64999999999999991</v>
      </c>
      <c r="AK102" t="s">
        <v>908</v>
      </c>
    </row>
    <row r="103" spans="1:37" ht="15" hidden="1" customHeight="1" x14ac:dyDescent="0.25">
      <c r="A103" s="8">
        <v>102</v>
      </c>
      <c r="B103" s="1">
        <v>28347</v>
      </c>
      <c r="C103" s="26"/>
      <c r="D103" s="1">
        <v>358</v>
      </c>
      <c r="E103" s="1">
        <v>35801</v>
      </c>
      <c r="F103" s="1">
        <v>35801</v>
      </c>
      <c r="G103" s="27" t="s">
        <v>395</v>
      </c>
      <c r="H103" s="27" t="s">
        <v>394</v>
      </c>
      <c r="I103" s="27" t="s">
        <v>894</v>
      </c>
      <c r="J103" s="27" t="s">
        <v>256</v>
      </c>
      <c r="K103" s="27" t="s">
        <v>256</v>
      </c>
      <c r="L103" s="27" t="s">
        <v>901</v>
      </c>
      <c r="M103" s="27" t="s">
        <v>905</v>
      </c>
      <c r="N103" s="27" t="s">
        <v>256</v>
      </c>
      <c r="O103" s="27" t="s">
        <v>334</v>
      </c>
      <c r="P103" s="27" t="s">
        <v>896</v>
      </c>
      <c r="Q103" s="27" t="s">
        <v>897</v>
      </c>
      <c r="R103" s="1">
        <v>32026</v>
      </c>
      <c r="S103" s="27" t="s">
        <v>394</v>
      </c>
      <c r="T103" s="27" t="s">
        <v>906</v>
      </c>
      <c r="U103" s="1">
        <v>9</v>
      </c>
      <c r="V103" s="27" t="s">
        <v>913</v>
      </c>
      <c r="W103" s="1">
        <v>1</v>
      </c>
      <c r="X103" s="28">
        <v>2</v>
      </c>
      <c r="Y103" s="29">
        <v>0.4</v>
      </c>
      <c r="Z103" s="29">
        <v>0.6</v>
      </c>
      <c r="AA103" s="26"/>
      <c r="AB103" s="26"/>
      <c r="AC103" s="27" t="s">
        <v>901</v>
      </c>
      <c r="AD103" t="s">
        <v>396</v>
      </c>
      <c r="AE103">
        <v>1</v>
      </c>
      <c r="AF103" t="s">
        <v>43</v>
      </c>
      <c r="AG103" t="s">
        <v>902</v>
      </c>
      <c r="AH103" t="s">
        <v>903</v>
      </c>
      <c r="AJ103" s="15"/>
      <c r="AK103" t="s">
        <v>908</v>
      </c>
    </row>
    <row r="104" spans="1:37" ht="15" hidden="1" customHeight="1" x14ac:dyDescent="0.25">
      <c r="A104" s="1">
        <v>103</v>
      </c>
      <c r="B104" s="18">
        <v>28390</v>
      </c>
      <c r="C104" s="17"/>
      <c r="D104" s="18"/>
      <c r="E104" s="18"/>
      <c r="F104" s="18"/>
      <c r="G104" s="18" t="s">
        <v>601</v>
      </c>
      <c r="H104" s="18" t="s">
        <v>601</v>
      </c>
      <c r="I104" s="23" t="s">
        <v>894</v>
      </c>
      <c r="J104" s="18" t="s">
        <v>279</v>
      </c>
      <c r="K104" s="23" t="s">
        <v>279</v>
      </c>
      <c r="L104" s="18"/>
      <c r="M104" s="23" t="s">
        <v>905</v>
      </c>
      <c r="N104" s="18"/>
      <c r="O104" s="18" t="s">
        <v>601</v>
      </c>
      <c r="P104" s="23" t="s">
        <v>909</v>
      </c>
      <c r="Q104" s="23" t="s">
        <v>897</v>
      </c>
      <c r="R104" s="18"/>
      <c r="S104" s="18" t="s">
        <v>991</v>
      </c>
      <c r="T104" s="18"/>
      <c r="U104" s="18"/>
      <c r="V104" s="18" t="s">
        <v>900</v>
      </c>
      <c r="W104" s="18"/>
      <c r="X104" s="18"/>
      <c r="Y104" s="18"/>
      <c r="Z104" s="18"/>
      <c r="AA104" s="17"/>
      <c r="AB104" s="17"/>
      <c r="AC104" s="18"/>
      <c r="AD104" s="17" t="s">
        <v>643</v>
      </c>
      <c r="AE104" s="17">
        <v>4.25</v>
      </c>
      <c r="AF104" s="17" t="s">
        <v>279</v>
      </c>
      <c r="AG104" s="17"/>
      <c r="AH104" t="s">
        <v>903</v>
      </c>
      <c r="AJ104" s="15"/>
      <c r="AK104" t="s">
        <v>904</v>
      </c>
    </row>
    <row r="105" spans="1:37" ht="15" hidden="1" customHeight="1" x14ac:dyDescent="0.25">
      <c r="A105" s="1">
        <v>104</v>
      </c>
      <c r="B105" s="1">
        <v>28428</v>
      </c>
      <c r="C105" s="26"/>
      <c r="D105" s="1">
        <v>507</v>
      </c>
      <c r="E105" s="1">
        <v>50701</v>
      </c>
      <c r="F105" s="1">
        <v>50701</v>
      </c>
      <c r="G105" s="27" t="s">
        <v>62</v>
      </c>
      <c r="H105" s="27" t="s">
        <v>61</v>
      </c>
      <c r="I105" s="27" t="s">
        <v>894</v>
      </c>
      <c r="J105" s="27" t="s">
        <v>279</v>
      </c>
      <c r="K105" s="27" t="s">
        <v>279</v>
      </c>
      <c r="L105" s="27" t="s">
        <v>895</v>
      </c>
      <c r="M105" s="27" t="s">
        <v>279</v>
      </c>
      <c r="N105" s="27" t="s">
        <v>895</v>
      </c>
      <c r="O105" s="27" t="s">
        <v>601</v>
      </c>
      <c r="P105" s="27" t="s">
        <v>896</v>
      </c>
      <c r="Q105" s="27" t="s">
        <v>897</v>
      </c>
      <c r="R105" s="1">
        <v>32060</v>
      </c>
      <c r="S105" s="27" t="s">
        <v>992</v>
      </c>
      <c r="T105" s="27" t="s">
        <v>899</v>
      </c>
      <c r="U105" s="1">
        <v>58</v>
      </c>
      <c r="V105" s="27" t="s">
        <v>900</v>
      </c>
      <c r="W105" s="1">
        <v>908</v>
      </c>
      <c r="X105" s="28">
        <v>2.99</v>
      </c>
      <c r="Y105" s="29">
        <v>0.3</v>
      </c>
      <c r="Z105" s="29">
        <v>0.7</v>
      </c>
      <c r="AA105" s="26"/>
      <c r="AB105" s="26"/>
      <c r="AC105" s="27" t="s">
        <v>901</v>
      </c>
      <c r="AD105" t="s">
        <v>638</v>
      </c>
      <c r="AE105">
        <v>4.25</v>
      </c>
      <c r="AF105" t="s">
        <v>279</v>
      </c>
      <c r="AG105" t="s">
        <v>902</v>
      </c>
      <c r="AH105" t="s">
        <v>903</v>
      </c>
      <c r="AJ105" s="15">
        <f>VLOOKUP(Tabla1[[#This Row],[CPC]],[1]Sheet3!$A:$D,4,0)</f>
        <v>0.35000042521414138</v>
      </c>
      <c r="AK105" t="s">
        <v>904</v>
      </c>
    </row>
    <row r="106" spans="1:37" ht="15" hidden="1" customHeight="1" x14ac:dyDescent="0.25">
      <c r="A106" s="8">
        <v>105</v>
      </c>
      <c r="B106" s="21">
        <v>28488</v>
      </c>
      <c r="C106" s="22"/>
      <c r="D106" s="21">
        <v>298</v>
      </c>
      <c r="E106" s="21">
        <v>29801</v>
      </c>
      <c r="F106" s="21">
        <v>29801</v>
      </c>
      <c r="G106" s="23" t="s">
        <v>62</v>
      </c>
      <c r="H106" s="23" t="s">
        <v>61</v>
      </c>
      <c r="I106" s="23" t="s">
        <v>894</v>
      </c>
      <c r="J106" s="23" t="s">
        <v>279</v>
      </c>
      <c r="K106" s="23" t="s">
        <v>279</v>
      </c>
      <c r="L106" s="23" t="s">
        <v>895</v>
      </c>
      <c r="M106" s="23" t="s">
        <v>279</v>
      </c>
      <c r="N106" s="23" t="s">
        <v>895</v>
      </c>
      <c r="O106" s="23" t="s">
        <v>290</v>
      </c>
      <c r="P106" s="23" t="s">
        <v>896</v>
      </c>
      <c r="Q106" s="23" t="s">
        <v>897</v>
      </c>
      <c r="R106" s="21">
        <v>32084</v>
      </c>
      <c r="S106" s="23" t="s">
        <v>993</v>
      </c>
      <c r="T106" s="23" t="s">
        <v>906</v>
      </c>
      <c r="U106" s="21">
        <v>9</v>
      </c>
      <c r="V106" s="23" t="s">
        <v>900</v>
      </c>
      <c r="W106" s="21">
        <v>908</v>
      </c>
      <c r="X106" s="24">
        <v>2</v>
      </c>
      <c r="Y106" s="25">
        <v>0.3</v>
      </c>
      <c r="Z106" s="25">
        <v>0.7</v>
      </c>
      <c r="AA106" s="22"/>
      <c r="AB106" s="22"/>
      <c r="AC106" s="23" t="s">
        <v>901</v>
      </c>
      <c r="AD106" s="17" t="s">
        <v>574</v>
      </c>
      <c r="AE106" s="17">
        <v>4.25</v>
      </c>
      <c r="AF106" s="17" t="s">
        <v>279</v>
      </c>
      <c r="AG106" s="17" t="s">
        <v>902</v>
      </c>
      <c r="AH106" t="s">
        <v>903</v>
      </c>
      <c r="AJ106" s="15"/>
      <c r="AK106" t="s">
        <v>904</v>
      </c>
    </row>
    <row r="107" spans="1:37" ht="15" hidden="1" customHeight="1" x14ac:dyDescent="0.25">
      <c r="A107" s="1">
        <v>106</v>
      </c>
      <c r="B107" s="1">
        <v>28622</v>
      </c>
      <c r="C107" s="26"/>
      <c r="D107" s="1">
        <v>303</v>
      </c>
      <c r="E107" s="1">
        <v>30301</v>
      </c>
      <c r="F107" s="1">
        <v>30301</v>
      </c>
      <c r="G107" s="27" t="s">
        <v>62</v>
      </c>
      <c r="H107" s="27" t="s">
        <v>61</v>
      </c>
      <c r="I107" s="27" t="s">
        <v>894</v>
      </c>
      <c r="J107" s="27" t="s">
        <v>279</v>
      </c>
      <c r="K107" s="27" t="s">
        <v>279</v>
      </c>
      <c r="L107" s="27" t="s">
        <v>925</v>
      </c>
      <c r="M107" s="27" t="s">
        <v>279</v>
      </c>
      <c r="N107" s="27" t="s">
        <v>925</v>
      </c>
      <c r="O107" s="27" t="s">
        <v>290</v>
      </c>
      <c r="P107" s="27" t="s">
        <v>909</v>
      </c>
      <c r="Q107" s="27" t="s">
        <v>897</v>
      </c>
      <c r="R107" s="1">
        <v>32251</v>
      </c>
      <c r="S107" s="27" t="s">
        <v>994</v>
      </c>
      <c r="T107" s="27" t="s">
        <v>899</v>
      </c>
      <c r="U107" s="1">
        <v>58</v>
      </c>
      <c r="V107" s="27" t="s">
        <v>900</v>
      </c>
      <c r="W107" s="1">
        <v>908</v>
      </c>
      <c r="X107" s="28">
        <v>2.99</v>
      </c>
      <c r="Y107" s="29">
        <v>0.3</v>
      </c>
      <c r="Z107" s="29">
        <v>0.7</v>
      </c>
      <c r="AA107" s="26"/>
      <c r="AB107" s="26"/>
      <c r="AC107" s="27" t="s">
        <v>901</v>
      </c>
      <c r="AD107" t="s">
        <v>552</v>
      </c>
      <c r="AE107">
        <v>4.25</v>
      </c>
      <c r="AF107" t="s">
        <v>279</v>
      </c>
      <c r="AH107" t="s">
        <v>903</v>
      </c>
      <c r="AJ107" s="15"/>
      <c r="AK107" t="s">
        <v>904</v>
      </c>
    </row>
    <row r="108" spans="1:37" ht="15" hidden="1" customHeight="1" x14ac:dyDescent="0.25">
      <c r="A108" s="1">
        <v>107</v>
      </c>
      <c r="B108" s="21">
        <v>28632</v>
      </c>
      <c r="C108" s="22"/>
      <c r="D108" s="21">
        <v>302</v>
      </c>
      <c r="E108" s="21">
        <v>30201</v>
      </c>
      <c r="F108" s="21">
        <v>30201</v>
      </c>
      <c r="G108" s="23" t="s">
        <v>62</v>
      </c>
      <c r="H108" s="23" t="s">
        <v>61</v>
      </c>
      <c r="I108" s="23" t="s">
        <v>894</v>
      </c>
      <c r="J108" s="23" t="s">
        <v>279</v>
      </c>
      <c r="K108" s="23" t="s">
        <v>279</v>
      </c>
      <c r="L108" s="23" t="s">
        <v>895</v>
      </c>
      <c r="M108" s="23" t="s">
        <v>279</v>
      </c>
      <c r="N108" s="23" t="s">
        <v>895</v>
      </c>
      <c r="O108" s="23" t="s">
        <v>290</v>
      </c>
      <c r="P108" s="23" t="s">
        <v>909</v>
      </c>
      <c r="Q108" s="23" t="s">
        <v>897</v>
      </c>
      <c r="R108" s="21">
        <v>32256</v>
      </c>
      <c r="S108" s="23" t="s">
        <v>995</v>
      </c>
      <c r="T108" s="23" t="s">
        <v>906</v>
      </c>
      <c r="U108" s="21">
        <v>9</v>
      </c>
      <c r="V108" s="23" t="s">
        <v>900</v>
      </c>
      <c r="W108" s="21">
        <v>908</v>
      </c>
      <c r="X108" s="24">
        <v>2</v>
      </c>
      <c r="Y108" s="25">
        <v>0.3</v>
      </c>
      <c r="Z108" s="25">
        <v>0.7</v>
      </c>
      <c r="AA108" s="22"/>
      <c r="AB108" s="22"/>
      <c r="AC108" s="23" t="s">
        <v>901</v>
      </c>
      <c r="AD108" s="17" t="s">
        <v>552</v>
      </c>
      <c r="AE108" s="17">
        <v>4.25</v>
      </c>
      <c r="AF108" s="17" t="s">
        <v>279</v>
      </c>
      <c r="AG108" s="17"/>
      <c r="AH108" t="s">
        <v>903</v>
      </c>
      <c r="AJ108" s="15"/>
      <c r="AK108" t="s">
        <v>904</v>
      </c>
    </row>
    <row r="109" spans="1:37" ht="15" hidden="1" customHeight="1" x14ac:dyDescent="0.25">
      <c r="A109" s="8">
        <v>108</v>
      </c>
      <c r="B109" s="1">
        <v>28767</v>
      </c>
      <c r="C109" s="26"/>
      <c r="D109" s="1">
        <v>458</v>
      </c>
      <c r="E109" s="1">
        <v>45802</v>
      </c>
      <c r="F109" s="1">
        <v>45802</v>
      </c>
      <c r="G109" s="27" t="s">
        <v>481</v>
      </c>
      <c r="H109" s="27" t="s">
        <v>61</v>
      </c>
      <c r="I109" s="27" t="s">
        <v>894</v>
      </c>
      <c r="J109" s="27" t="s">
        <v>279</v>
      </c>
      <c r="K109" s="27" t="s">
        <v>279</v>
      </c>
      <c r="L109" s="27" t="s">
        <v>925</v>
      </c>
      <c r="M109" s="27" t="s">
        <v>279</v>
      </c>
      <c r="N109" s="27" t="s">
        <v>925</v>
      </c>
      <c r="O109" s="27" t="s">
        <v>601</v>
      </c>
      <c r="P109" s="27" t="s">
        <v>896</v>
      </c>
      <c r="Q109" s="27" t="s">
        <v>897</v>
      </c>
      <c r="R109" s="1">
        <v>32325</v>
      </c>
      <c r="S109" s="27" t="s">
        <v>996</v>
      </c>
      <c r="T109" s="27" t="s">
        <v>928</v>
      </c>
      <c r="U109" s="1">
        <v>8</v>
      </c>
      <c r="V109" s="27" t="s">
        <v>913</v>
      </c>
      <c r="W109" s="1">
        <v>1</v>
      </c>
      <c r="X109" s="28">
        <v>1.5</v>
      </c>
      <c r="Y109" s="29">
        <v>0.3</v>
      </c>
      <c r="Z109" s="29">
        <v>0.7</v>
      </c>
      <c r="AA109" s="26"/>
      <c r="AB109" s="26"/>
      <c r="AC109" s="27" t="s">
        <v>901</v>
      </c>
      <c r="AD109" t="s">
        <v>621</v>
      </c>
      <c r="AE109">
        <v>1</v>
      </c>
      <c r="AF109" t="s">
        <v>279</v>
      </c>
      <c r="AG109" t="s">
        <v>902</v>
      </c>
      <c r="AH109" t="s">
        <v>903</v>
      </c>
      <c r="AJ109" s="15"/>
      <c r="AK109" t="s">
        <v>904</v>
      </c>
    </row>
    <row r="110" spans="1:37" ht="15" hidden="1" customHeight="1" x14ac:dyDescent="0.25">
      <c r="A110" s="1">
        <v>109</v>
      </c>
      <c r="B110" s="21">
        <v>28769</v>
      </c>
      <c r="C110" s="22"/>
      <c r="D110" s="21">
        <v>458</v>
      </c>
      <c r="E110" s="21">
        <v>45801</v>
      </c>
      <c r="F110" s="21">
        <v>45801</v>
      </c>
      <c r="G110" s="23" t="s">
        <v>481</v>
      </c>
      <c r="H110" s="23" t="s">
        <v>61</v>
      </c>
      <c r="I110" s="23" t="s">
        <v>894</v>
      </c>
      <c r="J110" s="23" t="s">
        <v>279</v>
      </c>
      <c r="K110" s="23" t="s">
        <v>279</v>
      </c>
      <c r="L110" s="23" t="s">
        <v>925</v>
      </c>
      <c r="M110" s="23" t="s">
        <v>279</v>
      </c>
      <c r="N110" s="23" t="s">
        <v>925</v>
      </c>
      <c r="O110" s="23" t="s">
        <v>601</v>
      </c>
      <c r="P110" s="23" t="s">
        <v>896</v>
      </c>
      <c r="Q110" s="23" t="s">
        <v>897</v>
      </c>
      <c r="R110" s="21">
        <v>32344</v>
      </c>
      <c r="S110" s="23" t="s">
        <v>996</v>
      </c>
      <c r="T110" s="23" t="s">
        <v>912</v>
      </c>
      <c r="U110" s="21">
        <v>10</v>
      </c>
      <c r="V110" s="23" t="s">
        <v>913</v>
      </c>
      <c r="W110" s="21">
        <v>1</v>
      </c>
      <c r="X110" s="24">
        <v>2.5</v>
      </c>
      <c r="Y110" s="25">
        <v>0.3</v>
      </c>
      <c r="Z110" s="25">
        <v>0.7</v>
      </c>
      <c r="AA110" s="22"/>
      <c r="AB110" s="22"/>
      <c r="AC110" s="23" t="s">
        <v>901</v>
      </c>
      <c r="AD110" s="17" t="s">
        <v>621</v>
      </c>
      <c r="AE110" s="17">
        <v>1</v>
      </c>
      <c r="AF110" s="17" t="s">
        <v>279</v>
      </c>
      <c r="AG110" s="17" t="s">
        <v>902</v>
      </c>
      <c r="AH110" t="s">
        <v>903</v>
      </c>
      <c r="AJ110" s="15"/>
      <c r="AK110" t="s">
        <v>904</v>
      </c>
    </row>
    <row r="111" spans="1:37" ht="15" hidden="1" customHeight="1" x14ac:dyDescent="0.25">
      <c r="A111" s="1">
        <v>110</v>
      </c>
      <c r="B111" s="1">
        <v>28773</v>
      </c>
      <c r="C111" s="26"/>
      <c r="D111" s="1">
        <v>282</v>
      </c>
      <c r="E111" s="1">
        <v>28201</v>
      </c>
      <c r="F111" s="1">
        <v>28201</v>
      </c>
      <c r="G111" s="27" t="s">
        <v>62</v>
      </c>
      <c r="H111" s="27" t="s">
        <v>61</v>
      </c>
      <c r="I111" s="27" t="s">
        <v>894</v>
      </c>
      <c r="J111" s="27" t="s">
        <v>279</v>
      </c>
      <c r="K111" s="27" t="s">
        <v>279</v>
      </c>
      <c r="L111" s="27" t="s">
        <v>895</v>
      </c>
      <c r="M111" s="27" t="s">
        <v>279</v>
      </c>
      <c r="N111" s="27" t="s">
        <v>895</v>
      </c>
      <c r="O111" s="27" t="s">
        <v>325</v>
      </c>
      <c r="P111" s="27" t="s">
        <v>896</v>
      </c>
      <c r="Q111" s="27" t="s">
        <v>897</v>
      </c>
      <c r="R111" s="1">
        <v>32346</v>
      </c>
      <c r="S111" s="27" t="s">
        <v>997</v>
      </c>
      <c r="T111" s="27" t="s">
        <v>927</v>
      </c>
      <c r="U111" s="1">
        <v>7</v>
      </c>
      <c r="V111" s="27" t="s">
        <v>900</v>
      </c>
      <c r="W111" s="1">
        <v>908</v>
      </c>
      <c r="X111" s="28">
        <v>1</v>
      </c>
      <c r="Y111" s="29">
        <v>0.3</v>
      </c>
      <c r="Z111" s="29">
        <v>0.7</v>
      </c>
      <c r="AA111" s="26"/>
      <c r="AB111" s="26"/>
      <c r="AC111" s="27" t="s">
        <v>901</v>
      </c>
      <c r="AD111" t="s">
        <v>524</v>
      </c>
      <c r="AE111">
        <v>4.25</v>
      </c>
      <c r="AF111" t="s">
        <v>279</v>
      </c>
      <c r="AH111" t="s">
        <v>903</v>
      </c>
      <c r="AJ111" s="15"/>
      <c r="AK111" t="s">
        <v>904</v>
      </c>
    </row>
    <row r="112" spans="1:37" ht="15" hidden="1" customHeight="1" x14ac:dyDescent="0.25">
      <c r="A112" s="8">
        <v>111</v>
      </c>
      <c r="B112" s="21">
        <v>28775</v>
      </c>
      <c r="C112" s="22"/>
      <c r="D112" s="21">
        <v>281</v>
      </c>
      <c r="E112" s="21">
        <v>28101</v>
      </c>
      <c r="F112" s="21">
        <v>28101</v>
      </c>
      <c r="G112" s="23" t="s">
        <v>62</v>
      </c>
      <c r="H112" s="23" t="s">
        <v>61</v>
      </c>
      <c r="I112" s="23" t="s">
        <v>894</v>
      </c>
      <c r="J112" s="23" t="s">
        <v>279</v>
      </c>
      <c r="K112" s="23" t="s">
        <v>279</v>
      </c>
      <c r="L112" s="23" t="s">
        <v>895</v>
      </c>
      <c r="M112" s="23" t="s">
        <v>279</v>
      </c>
      <c r="N112" s="23" t="s">
        <v>895</v>
      </c>
      <c r="O112" s="23" t="s">
        <v>325</v>
      </c>
      <c r="P112" s="23" t="s">
        <v>896</v>
      </c>
      <c r="Q112" s="23" t="s">
        <v>897</v>
      </c>
      <c r="R112" s="21">
        <v>32347</v>
      </c>
      <c r="S112" s="23" t="s">
        <v>997</v>
      </c>
      <c r="T112" s="23" t="s">
        <v>906</v>
      </c>
      <c r="U112" s="21">
        <v>9</v>
      </c>
      <c r="V112" s="23" t="s">
        <v>900</v>
      </c>
      <c r="W112" s="21">
        <v>908</v>
      </c>
      <c r="X112" s="24">
        <v>2</v>
      </c>
      <c r="Y112" s="25">
        <v>0.3</v>
      </c>
      <c r="Z112" s="25">
        <v>0.7</v>
      </c>
      <c r="AA112" s="22"/>
      <c r="AB112" s="22"/>
      <c r="AC112" s="23" t="s">
        <v>901</v>
      </c>
      <c r="AD112" s="17" t="s">
        <v>524</v>
      </c>
      <c r="AE112" s="17">
        <v>4.25</v>
      </c>
      <c r="AF112" s="17" t="s">
        <v>279</v>
      </c>
      <c r="AG112" s="17"/>
      <c r="AH112" t="s">
        <v>903</v>
      </c>
      <c r="AJ112" s="15"/>
      <c r="AK112" t="s">
        <v>904</v>
      </c>
    </row>
    <row r="113" spans="1:37" ht="15" hidden="1" customHeight="1" x14ac:dyDescent="0.25">
      <c r="A113" s="1">
        <v>112</v>
      </c>
      <c r="B113" s="1">
        <v>29012</v>
      </c>
      <c r="C113" s="26"/>
      <c r="D113" s="1">
        <v>230</v>
      </c>
      <c r="E113" s="1">
        <v>88</v>
      </c>
      <c r="F113" s="1">
        <v>88</v>
      </c>
      <c r="G113" s="27" t="s">
        <v>468</v>
      </c>
      <c r="H113" s="27" t="s">
        <v>61</v>
      </c>
      <c r="I113" s="27" t="s">
        <v>894</v>
      </c>
      <c r="J113" s="27" t="s">
        <v>279</v>
      </c>
      <c r="K113" s="27" t="s">
        <v>279</v>
      </c>
      <c r="L113" s="27" t="s">
        <v>895</v>
      </c>
      <c r="M113" s="27" t="s">
        <v>279</v>
      </c>
      <c r="N113" s="27" t="s">
        <v>895</v>
      </c>
      <c r="O113" s="27" t="s">
        <v>122</v>
      </c>
      <c r="P113" s="27" t="s">
        <v>896</v>
      </c>
      <c r="Q113" s="27" t="s">
        <v>897</v>
      </c>
      <c r="R113" s="1">
        <v>32506</v>
      </c>
      <c r="S113" s="27" t="s">
        <v>998</v>
      </c>
      <c r="T113" s="27" t="s">
        <v>920</v>
      </c>
      <c r="U113" s="1">
        <v>20</v>
      </c>
      <c r="V113" s="27" t="s">
        <v>907</v>
      </c>
      <c r="W113" s="1">
        <v>25</v>
      </c>
      <c r="X113" s="28">
        <v>10</v>
      </c>
      <c r="Y113" s="29">
        <v>0.3</v>
      </c>
      <c r="Z113" s="29">
        <v>0.7</v>
      </c>
      <c r="AA113" s="26"/>
      <c r="AB113" s="26"/>
      <c r="AC113" s="27" t="s">
        <v>901</v>
      </c>
      <c r="AD113" t="s">
        <v>470</v>
      </c>
      <c r="AE113">
        <v>1</v>
      </c>
      <c r="AF113" t="s">
        <v>279</v>
      </c>
      <c r="AH113" t="s">
        <v>903</v>
      </c>
      <c r="AJ113" s="15"/>
      <c r="AK113" t="s">
        <v>908</v>
      </c>
    </row>
    <row r="114" spans="1:37" ht="15" hidden="1" customHeight="1" x14ac:dyDescent="0.25">
      <c r="A114" s="1">
        <v>113</v>
      </c>
      <c r="B114" s="21">
        <v>29032</v>
      </c>
      <c r="C114" s="22"/>
      <c r="D114" s="21">
        <v>586</v>
      </c>
      <c r="E114" s="21">
        <v>58601</v>
      </c>
      <c r="F114" s="21">
        <v>58601</v>
      </c>
      <c r="G114" s="23" t="s">
        <v>490</v>
      </c>
      <c r="H114" s="23" t="s">
        <v>489</v>
      </c>
      <c r="I114" s="23" t="s">
        <v>894</v>
      </c>
      <c r="J114" s="23" t="s">
        <v>279</v>
      </c>
      <c r="K114" s="23" t="s">
        <v>279</v>
      </c>
      <c r="L114" s="23" t="s">
        <v>922</v>
      </c>
      <c r="M114" s="23" t="s">
        <v>279</v>
      </c>
      <c r="N114" s="23" t="s">
        <v>922</v>
      </c>
      <c r="O114" s="23" t="s">
        <v>474</v>
      </c>
      <c r="P114" s="23" t="s">
        <v>909</v>
      </c>
      <c r="Q114" s="23" t="s">
        <v>897</v>
      </c>
      <c r="R114" s="21">
        <v>32526</v>
      </c>
      <c r="S114" s="23" t="s">
        <v>489</v>
      </c>
      <c r="T114" s="23" t="s">
        <v>924</v>
      </c>
      <c r="U114" s="21">
        <v>12</v>
      </c>
      <c r="V114" s="27" t="s">
        <v>907</v>
      </c>
      <c r="W114" s="21">
        <v>25</v>
      </c>
      <c r="X114" s="24">
        <v>5</v>
      </c>
      <c r="Y114" s="25">
        <v>0.3</v>
      </c>
      <c r="Z114" s="25">
        <v>0.7</v>
      </c>
      <c r="AA114" s="22"/>
      <c r="AB114" s="22"/>
      <c r="AC114" s="23" t="s">
        <v>901</v>
      </c>
      <c r="AD114" s="17" t="s">
        <v>482</v>
      </c>
      <c r="AE114" s="17">
        <v>1</v>
      </c>
      <c r="AF114" s="17" t="s">
        <v>279</v>
      </c>
      <c r="AG114" s="17"/>
      <c r="AH114" t="s">
        <v>903</v>
      </c>
      <c r="AJ114" s="15"/>
      <c r="AK114" t="s">
        <v>904</v>
      </c>
    </row>
    <row r="115" spans="1:37" ht="15" hidden="1" customHeight="1" x14ac:dyDescent="0.25">
      <c r="A115" s="8">
        <v>114</v>
      </c>
      <c r="B115" s="1">
        <v>29148</v>
      </c>
      <c r="C115" s="26"/>
      <c r="D115" s="1">
        <v>247</v>
      </c>
      <c r="E115" s="1">
        <v>24702</v>
      </c>
      <c r="F115" s="1">
        <v>24702</v>
      </c>
      <c r="G115" s="27" t="s">
        <v>481</v>
      </c>
      <c r="H115" s="27" t="s">
        <v>61</v>
      </c>
      <c r="I115" s="27" t="s">
        <v>894</v>
      </c>
      <c r="J115" s="27" t="s">
        <v>279</v>
      </c>
      <c r="K115" s="27" t="s">
        <v>279</v>
      </c>
      <c r="L115" s="27" t="s">
        <v>895</v>
      </c>
      <c r="M115" s="27" t="s">
        <v>279</v>
      </c>
      <c r="N115" s="27" t="s">
        <v>895</v>
      </c>
      <c r="O115" s="27" t="s">
        <v>290</v>
      </c>
      <c r="P115" s="27" t="s">
        <v>896</v>
      </c>
      <c r="Q115" s="27" t="s">
        <v>897</v>
      </c>
      <c r="R115" s="1">
        <v>32664</v>
      </c>
      <c r="S115" s="27" t="s">
        <v>999</v>
      </c>
      <c r="T115" s="27" t="s">
        <v>915</v>
      </c>
      <c r="U115" s="1">
        <v>11</v>
      </c>
      <c r="V115" s="27" t="s">
        <v>913</v>
      </c>
      <c r="W115" s="1">
        <v>1</v>
      </c>
      <c r="X115" s="28">
        <v>3</v>
      </c>
      <c r="Y115" s="29">
        <v>0.3</v>
      </c>
      <c r="Z115" s="29">
        <v>0.7</v>
      </c>
      <c r="AA115" s="26"/>
      <c r="AB115" s="26"/>
      <c r="AC115" s="27" t="s">
        <v>901</v>
      </c>
      <c r="AD115" t="s">
        <v>544</v>
      </c>
      <c r="AE115">
        <v>1</v>
      </c>
      <c r="AF115" t="s">
        <v>279</v>
      </c>
      <c r="AG115" t="s">
        <v>902</v>
      </c>
      <c r="AH115" t="s">
        <v>903</v>
      </c>
      <c r="AJ115" s="15"/>
      <c r="AK115" t="s">
        <v>904</v>
      </c>
    </row>
    <row r="116" spans="1:37" ht="15" hidden="1" customHeight="1" x14ac:dyDescent="0.25">
      <c r="A116" s="1">
        <v>115</v>
      </c>
      <c r="B116" s="21">
        <v>29152</v>
      </c>
      <c r="C116" s="22"/>
      <c r="D116" s="21">
        <v>248</v>
      </c>
      <c r="E116" s="21">
        <v>24802</v>
      </c>
      <c r="F116" s="21">
        <v>24802</v>
      </c>
      <c r="G116" s="23" t="s">
        <v>481</v>
      </c>
      <c r="H116" s="23" t="s">
        <v>61</v>
      </c>
      <c r="I116" s="23" t="s">
        <v>894</v>
      </c>
      <c r="J116" s="23" t="s">
        <v>279</v>
      </c>
      <c r="K116" s="23" t="s">
        <v>279</v>
      </c>
      <c r="L116" s="23" t="s">
        <v>895</v>
      </c>
      <c r="M116" s="23" t="s">
        <v>279</v>
      </c>
      <c r="N116" s="23" t="s">
        <v>895</v>
      </c>
      <c r="O116" s="23" t="s">
        <v>290</v>
      </c>
      <c r="P116" s="23" t="s">
        <v>896</v>
      </c>
      <c r="Q116" s="23" t="s">
        <v>897</v>
      </c>
      <c r="R116" s="21">
        <v>32666</v>
      </c>
      <c r="S116" s="23" t="s">
        <v>1000</v>
      </c>
      <c r="T116" s="23" t="s">
        <v>915</v>
      </c>
      <c r="U116" s="21">
        <v>11</v>
      </c>
      <c r="V116" s="23" t="s">
        <v>913</v>
      </c>
      <c r="W116" s="21">
        <v>1</v>
      </c>
      <c r="X116" s="24">
        <v>3</v>
      </c>
      <c r="Y116" s="25">
        <v>0.3</v>
      </c>
      <c r="Z116" s="25">
        <v>0.7</v>
      </c>
      <c r="AA116" s="22"/>
      <c r="AB116" s="22"/>
      <c r="AC116" s="23" t="s">
        <v>901</v>
      </c>
      <c r="AD116" s="17" t="s">
        <v>545</v>
      </c>
      <c r="AE116" s="17">
        <v>1</v>
      </c>
      <c r="AF116" s="17" t="s">
        <v>279</v>
      </c>
      <c r="AG116" s="17" t="s">
        <v>902</v>
      </c>
      <c r="AH116" t="s">
        <v>903</v>
      </c>
      <c r="AJ116" s="15"/>
      <c r="AK116" t="s">
        <v>904</v>
      </c>
    </row>
    <row r="117" spans="1:37" ht="15" hidden="1" customHeight="1" x14ac:dyDescent="0.25">
      <c r="A117" s="1">
        <v>116</v>
      </c>
      <c r="B117" s="1">
        <v>29158</v>
      </c>
      <c r="C117" s="26"/>
      <c r="D117" s="1">
        <v>213</v>
      </c>
      <c r="E117" s="1">
        <v>69</v>
      </c>
      <c r="F117" s="1">
        <v>21369</v>
      </c>
      <c r="G117" s="27" t="s">
        <v>233</v>
      </c>
      <c r="H117" s="27" t="s">
        <v>232</v>
      </c>
      <c r="I117" s="27" t="s">
        <v>894</v>
      </c>
      <c r="J117" s="27" t="s">
        <v>123</v>
      </c>
      <c r="K117" s="27" t="s">
        <v>123</v>
      </c>
      <c r="L117" s="27" t="s">
        <v>901</v>
      </c>
      <c r="M117" s="27" t="s">
        <v>123</v>
      </c>
      <c r="N117" s="27" t="s">
        <v>901</v>
      </c>
      <c r="O117" s="27" t="s">
        <v>364</v>
      </c>
      <c r="P117" s="27" t="s">
        <v>896</v>
      </c>
      <c r="Q117" s="27" t="s">
        <v>897</v>
      </c>
      <c r="R117" s="1">
        <v>32669</v>
      </c>
      <c r="S117" s="27" t="s">
        <v>232</v>
      </c>
      <c r="T117" s="27" t="s">
        <v>915</v>
      </c>
      <c r="U117" s="1">
        <v>11</v>
      </c>
      <c r="V117" s="27" t="s">
        <v>907</v>
      </c>
      <c r="W117" s="1">
        <v>25</v>
      </c>
      <c r="X117" s="28">
        <v>3</v>
      </c>
      <c r="Y117" s="29">
        <v>0.5</v>
      </c>
      <c r="Z117" s="29">
        <v>0.5</v>
      </c>
      <c r="AA117" s="26"/>
      <c r="AB117" s="26"/>
      <c r="AC117" s="27" t="s">
        <v>901</v>
      </c>
      <c r="AD117" t="s">
        <v>367</v>
      </c>
      <c r="AE117">
        <v>1</v>
      </c>
      <c r="AF117" t="s">
        <v>123</v>
      </c>
      <c r="AG117" t="s">
        <v>902</v>
      </c>
      <c r="AH117" t="s">
        <v>903</v>
      </c>
      <c r="AJ117" s="15">
        <f>VLOOKUP(Tabla1[[#This Row],[CPC]],[1]Sheet3!$A:$D,4,0)</f>
        <v>0.5</v>
      </c>
      <c r="AK117" t="s">
        <v>908</v>
      </c>
    </row>
    <row r="118" spans="1:37" ht="15" hidden="1" customHeight="1" x14ac:dyDescent="0.25">
      <c r="A118" s="8">
        <v>117</v>
      </c>
      <c r="B118" s="21">
        <v>29247</v>
      </c>
      <c r="C118" s="22"/>
      <c r="D118" s="21">
        <v>229</v>
      </c>
      <c r="E118" s="21">
        <v>87</v>
      </c>
      <c r="F118" s="21">
        <v>87</v>
      </c>
      <c r="G118" s="23" t="s">
        <v>62</v>
      </c>
      <c r="H118" s="23" t="s">
        <v>61</v>
      </c>
      <c r="I118" s="23" t="s">
        <v>894</v>
      </c>
      <c r="J118" s="23" t="s">
        <v>279</v>
      </c>
      <c r="K118" s="23" t="s">
        <v>279</v>
      </c>
      <c r="L118" s="23" t="s">
        <v>895</v>
      </c>
      <c r="M118" s="23" t="s">
        <v>279</v>
      </c>
      <c r="N118" s="23" t="s">
        <v>895</v>
      </c>
      <c r="O118" s="23" t="s">
        <v>122</v>
      </c>
      <c r="P118" s="23" t="s">
        <v>896</v>
      </c>
      <c r="Q118" s="23" t="s">
        <v>897</v>
      </c>
      <c r="R118" s="21">
        <v>32506</v>
      </c>
      <c r="S118" s="23" t="s">
        <v>998</v>
      </c>
      <c r="T118" s="23" t="s">
        <v>899</v>
      </c>
      <c r="U118" s="21">
        <v>58</v>
      </c>
      <c r="V118" s="23" t="s">
        <v>900</v>
      </c>
      <c r="W118" s="21">
        <v>908</v>
      </c>
      <c r="X118" s="24">
        <v>2.99</v>
      </c>
      <c r="Y118" s="25">
        <v>0.3</v>
      </c>
      <c r="Z118" s="25">
        <v>0.7</v>
      </c>
      <c r="AA118" s="22"/>
      <c r="AB118" s="22"/>
      <c r="AC118" s="23" t="s">
        <v>901</v>
      </c>
      <c r="AD118" s="17" t="s">
        <v>470</v>
      </c>
      <c r="AE118" s="17">
        <v>4.25</v>
      </c>
      <c r="AF118" s="17" t="s">
        <v>279</v>
      </c>
      <c r="AG118" s="17"/>
      <c r="AH118" t="s">
        <v>903</v>
      </c>
      <c r="AJ118" s="15"/>
      <c r="AK118" t="s">
        <v>908</v>
      </c>
    </row>
    <row r="119" spans="1:37" ht="15" hidden="1" customHeight="1" x14ac:dyDescent="0.25">
      <c r="A119" s="1">
        <v>118</v>
      </c>
      <c r="B119" s="1">
        <v>29249</v>
      </c>
      <c r="C119" s="26"/>
      <c r="D119" s="1">
        <v>232</v>
      </c>
      <c r="E119" s="1">
        <v>90</v>
      </c>
      <c r="F119" s="1">
        <v>90</v>
      </c>
      <c r="G119" s="27" t="s">
        <v>62</v>
      </c>
      <c r="H119" s="27" t="s">
        <v>61</v>
      </c>
      <c r="I119" s="27" t="s">
        <v>894</v>
      </c>
      <c r="J119" s="27" t="s">
        <v>279</v>
      </c>
      <c r="K119" s="27" t="s">
        <v>279</v>
      </c>
      <c r="L119" s="27" t="s">
        <v>925</v>
      </c>
      <c r="M119" s="27" t="s">
        <v>279</v>
      </c>
      <c r="N119" s="27" t="s">
        <v>925</v>
      </c>
      <c r="O119" s="27" t="s">
        <v>122</v>
      </c>
      <c r="P119" s="27" t="s">
        <v>896</v>
      </c>
      <c r="Q119" s="27" t="s">
        <v>897</v>
      </c>
      <c r="R119" s="1">
        <v>29687</v>
      </c>
      <c r="S119" s="27" t="s">
        <v>950</v>
      </c>
      <c r="T119" s="27" t="s">
        <v>971</v>
      </c>
      <c r="U119" s="1">
        <v>56</v>
      </c>
      <c r="V119" s="27" t="s">
        <v>900</v>
      </c>
      <c r="W119" s="1">
        <v>908</v>
      </c>
      <c r="X119" s="28">
        <v>1.99</v>
      </c>
      <c r="Y119" s="29">
        <v>0.3</v>
      </c>
      <c r="Z119" s="29">
        <v>0.7</v>
      </c>
      <c r="AA119" s="26"/>
      <c r="AB119" s="26"/>
      <c r="AC119" s="27" t="s">
        <v>901</v>
      </c>
      <c r="AD119" t="s">
        <v>470</v>
      </c>
      <c r="AE119">
        <v>4.25</v>
      </c>
      <c r="AF119" t="s">
        <v>279</v>
      </c>
      <c r="AH119" t="s">
        <v>903</v>
      </c>
      <c r="AJ119" s="15"/>
      <c r="AK119" t="s">
        <v>908</v>
      </c>
    </row>
    <row r="120" spans="1:37" ht="15" hidden="1" customHeight="1" x14ac:dyDescent="0.25">
      <c r="A120" s="1">
        <v>119</v>
      </c>
      <c r="B120" s="21">
        <v>29288</v>
      </c>
      <c r="C120" s="22"/>
      <c r="D120" s="21">
        <v>310</v>
      </c>
      <c r="E120" s="21">
        <v>31001</v>
      </c>
      <c r="F120" s="21">
        <v>31001</v>
      </c>
      <c r="G120" s="23" t="s">
        <v>481</v>
      </c>
      <c r="H120" s="23" t="s">
        <v>61</v>
      </c>
      <c r="I120" s="23" t="s">
        <v>894</v>
      </c>
      <c r="J120" s="23" t="s">
        <v>279</v>
      </c>
      <c r="K120" s="23" t="s">
        <v>279</v>
      </c>
      <c r="L120" s="23" t="s">
        <v>925</v>
      </c>
      <c r="M120" s="23" t="s">
        <v>279</v>
      </c>
      <c r="N120" s="23" t="s">
        <v>925</v>
      </c>
      <c r="O120" s="23" t="s">
        <v>290</v>
      </c>
      <c r="P120" s="23" t="s">
        <v>896</v>
      </c>
      <c r="Q120" s="23" t="s">
        <v>897</v>
      </c>
      <c r="R120" s="21">
        <v>32744</v>
      </c>
      <c r="S120" s="23" t="s">
        <v>1001</v>
      </c>
      <c r="T120" s="23" t="s">
        <v>912</v>
      </c>
      <c r="U120" s="21">
        <v>10</v>
      </c>
      <c r="V120" s="23" t="s">
        <v>913</v>
      </c>
      <c r="W120" s="21">
        <v>1</v>
      </c>
      <c r="X120" s="24">
        <v>2.5</v>
      </c>
      <c r="Y120" s="25">
        <v>0.3</v>
      </c>
      <c r="Z120" s="25">
        <v>0.7</v>
      </c>
      <c r="AA120" s="22"/>
      <c r="AB120" s="22"/>
      <c r="AC120" s="23" t="s">
        <v>901</v>
      </c>
      <c r="AD120" s="17" t="s">
        <v>557</v>
      </c>
      <c r="AE120" s="17">
        <v>1</v>
      </c>
      <c r="AF120" s="17" t="s">
        <v>279</v>
      </c>
      <c r="AG120" s="17" t="s">
        <v>902</v>
      </c>
      <c r="AH120" t="s">
        <v>903</v>
      </c>
      <c r="AJ120" s="15"/>
      <c r="AK120" t="s">
        <v>904</v>
      </c>
    </row>
    <row r="121" spans="1:37" ht="15" hidden="1" customHeight="1" x14ac:dyDescent="0.25">
      <c r="A121" s="8">
        <v>120</v>
      </c>
      <c r="B121" s="1">
        <v>29290</v>
      </c>
      <c r="C121" s="26"/>
      <c r="D121" s="1">
        <v>310</v>
      </c>
      <c r="E121" s="1">
        <v>31002</v>
      </c>
      <c r="F121" s="1">
        <v>31002</v>
      </c>
      <c r="G121" s="27" t="s">
        <v>481</v>
      </c>
      <c r="H121" s="27" t="s">
        <v>61</v>
      </c>
      <c r="I121" s="27" t="s">
        <v>894</v>
      </c>
      <c r="J121" s="27" t="s">
        <v>279</v>
      </c>
      <c r="K121" s="27" t="s">
        <v>279</v>
      </c>
      <c r="L121" s="27" t="s">
        <v>925</v>
      </c>
      <c r="M121" s="27" t="s">
        <v>279</v>
      </c>
      <c r="N121" s="27" t="s">
        <v>925</v>
      </c>
      <c r="O121" s="27" t="s">
        <v>290</v>
      </c>
      <c r="P121" s="27" t="s">
        <v>896</v>
      </c>
      <c r="Q121" s="27" t="s">
        <v>897</v>
      </c>
      <c r="R121" s="1">
        <v>32745</v>
      </c>
      <c r="S121" s="27" t="s">
        <v>1001</v>
      </c>
      <c r="T121" s="27" t="s">
        <v>929</v>
      </c>
      <c r="U121" s="1">
        <v>22</v>
      </c>
      <c r="V121" s="27" t="s">
        <v>913</v>
      </c>
      <c r="W121" s="1">
        <v>1</v>
      </c>
      <c r="X121" s="28">
        <v>4</v>
      </c>
      <c r="Y121" s="29">
        <v>0.3</v>
      </c>
      <c r="Z121" s="29">
        <v>0.7</v>
      </c>
      <c r="AA121" s="26"/>
      <c r="AB121" s="26"/>
      <c r="AC121" s="27" t="s">
        <v>901</v>
      </c>
      <c r="AD121" t="s">
        <v>557</v>
      </c>
      <c r="AE121">
        <v>1</v>
      </c>
      <c r="AF121" t="s">
        <v>279</v>
      </c>
      <c r="AG121" t="s">
        <v>902</v>
      </c>
      <c r="AH121" t="s">
        <v>903</v>
      </c>
      <c r="AJ121" s="15"/>
      <c r="AK121" t="s">
        <v>904</v>
      </c>
    </row>
    <row r="122" spans="1:37" ht="15" hidden="1" customHeight="1" x14ac:dyDescent="0.25">
      <c r="A122" s="1">
        <v>121</v>
      </c>
      <c r="B122" s="21">
        <v>29748</v>
      </c>
      <c r="C122" s="22"/>
      <c r="D122" s="21">
        <v>603</v>
      </c>
      <c r="E122" s="21">
        <v>60301</v>
      </c>
      <c r="F122" s="21">
        <v>60301</v>
      </c>
      <c r="G122" s="23" t="s">
        <v>62</v>
      </c>
      <c r="H122" s="23" t="s">
        <v>61</v>
      </c>
      <c r="I122" s="23" t="s">
        <v>894</v>
      </c>
      <c r="J122" s="23" t="s">
        <v>279</v>
      </c>
      <c r="K122" s="23" t="s">
        <v>279</v>
      </c>
      <c r="L122" s="23" t="s">
        <v>895</v>
      </c>
      <c r="M122" s="23" t="s">
        <v>279</v>
      </c>
      <c r="N122" s="23" t="s">
        <v>895</v>
      </c>
      <c r="O122" s="23" t="s">
        <v>532</v>
      </c>
      <c r="P122" s="23" t="s">
        <v>896</v>
      </c>
      <c r="Q122" s="23" t="s">
        <v>897</v>
      </c>
      <c r="R122" s="21">
        <v>33004</v>
      </c>
      <c r="S122" s="23" t="s">
        <v>532</v>
      </c>
      <c r="T122" s="23" t="s">
        <v>899</v>
      </c>
      <c r="U122" s="21">
        <v>58</v>
      </c>
      <c r="V122" s="23" t="s">
        <v>900</v>
      </c>
      <c r="W122" s="21">
        <v>908</v>
      </c>
      <c r="X122" s="24">
        <v>2.99</v>
      </c>
      <c r="Y122" s="25">
        <v>0.3</v>
      </c>
      <c r="Z122" s="25">
        <v>0.7</v>
      </c>
      <c r="AA122" s="22"/>
      <c r="AB122" s="22"/>
      <c r="AC122" s="23" t="s">
        <v>901</v>
      </c>
      <c r="AD122" s="17" t="s">
        <v>534</v>
      </c>
      <c r="AE122" s="17">
        <v>4.25</v>
      </c>
      <c r="AF122" s="17" t="s">
        <v>279</v>
      </c>
      <c r="AG122" s="17"/>
      <c r="AH122" t="s">
        <v>903</v>
      </c>
      <c r="AJ122" s="15"/>
      <c r="AK122" t="s">
        <v>908</v>
      </c>
    </row>
    <row r="123" spans="1:37" ht="15" hidden="1" customHeight="1" x14ac:dyDescent="0.25">
      <c r="A123" s="1">
        <v>122</v>
      </c>
      <c r="B123" s="1">
        <v>29751</v>
      </c>
      <c r="C123" s="26"/>
      <c r="D123" s="1">
        <v>602</v>
      </c>
      <c r="E123" s="1">
        <v>60201</v>
      </c>
      <c r="F123" s="1">
        <v>60201</v>
      </c>
      <c r="G123" s="27" t="s">
        <v>62</v>
      </c>
      <c r="H123" s="27" t="s">
        <v>61</v>
      </c>
      <c r="I123" s="27" t="s">
        <v>894</v>
      </c>
      <c r="J123" s="27" t="s">
        <v>279</v>
      </c>
      <c r="K123" s="27" t="s">
        <v>279</v>
      </c>
      <c r="L123" s="27" t="s">
        <v>925</v>
      </c>
      <c r="M123" s="27" t="s">
        <v>279</v>
      </c>
      <c r="N123" s="27" t="s">
        <v>925</v>
      </c>
      <c r="O123" s="27" t="s">
        <v>532</v>
      </c>
      <c r="P123" s="27" t="s">
        <v>909</v>
      </c>
      <c r="Q123" s="27" t="s">
        <v>897</v>
      </c>
      <c r="R123" s="1">
        <v>33005</v>
      </c>
      <c r="S123" s="27" t="s">
        <v>532</v>
      </c>
      <c r="T123" s="27" t="s">
        <v>899</v>
      </c>
      <c r="U123" s="1">
        <v>58</v>
      </c>
      <c r="V123" s="27" t="s">
        <v>900</v>
      </c>
      <c r="W123" s="1">
        <v>908</v>
      </c>
      <c r="X123" s="28">
        <v>2.99</v>
      </c>
      <c r="Y123" s="29">
        <v>0.3</v>
      </c>
      <c r="Z123" s="29">
        <v>0.7</v>
      </c>
      <c r="AA123" s="26"/>
      <c r="AB123" s="26"/>
      <c r="AC123" s="27" t="s">
        <v>901</v>
      </c>
      <c r="AD123" t="s">
        <v>534</v>
      </c>
      <c r="AE123">
        <v>4.25</v>
      </c>
      <c r="AF123" t="s">
        <v>279</v>
      </c>
      <c r="AH123" t="s">
        <v>903</v>
      </c>
      <c r="AJ123" s="15"/>
      <c r="AK123" t="s">
        <v>908</v>
      </c>
    </row>
    <row r="124" spans="1:37" ht="15" hidden="1" customHeight="1" x14ac:dyDescent="0.25">
      <c r="A124" s="8">
        <v>123</v>
      </c>
      <c r="B124" s="21">
        <v>30088</v>
      </c>
      <c r="C124" s="22"/>
      <c r="D124" s="21">
        <v>283</v>
      </c>
      <c r="E124" s="21">
        <v>28301</v>
      </c>
      <c r="F124" s="21">
        <v>28301</v>
      </c>
      <c r="G124" s="23" t="s">
        <v>62</v>
      </c>
      <c r="H124" s="23" t="s">
        <v>61</v>
      </c>
      <c r="I124" s="23" t="s">
        <v>894</v>
      </c>
      <c r="J124" s="23" t="s">
        <v>279</v>
      </c>
      <c r="K124" s="23" t="s">
        <v>279</v>
      </c>
      <c r="L124" s="23" t="s">
        <v>895</v>
      </c>
      <c r="M124" s="23" t="s">
        <v>279</v>
      </c>
      <c r="N124" s="23" t="s">
        <v>895</v>
      </c>
      <c r="O124" s="23" t="s">
        <v>325</v>
      </c>
      <c r="P124" s="23" t="s">
        <v>896</v>
      </c>
      <c r="Q124" s="23" t="s">
        <v>897</v>
      </c>
      <c r="R124" s="21">
        <v>33304</v>
      </c>
      <c r="S124" s="23" t="s">
        <v>1002</v>
      </c>
      <c r="T124" s="23" t="s">
        <v>899</v>
      </c>
      <c r="U124" s="21">
        <v>58</v>
      </c>
      <c r="V124" s="23" t="s">
        <v>900</v>
      </c>
      <c r="W124" s="21">
        <v>908</v>
      </c>
      <c r="X124" s="24">
        <v>2.99</v>
      </c>
      <c r="Y124" s="25">
        <v>0.3</v>
      </c>
      <c r="Z124" s="25">
        <v>0.7</v>
      </c>
      <c r="AA124" s="22"/>
      <c r="AB124" s="22"/>
      <c r="AC124" s="23" t="s">
        <v>901</v>
      </c>
      <c r="AD124" s="17" t="s">
        <v>513</v>
      </c>
      <c r="AE124" s="17">
        <v>4.25</v>
      </c>
      <c r="AF124" s="17" t="s">
        <v>279</v>
      </c>
      <c r="AG124" s="17" t="s">
        <v>902</v>
      </c>
      <c r="AH124" t="s">
        <v>903</v>
      </c>
      <c r="AJ124" s="15"/>
      <c r="AK124" t="s">
        <v>904</v>
      </c>
    </row>
    <row r="125" spans="1:37" ht="15" hidden="1" customHeight="1" x14ac:dyDescent="0.25">
      <c r="A125" s="1">
        <v>124</v>
      </c>
      <c r="B125" s="1">
        <v>30191</v>
      </c>
      <c r="C125" s="26"/>
      <c r="D125" s="1">
        <v>228</v>
      </c>
      <c r="E125" s="1">
        <v>86</v>
      </c>
      <c r="F125" s="1">
        <v>86</v>
      </c>
      <c r="G125" s="27" t="s">
        <v>62</v>
      </c>
      <c r="H125" s="27" t="s">
        <v>61</v>
      </c>
      <c r="I125" s="27" t="s">
        <v>894</v>
      </c>
      <c r="J125" s="27" t="s">
        <v>279</v>
      </c>
      <c r="K125" s="27" t="s">
        <v>279</v>
      </c>
      <c r="L125" s="27" t="s">
        <v>895</v>
      </c>
      <c r="M125" s="27" t="s">
        <v>279</v>
      </c>
      <c r="N125" s="27" t="s">
        <v>895</v>
      </c>
      <c r="O125" s="27" t="s">
        <v>122</v>
      </c>
      <c r="P125" s="27" t="s">
        <v>896</v>
      </c>
      <c r="Q125" s="27" t="s">
        <v>897</v>
      </c>
      <c r="R125" s="1">
        <v>33425</v>
      </c>
      <c r="S125" s="27" t="s">
        <v>1003</v>
      </c>
      <c r="T125" s="27" t="s">
        <v>899</v>
      </c>
      <c r="U125" s="1">
        <v>58</v>
      </c>
      <c r="V125" s="27" t="s">
        <v>900</v>
      </c>
      <c r="W125" s="1">
        <v>908</v>
      </c>
      <c r="X125" s="28">
        <v>2.99</v>
      </c>
      <c r="Y125" s="29">
        <v>0.3</v>
      </c>
      <c r="Z125" s="29">
        <v>0.7</v>
      </c>
      <c r="AA125" s="26"/>
      <c r="AB125" s="26"/>
      <c r="AC125" s="27" t="s">
        <v>901</v>
      </c>
      <c r="AD125" t="s">
        <v>469</v>
      </c>
      <c r="AE125">
        <v>4.25</v>
      </c>
      <c r="AF125" t="s">
        <v>279</v>
      </c>
      <c r="AH125" t="s">
        <v>903</v>
      </c>
      <c r="AJ125" s="15"/>
      <c r="AK125" t="s">
        <v>908</v>
      </c>
    </row>
    <row r="126" spans="1:37" ht="15" hidden="1" customHeight="1" x14ac:dyDescent="0.25">
      <c r="A126" s="1">
        <v>125</v>
      </c>
      <c r="B126" s="21">
        <v>30193</v>
      </c>
      <c r="C126" s="22"/>
      <c r="D126" s="21">
        <v>227</v>
      </c>
      <c r="E126" s="21">
        <v>85</v>
      </c>
      <c r="F126" s="21">
        <v>85</v>
      </c>
      <c r="G126" s="23" t="s">
        <v>468</v>
      </c>
      <c r="H126" s="23" t="s">
        <v>61</v>
      </c>
      <c r="I126" s="23" t="s">
        <v>894</v>
      </c>
      <c r="J126" s="23" t="s">
        <v>279</v>
      </c>
      <c r="K126" s="23" t="s">
        <v>279</v>
      </c>
      <c r="L126" s="23" t="s">
        <v>895</v>
      </c>
      <c r="M126" s="23" t="s">
        <v>279</v>
      </c>
      <c r="N126" s="23" t="s">
        <v>895</v>
      </c>
      <c r="O126" s="23" t="s">
        <v>122</v>
      </c>
      <c r="P126" s="23" t="s">
        <v>896</v>
      </c>
      <c r="Q126" s="23" t="s">
        <v>897</v>
      </c>
      <c r="R126" s="21">
        <v>33425</v>
      </c>
      <c r="S126" s="23" t="s">
        <v>1003</v>
      </c>
      <c r="T126" s="23" t="s">
        <v>920</v>
      </c>
      <c r="U126" s="21">
        <v>20</v>
      </c>
      <c r="V126" s="27" t="s">
        <v>907</v>
      </c>
      <c r="W126" s="21">
        <v>25</v>
      </c>
      <c r="X126" s="24">
        <v>10</v>
      </c>
      <c r="Y126" s="25">
        <v>0.3</v>
      </c>
      <c r="Z126" s="25">
        <v>0.7</v>
      </c>
      <c r="AA126" s="22"/>
      <c r="AB126" s="22"/>
      <c r="AC126" s="23" t="s">
        <v>901</v>
      </c>
      <c r="AD126" s="17" t="s">
        <v>469</v>
      </c>
      <c r="AE126" s="17">
        <v>1</v>
      </c>
      <c r="AF126" s="17" t="s">
        <v>279</v>
      </c>
      <c r="AG126" s="17"/>
      <c r="AH126" t="s">
        <v>903</v>
      </c>
      <c r="AJ126" s="15"/>
      <c r="AK126" t="s">
        <v>908</v>
      </c>
    </row>
    <row r="127" spans="1:37" ht="15" hidden="1" customHeight="1" x14ac:dyDescent="0.25">
      <c r="A127" s="8">
        <v>126</v>
      </c>
      <c r="B127" s="1">
        <v>30201</v>
      </c>
      <c r="C127" s="26"/>
      <c r="D127" s="1">
        <v>488</v>
      </c>
      <c r="E127" s="1">
        <v>48802</v>
      </c>
      <c r="F127" s="1">
        <v>48802</v>
      </c>
      <c r="G127" s="27" t="s">
        <v>481</v>
      </c>
      <c r="H127" s="27" t="s">
        <v>61</v>
      </c>
      <c r="I127" s="27" t="s">
        <v>894</v>
      </c>
      <c r="J127" s="27" t="s">
        <v>279</v>
      </c>
      <c r="K127" s="27" t="s">
        <v>279</v>
      </c>
      <c r="L127" s="27" t="s">
        <v>895</v>
      </c>
      <c r="M127" s="27" t="s">
        <v>279</v>
      </c>
      <c r="N127" s="27" t="s">
        <v>895</v>
      </c>
      <c r="O127" s="27" t="s">
        <v>601</v>
      </c>
      <c r="P127" s="27" t="s">
        <v>896</v>
      </c>
      <c r="Q127" s="27" t="s">
        <v>897</v>
      </c>
      <c r="R127" s="1">
        <v>33429</v>
      </c>
      <c r="S127" s="27" t="s">
        <v>1004</v>
      </c>
      <c r="T127" s="27" t="s">
        <v>915</v>
      </c>
      <c r="U127" s="1">
        <v>11</v>
      </c>
      <c r="V127" s="27" t="s">
        <v>913</v>
      </c>
      <c r="W127" s="1">
        <v>1</v>
      </c>
      <c r="X127" s="28">
        <v>3</v>
      </c>
      <c r="Y127" s="29">
        <v>0.3</v>
      </c>
      <c r="Z127" s="29">
        <v>0.7</v>
      </c>
      <c r="AA127" s="26"/>
      <c r="AB127" s="26"/>
      <c r="AC127" s="27" t="s">
        <v>901</v>
      </c>
      <c r="AD127" t="s">
        <v>616</v>
      </c>
      <c r="AE127">
        <v>1</v>
      </c>
      <c r="AF127" t="s">
        <v>279</v>
      </c>
      <c r="AG127" t="s">
        <v>902</v>
      </c>
      <c r="AH127" t="s">
        <v>903</v>
      </c>
      <c r="AJ127" s="15"/>
      <c r="AK127" t="s">
        <v>904</v>
      </c>
    </row>
    <row r="128" spans="1:37" ht="15" hidden="1" customHeight="1" x14ac:dyDescent="0.25">
      <c r="A128" s="1">
        <v>127</v>
      </c>
      <c r="B128" s="21">
        <v>30205</v>
      </c>
      <c r="C128" s="22"/>
      <c r="D128" s="21">
        <v>479</v>
      </c>
      <c r="E128" s="21">
        <v>47902</v>
      </c>
      <c r="F128" s="21">
        <v>47902</v>
      </c>
      <c r="G128" s="23" t="s">
        <v>481</v>
      </c>
      <c r="H128" s="23" t="s">
        <v>61</v>
      </c>
      <c r="I128" s="23" t="s">
        <v>894</v>
      </c>
      <c r="J128" s="23" t="s">
        <v>279</v>
      </c>
      <c r="K128" s="23" t="s">
        <v>279</v>
      </c>
      <c r="L128" s="23" t="s">
        <v>895</v>
      </c>
      <c r="M128" s="23" t="s">
        <v>279</v>
      </c>
      <c r="N128" s="23" t="s">
        <v>895</v>
      </c>
      <c r="O128" s="23" t="s">
        <v>601</v>
      </c>
      <c r="P128" s="23" t="s">
        <v>896</v>
      </c>
      <c r="Q128" s="23" t="s">
        <v>897</v>
      </c>
      <c r="R128" s="21">
        <v>33431</v>
      </c>
      <c r="S128" s="23" t="s">
        <v>1005</v>
      </c>
      <c r="T128" s="23" t="s">
        <v>915</v>
      </c>
      <c r="U128" s="21">
        <v>11</v>
      </c>
      <c r="V128" s="23" t="s">
        <v>913</v>
      </c>
      <c r="W128" s="21">
        <v>1</v>
      </c>
      <c r="X128" s="24">
        <v>3</v>
      </c>
      <c r="Y128" s="25">
        <v>0.3</v>
      </c>
      <c r="Z128" s="25">
        <v>0.7</v>
      </c>
      <c r="AA128" s="22"/>
      <c r="AB128" s="22"/>
      <c r="AC128" s="23" t="s">
        <v>901</v>
      </c>
      <c r="AD128" s="17" t="s">
        <v>609</v>
      </c>
      <c r="AE128" s="17">
        <v>1</v>
      </c>
      <c r="AF128" s="17" t="s">
        <v>279</v>
      </c>
      <c r="AG128" s="17" t="s">
        <v>902</v>
      </c>
      <c r="AH128" t="s">
        <v>903</v>
      </c>
      <c r="AJ128" s="15"/>
      <c r="AK128" t="s">
        <v>904</v>
      </c>
    </row>
    <row r="129" spans="1:37" ht="15" hidden="1" customHeight="1" x14ac:dyDescent="0.25">
      <c r="A129" s="1">
        <v>128</v>
      </c>
      <c r="B129" s="1">
        <v>30230</v>
      </c>
      <c r="C129" s="26"/>
      <c r="D129" s="1">
        <v>482</v>
      </c>
      <c r="E129" s="1">
        <v>48203</v>
      </c>
      <c r="F129" s="1">
        <v>48203</v>
      </c>
      <c r="G129" s="27" t="s">
        <v>481</v>
      </c>
      <c r="H129" s="27" t="s">
        <v>61</v>
      </c>
      <c r="I129" s="27" t="s">
        <v>894</v>
      </c>
      <c r="J129" s="27" t="s">
        <v>279</v>
      </c>
      <c r="K129" s="27" t="s">
        <v>279</v>
      </c>
      <c r="L129" s="27" t="s">
        <v>895</v>
      </c>
      <c r="M129" s="27" t="s">
        <v>279</v>
      </c>
      <c r="N129" s="27" t="s">
        <v>895</v>
      </c>
      <c r="O129" s="27" t="s">
        <v>601</v>
      </c>
      <c r="P129" s="27" t="s">
        <v>896</v>
      </c>
      <c r="Q129" s="27" t="s">
        <v>897</v>
      </c>
      <c r="R129" s="1">
        <v>33445</v>
      </c>
      <c r="S129" s="27" t="s">
        <v>1006</v>
      </c>
      <c r="T129" s="27" t="s">
        <v>915</v>
      </c>
      <c r="U129" s="1">
        <v>11</v>
      </c>
      <c r="V129" s="27" t="s">
        <v>913</v>
      </c>
      <c r="W129" s="1">
        <v>1</v>
      </c>
      <c r="X129" s="28">
        <v>3</v>
      </c>
      <c r="Y129" s="29">
        <v>0.3</v>
      </c>
      <c r="Z129" s="29">
        <v>0.7</v>
      </c>
      <c r="AA129" s="26"/>
      <c r="AB129" s="26"/>
      <c r="AC129" s="27" t="s">
        <v>901</v>
      </c>
      <c r="AD129" t="s">
        <v>611</v>
      </c>
      <c r="AE129">
        <v>1</v>
      </c>
      <c r="AF129" t="s">
        <v>279</v>
      </c>
      <c r="AG129" t="s">
        <v>902</v>
      </c>
      <c r="AH129" t="s">
        <v>903</v>
      </c>
      <c r="AJ129" s="15"/>
      <c r="AK129" t="s">
        <v>904</v>
      </c>
    </row>
    <row r="130" spans="1:37" ht="15" hidden="1" customHeight="1" x14ac:dyDescent="0.25">
      <c r="A130" s="8">
        <v>129</v>
      </c>
      <c r="B130" s="21">
        <v>30234</v>
      </c>
      <c r="C130" s="22"/>
      <c r="D130" s="21">
        <v>492</v>
      </c>
      <c r="E130" s="21">
        <v>49202</v>
      </c>
      <c r="F130" s="21">
        <v>49202</v>
      </c>
      <c r="G130" s="23" t="s">
        <v>481</v>
      </c>
      <c r="H130" s="23" t="s">
        <v>61</v>
      </c>
      <c r="I130" s="23" t="s">
        <v>894</v>
      </c>
      <c r="J130" s="23" t="s">
        <v>279</v>
      </c>
      <c r="K130" s="23" t="s">
        <v>279</v>
      </c>
      <c r="L130" s="23" t="s">
        <v>895</v>
      </c>
      <c r="M130" s="23" t="s">
        <v>279</v>
      </c>
      <c r="N130" s="23" t="s">
        <v>895</v>
      </c>
      <c r="O130" s="23" t="s">
        <v>601</v>
      </c>
      <c r="P130" s="23" t="s">
        <v>896</v>
      </c>
      <c r="Q130" s="23" t="s">
        <v>897</v>
      </c>
      <c r="R130" s="21">
        <v>33447</v>
      </c>
      <c r="S130" s="23" t="s">
        <v>1007</v>
      </c>
      <c r="T130" s="23" t="s">
        <v>915</v>
      </c>
      <c r="U130" s="21">
        <v>11</v>
      </c>
      <c r="V130" s="23" t="s">
        <v>913</v>
      </c>
      <c r="W130" s="21">
        <v>1</v>
      </c>
      <c r="X130" s="24">
        <v>3</v>
      </c>
      <c r="Y130" s="25">
        <v>0.3</v>
      </c>
      <c r="Z130" s="25">
        <v>0.7</v>
      </c>
      <c r="AA130" s="22"/>
      <c r="AB130" s="22"/>
      <c r="AC130" s="23" t="s">
        <v>901</v>
      </c>
      <c r="AD130" s="17" t="s">
        <v>618</v>
      </c>
      <c r="AE130" s="17">
        <v>1</v>
      </c>
      <c r="AF130" s="17" t="s">
        <v>279</v>
      </c>
      <c r="AG130" s="17" t="s">
        <v>902</v>
      </c>
      <c r="AH130" t="s">
        <v>903</v>
      </c>
      <c r="AJ130" s="15"/>
      <c r="AK130" t="s">
        <v>904</v>
      </c>
    </row>
    <row r="131" spans="1:37" ht="15" hidden="1" customHeight="1" x14ac:dyDescent="0.25">
      <c r="A131" s="1">
        <v>130</v>
      </c>
      <c r="B131" s="1">
        <v>30238</v>
      </c>
      <c r="C131" s="26"/>
      <c r="D131" s="1">
        <v>494</v>
      </c>
      <c r="E131" s="1">
        <v>49402</v>
      </c>
      <c r="F131" s="1">
        <v>49402</v>
      </c>
      <c r="G131" s="27" t="s">
        <v>481</v>
      </c>
      <c r="H131" s="27" t="s">
        <v>61</v>
      </c>
      <c r="I131" s="27" t="s">
        <v>894</v>
      </c>
      <c r="J131" s="27" t="s">
        <v>279</v>
      </c>
      <c r="K131" s="27" t="s">
        <v>279</v>
      </c>
      <c r="L131" s="27" t="s">
        <v>895</v>
      </c>
      <c r="M131" s="27" t="s">
        <v>279</v>
      </c>
      <c r="N131" s="27" t="s">
        <v>895</v>
      </c>
      <c r="O131" s="27" t="s">
        <v>601</v>
      </c>
      <c r="P131" s="27" t="s">
        <v>896</v>
      </c>
      <c r="Q131" s="27" t="s">
        <v>897</v>
      </c>
      <c r="R131" s="1">
        <v>33449</v>
      </c>
      <c r="S131" s="27" t="s">
        <v>1008</v>
      </c>
      <c r="T131" s="27" t="s">
        <v>915</v>
      </c>
      <c r="U131" s="1">
        <v>11</v>
      </c>
      <c r="V131" s="27" t="s">
        <v>913</v>
      </c>
      <c r="W131" s="1">
        <v>1</v>
      </c>
      <c r="X131" s="28">
        <v>3</v>
      </c>
      <c r="Y131" s="29">
        <v>0.3</v>
      </c>
      <c r="Z131" s="29">
        <v>0.7</v>
      </c>
      <c r="AA131" s="26"/>
      <c r="AB131" s="26"/>
      <c r="AC131" s="27" t="s">
        <v>901</v>
      </c>
      <c r="AD131" t="s">
        <v>622</v>
      </c>
      <c r="AE131">
        <v>1</v>
      </c>
      <c r="AF131" t="s">
        <v>279</v>
      </c>
      <c r="AG131" t="s">
        <v>902</v>
      </c>
      <c r="AH131" t="s">
        <v>903</v>
      </c>
      <c r="AJ131" s="15"/>
      <c r="AK131" t="s">
        <v>904</v>
      </c>
    </row>
    <row r="132" spans="1:37" ht="15" hidden="1" customHeight="1" x14ac:dyDescent="0.25">
      <c r="A132" s="1">
        <v>131</v>
      </c>
      <c r="B132" s="21">
        <v>30242</v>
      </c>
      <c r="C132" s="22"/>
      <c r="D132" s="21">
        <v>498</v>
      </c>
      <c r="E132" s="21">
        <v>49802</v>
      </c>
      <c r="F132" s="21">
        <v>49802</v>
      </c>
      <c r="G132" s="23" t="s">
        <v>481</v>
      </c>
      <c r="H132" s="23" t="s">
        <v>61</v>
      </c>
      <c r="I132" s="23" t="s">
        <v>894</v>
      </c>
      <c r="J132" s="23" t="s">
        <v>279</v>
      </c>
      <c r="K132" s="23" t="s">
        <v>279</v>
      </c>
      <c r="L132" s="23" t="s">
        <v>895</v>
      </c>
      <c r="M132" s="23" t="s">
        <v>279</v>
      </c>
      <c r="N132" s="23" t="s">
        <v>895</v>
      </c>
      <c r="O132" s="23" t="s">
        <v>601</v>
      </c>
      <c r="P132" s="23" t="s">
        <v>896</v>
      </c>
      <c r="Q132" s="23" t="s">
        <v>897</v>
      </c>
      <c r="R132" s="21">
        <v>33451</v>
      </c>
      <c r="S132" s="23" t="s">
        <v>1009</v>
      </c>
      <c r="T132" s="23" t="s">
        <v>915</v>
      </c>
      <c r="U132" s="21">
        <v>11</v>
      </c>
      <c r="V132" s="23" t="s">
        <v>913</v>
      </c>
      <c r="W132" s="21">
        <v>1</v>
      </c>
      <c r="X132" s="24">
        <v>3</v>
      </c>
      <c r="Y132" s="25">
        <v>0.3</v>
      </c>
      <c r="Z132" s="25">
        <v>0.7</v>
      </c>
      <c r="AA132" s="22"/>
      <c r="AB132" s="22"/>
      <c r="AC132" s="23" t="s">
        <v>901</v>
      </c>
      <c r="AD132" s="17" t="s">
        <v>625</v>
      </c>
      <c r="AE132" s="17">
        <v>1</v>
      </c>
      <c r="AF132" s="17" t="s">
        <v>279</v>
      </c>
      <c r="AG132" s="17" t="s">
        <v>902</v>
      </c>
      <c r="AH132" t="s">
        <v>903</v>
      </c>
      <c r="AJ132" s="15"/>
      <c r="AK132" t="s">
        <v>904</v>
      </c>
    </row>
    <row r="133" spans="1:37" ht="15" hidden="1" customHeight="1" x14ac:dyDescent="0.25">
      <c r="A133" s="8">
        <v>132</v>
      </c>
      <c r="B133" s="1">
        <v>30246</v>
      </c>
      <c r="C133" s="26"/>
      <c r="D133" s="1">
        <v>486</v>
      </c>
      <c r="E133" s="1">
        <v>48602</v>
      </c>
      <c r="F133" s="1">
        <v>48602</v>
      </c>
      <c r="G133" s="27" t="s">
        <v>481</v>
      </c>
      <c r="H133" s="27" t="s">
        <v>61</v>
      </c>
      <c r="I133" s="27" t="s">
        <v>894</v>
      </c>
      <c r="J133" s="27" t="s">
        <v>279</v>
      </c>
      <c r="K133" s="27" t="s">
        <v>279</v>
      </c>
      <c r="L133" s="27" t="s">
        <v>895</v>
      </c>
      <c r="M133" s="27" t="s">
        <v>279</v>
      </c>
      <c r="N133" s="27" t="s">
        <v>895</v>
      </c>
      <c r="O133" s="27" t="s">
        <v>601</v>
      </c>
      <c r="P133" s="27" t="s">
        <v>896</v>
      </c>
      <c r="Q133" s="27" t="s">
        <v>897</v>
      </c>
      <c r="R133" s="1">
        <v>33453</v>
      </c>
      <c r="S133" s="27" t="s">
        <v>1010</v>
      </c>
      <c r="T133" s="27" t="s">
        <v>915</v>
      </c>
      <c r="U133" s="1">
        <v>11</v>
      </c>
      <c r="V133" s="27" t="s">
        <v>913</v>
      </c>
      <c r="W133" s="1">
        <v>1</v>
      </c>
      <c r="X133" s="28">
        <v>3</v>
      </c>
      <c r="Y133" s="29">
        <v>0.3</v>
      </c>
      <c r="Z133" s="29">
        <v>0.7</v>
      </c>
      <c r="AA133" s="26"/>
      <c r="AB133" s="26"/>
      <c r="AC133" s="27" t="s">
        <v>901</v>
      </c>
      <c r="AD133" t="s">
        <v>614</v>
      </c>
      <c r="AE133">
        <v>1</v>
      </c>
      <c r="AF133" t="s">
        <v>279</v>
      </c>
      <c r="AG133" t="s">
        <v>902</v>
      </c>
      <c r="AH133" t="s">
        <v>903</v>
      </c>
      <c r="AJ133" s="15"/>
      <c r="AK133" t="s">
        <v>904</v>
      </c>
    </row>
    <row r="134" spans="1:37" ht="15" hidden="1" customHeight="1" x14ac:dyDescent="0.25">
      <c r="A134" s="1">
        <v>133</v>
      </c>
      <c r="B134" s="21">
        <v>30271</v>
      </c>
      <c r="C134" s="22"/>
      <c r="D134" s="21">
        <v>485</v>
      </c>
      <c r="E134" s="21">
        <v>48502</v>
      </c>
      <c r="F134" s="21">
        <v>48502</v>
      </c>
      <c r="G134" s="23" t="s">
        <v>481</v>
      </c>
      <c r="H134" s="23" t="s">
        <v>61</v>
      </c>
      <c r="I134" s="23" t="s">
        <v>894</v>
      </c>
      <c r="J134" s="23" t="s">
        <v>279</v>
      </c>
      <c r="K134" s="23" t="s">
        <v>279</v>
      </c>
      <c r="L134" s="23" t="s">
        <v>895</v>
      </c>
      <c r="M134" s="23" t="s">
        <v>279</v>
      </c>
      <c r="N134" s="23" t="s">
        <v>895</v>
      </c>
      <c r="O134" s="23" t="s">
        <v>601</v>
      </c>
      <c r="P134" s="23" t="s">
        <v>896</v>
      </c>
      <c r="Q134" s="23" t="s">
        <v>897</v>
      </c>
      <c r="R134" s="21">
        <v>33505</v>
      </c>
      <c r="S134" s="23" t="s">
        <v>1011</v>
      </c>
      <c r="T134" s="23" t="s">
        <v>915</v>
      </c>
      <c r="U134" s="21">
        <v>11</v>
      </c>
      <c r="V134" s="23" t="s">
        <v>913</v>
      </c>
      <c r="W134" s="21">
        <v>1</v>
      </c>
      <c r="X134" s="24">
        <v>3</v>
      </c>
      <c r="Y134" s="25">
        <v>0.3</v>
      </c>
      <c r="Z134" s="25">
        <v>0.7</v>
      </c>
      <c r="AA134" s="22"/>
      <c r="AB134" s="22"/>
      <c r="AC134" s="23" t="s">
        <v>901</v>
      </c>
      <c r="AD134" s="17" t="s">
        <v>613</v>
      </c>
      <c r="AE134" s="17">
        <v>1</v>
      </c>
      <c r="AF134" s="17" t="s">
        <v>279</v>
      </c>
      <c r="AG134" s="17" t="s">
        <v>902</v>
      </c>
      <c r="AH134" t="s">
        <v>903</v>
      </c>
      <c r="AJ134" s="15"/>
      <c r="AK134" t="s">
        <v>904</v>
      </c>
    </row>
    <row r="135" spans="1:37" ht="15" hidden="1" customHeight="1" x14ac:dyDescent="0.25">
      <c r="A135" s="1">
        <v>134</v>
      </c>
      <c r="B135" s="1">
        <v>30275</v>
      </c>
      <c r="C135" s="26"/>
      <c r="D135" s="1">
        <v>496</v>
      </c>
      <c r="E135" s="1">
        <v>49602</v>
      </c>
      <c r="F135" s="1">
        <v>49602</v>
      </c>
      <c r="G135" s="27" t="s">
        <v>481</v>
      </c>
      <c r="H135" s="27" t="s">
        <v>61</v>
      </c>
      <c r="I135" s="27" t="s">
        <v>894</v>
      </c>
      <c r="J135" s="27" t="s">
        <v>279</v>
      </c>
      <c r="K135" s="27" t="s">
        <v>279</v>
      </c>
      <c r="L135" s="27" t="s">
        <v>895</v>
      </c>
      <c r="M135" s="27" t="s">
        <v>279</v>
      </c>
      <c r="N135" s="27" t="s">
        <v>895</v>
      </c>
      <c r="O135" s="27" t="s">
        <v>601</v>
      </c>
      <c r="P135" s="27" t="s">
        <v>896</v>
      </c>
      <c r="Q135" s="27" t="s">
        <v>897</v>
      </c>
      <c r="R135" s="1">
        <v>33507</v>
      </c>
      <c r="S135" s="27" t="s">
        <v>1012</v>
      </c>
      <c r="T135" s="27" t="s">
        <v>915</v>
      </c>
      <c r="U135" s="1">
        <v>11</v>
      </c>
      <c r="V135" s="27" t="s">
        <v>913</v>
      </c>
      <c r="W135" s="1">
        <v>1</v>
      </c>
      <c r="X135" s="28">
        <v>3</v>
      </c>
      <c r="Y135" s="29">
        <v>0.3</v>
      </c>
      <c r="Z135" s="29">
        <v>0.7</v>
      </c>
      <c r="AA135" s="26"/>
      <c r="AB135" s="26"/>
      <c r="AC135" s="27" t="s">
        <v>901</v>
      </c>
      <c r="AD135" t="s">
        <v>623</v>
      </c>
      <c r="AE135">
        <v>1</v>
      </c>
      <c r="AF135" t="s">
        <v>279</v>
      </c>
      <c r="AG135" t="s">
        <v>902</v>
      </c>
      <c r="AH135" t="s">
        <v>903</v>
      </c>
      <c r="AJ135" s="15"/>
      <c r="AK135" t="s">
        <v>904</v>
      </c>
    </row>
    <row r="136" spans="1:37" ht="15" hidden="1" customHeight="1" x14ac:dyDescent="0.25">
      <c r="A136" s="8">
        <v>135</v>
      </c>
      <c r="B136" s="21">
        <v>30279</v>
      </c>
      <c r="C136" s="22"/>
      <c r="D136" s="21">
        <v>484</v>
      </c>
      <c r="E136" s="21">
        <v>48402</v>
      </c>
      <c r="F136" s="21">
        <v>48402</v>
      </c>
      <c r="G136" s="23" t="s">
        <v>481</v>
      </c>
      <c r="H136" s="23" t="s">
        <v>61</v>
      </c>
      <c r="I136" s="23" t="s">
        <v>894</v>
      </c>
      <c r="J136" s="23" t="s">
        <v>279</v>
      </c>
      <c r="K136" s="23" t="s">
        <v>279</v>
      </c>
      <c r="L136" s="23" t="s">
        <v>895</v>
      </c>
      <c r="M136" s="23" t="s">
        <v>279</v>
      </c>
      <c r="N136" s="23" t="s">
        <v>895</v>
      </c>
      <c r="O136" s="23" t="s">
        <v>601</v>
      </c>
      <c r="P136" s="23" t="s">
        <v>896</v>
      </c>
      <c r="Q136" s="23" t="s">
        <v>897</v>
      </c>
      <c r="R136" s="21">
        <v>33509</v>
      </c>
      <c r="S136" s="23" t="s">
        <v>981</v>
      </c>
      <c r="T136" s="23" t="s">
        <v>915</v>
      </c>
      <c r="U136" s="21">
        <v>11</v>
      </c>
      <c r="V136" s="23" t="s">
        <v>913</v>
      </c>
      <c r="W136" s="21">
        <v>1</v>
      </c>
      <c r="X136" s="24">
        <v>3</v>
      </c>
      <c r="Y136" s="25">
        <v>0.3</v>
      </c>
      <c r="Z136" s="25">
        <v>0.7</v>
      </c>
      <c r="AA136" s="22"/>
      <c r="AB136" s="22"/>
      <c r="AC136" s="23" t="s">
        <v>901</v>
      </c>
      <c r="AD136" s="17" t="s">
        <v>551</v>
      </c>
      <c r="AE136" s="17">
        <v>1</v>
      </c>
      <c r="AF136" s="17" t="s">
        <v>279</v>
      </c>
      <c r="AG136" s="17" t="s">
        <v>902</v>
      </c>
      <c r="AH136" t="s">
        <v>903</v>
      </c>
      <c r="AJ136" s="15"/>
      <c r="AK136" t="s">
        <v>904</v>
      </c>
    </row>
    <row r="137" spans="1:37" ht="15" hidden="1" customHeight="1" x14ac:dyDescent="0.25">
      <c r="A137" s="1">
        <v>136</v>
      </c>
      <c r="B137" s="1">
        <v>30283</v>
      </c>
      <c r="C137" s="26"/>
      <c r="D137" s="1">
        <v>493</v>
      </c>
      <c r="E137" s="1">
        <v>49302</v>
      </c>
      <c r="F137" s="1">
        <v>49302</v>
      </c>
      <c r="G137" s="27" t="s">
        <v>481</v>
      </c>
      <c r="H137" s="27" t="s">
        <v>61</v>
      </c>
      <c r="I137" s="27" t="s">
        <v>894</v>
      </c>
      <c r="J137" s="27" t="s">
        <v>279</v>
      </c>
      <c r="K137" s="27" t="s">
        <v>279</v>
      </c>
      <c r="L137" s="27" t="s">
        <v>895</v>
      </c>
      <c r="M137" s="27" t="s">
        <v>279</v>
      </c>
      <c r="N137" s="27" t="s">
        <v>895</v>
      </c>
      <c r="O137" s="27" t="s">
        <v>601</v>
      </c>
      <c r="P137" s="27" t="s">
        <v>896</v>
      </c>
      <c r="Q137" s="27" t="s">
        <v>897</v>
      </c>
      <c r="R137" s="1">
        <v>33511</v>
      </c>
      <c r="S137" s="27" t="s">
        <v>1013</v>
      </c>
      <c r="T137" s="27" t="s">
        <v>915</v>
      </c>
      <c r="U137" s="1">
        <v>11</v>
      </c>
      <c r="V137" s="27" t="s">
        <v>913</v>
      </c>
      <c r="W137" s="1">
        <v>1</v>
      </c>
      <c r="X137" s="28">
        <v>3</v>
      </c>
      <c r="Y137" s="29">
        <v>0.3</v>
      </c>
      <c r="Z137" s="29">
        <v>0.7</v>
      </c>
      <c r="AA137" s="26"/>
      <c r="AB137" s="26"/>
      <c r="AC137" s="27" t="s">
        <v>901</v>
      </c>
      <c r="AD137" t="s">
        <v>619</v>
      </c>
      <c r="AE137">
        <v>1</v>
      </c>
      <c r="AF137" t="s">
        <v>279</v>
      </c>
      <c r="AG137" t="s">
        <v>902</v>
      </c>
      <c r="AH137" t="s">
        <v>903</v>
      </c>
      <c r="AJ137" s="15"/>
      <c r="AK137" t="s">
        <v>904</v>
      </c>
    </row>
    <row r="138" spans="1:37" ht="15" hidden="1" customHeight="1" x14ac:dyDescent="0.25">
      <c r="A138" s="1">
        <v>137</v>
      </c>
      <c r="B138" s="21">
        <v>30287</v>
      </c>
      <c r="C138" s="22"/>
      <c r="D138" s="21">
        <v>497</v>
      </c>
      <c r="E138" s="21">
        <v>49702</v>
      </c>
      <c r="F138" s="21">
        <v>49702</v>
      </c>
      <c r="G138" s="23" t="s">
        <v>481</v>
      </c>
      <c r="H138" s="23" t="s">
        <v>61</v>
      </c>
      <c r="I138" s="23" t="s">
        <v>894</v>
      </c>
      <c r="J138" s="23" t="s">
        <v>279</v>
      </c>
      <c r="K138" s="23" t="s">
        <v>279</v>
      </c>
      <c r="L138" s="23" t="s">
        <v>895</v>
      </c>
      <c r="M138" s="23" t="s">
        <v>279</v>
      </c>
      <c r="N138" s="23" t="s">
        <v>895</v>
      </c>
      <c r="O138" s="23" t="s">
        <v>601</v>
      </c>
      <c r="P138" s="23" t="s">
        <v>896</v>
      </c>
      <c r="Q138" s="23" t="s">
        <v>897</v>
      </c>
      <c r="R138" s="21">
        <v>33513</v>
      </c>
      <c r="S138" s="23" t="s">
        <v>1014</v>
      </c>
      <c r="T138" s="23" t="s">
        <v>915</v>
      </c>
      <c r="U138" s="21">
        <v>11</v>
      </c>
      <c r="V138" s="23" t="s">
        <v>913</v>
      </c>
      <c r="W138" s="21">
        <v>1</v>
      </c>
      <c r="X138" s="24">
        <v>3</v>
      </c>
      <c r="Y138" s="25">
        <v>0.3</v>
      </c>
      <c r="Z138" s="25">
        <v>0.7</v>
      </c>
      <c r="AA138" s="22"/>
      <c r="AB138" s="22"/>
      <c r="AC138" s="23" t="s">
        <v>901</v>
      </c>
      <c r="AD138" s="17" t="s">
        <v>624</v>
      </c>
      <c r="AE138" s="17">
        <v>1</v>
      </c>
      <c r="AF138" s="17" t="s">
        <v>279</v>
      </c>
      <c r="AG138" s="17" t="s">
        <v>902</v>
      </c>
      <c r="AH138" t="s">
        <v>903</v>
      </c>
      <c r="AJ138" s="15"/>
      <c r="AK138" t="s">
        <v>904</v>
      </c>
    </row>
    <row r="139" spans="1:37" ht="15" hidden="1" customHeight="1" x14ac:dyDescent="0.25">
      <c r="A139" s="8">
        <v>138</v>
      </c>
      <c r="B139" s="1">
        <v>30291</v>
      </c>
      <c r="C139" s="26"/>
      <c r="D139" s="1">
        <v>483</v>
      </c>
      <c r="E139" s="1">
        <v>48302</v>
      </c>
      <c r="F139" s="1">
        <v>48302</v>
      </c>
      <c r="G139" s="27" t="s">
        <v>481</v>
      </c>
      <c r="H139" s="27" t="s">
        <v>61</v>
      </c>
      <c r="I139" s="27" t="s">
        <v>894</v>
      </c>
      <c r="J139" s="27" t="s">
        <v>279</v>
      </c>
      <c r="K139" s="27" t="s">
        <v>279</v>
      </c>
      <c r="L139" s="27" t="s">
        <v>895</v>
      </c>
      <c r="M139" s="27" t="s">
        <v>279</v>
      </c>
      <c r="N139" s="27" t="s">
        <v>895</v>
      </c>
      <c r="O139" s="27" t="s">
        <v>601</v>
      </c>
      <c r="P139" s="27" t="s">
        <v>896</v>
      </c>
      <c r="Q139" s="27" t="s">
        <v>897</v>
      </c>
      <c r="R139" s="1">
        <v>33515</v>
      </c>
      <c r="S139" s="27" t="s">
        <v>1015</v>
      </c>
      <c r="T139" s="27" t="s">
        <v>915</v>
      </c>
      <c r="U139" s="1">
        <v>11</v>
      </c>
      <c r="V139" s="27" t="s">
        <v>913</v>
      </c>
      <c r="W139" s="1">
        <v>1</v>
      </c>
      <c r="X139" s="28">
        <v>3</v>
      </c>
      <c r="Y139" s="29">
        <v>0.3</v>
      </c>
      <c r="Z139" s="29">
        <v>0.7</v>
      </c>
      <c r="AA139" s="26"/>
      <c r="AB139" s="26"/>
      <c r="AC139" s="27" t="s">
        <v>901</v>
      </c>
      <c r="AD139" t="s">
        <v>612</v>
      </c>
      <c r="AE139">
        <v>1</v>
      </c>
      <c r="AF139" t="s">
        <v>279</v>
      </c>
      <c r="AG139" t="s">
        <v>902</v>
      </c>
      <c r="AH139" t="s">
        <v>903</v>
      </c>
      <c r="AJ139" s="15"/>
      <c r="AK139" t="s">
        <v>904</v>
      </c>
    </row>
    <row r="140" spans="1:37" ht="15" hidden="1" customHeight="1" x14ac:dyDescent="0.25">
      <c r="A140" s="1">
        <v>139</v>
      </c>
      <c r="B140" s="21">
        <v>30295</v>
      </c>
      <c r="C140" s="22"/>
      <c r="D140" s="34">
        <v>481</v>
      </c>
      <c r="E140" s="34">
        <v>48102</v>
      </c>
      <c r="F140" s="34">
        <v>48102</v>
      </c>
      <c r="G140" s="23" t="s">
        <v>481</v>
      </c>
      <c r="H140" s="23" t="s">
        <v>61</v>
      </c>
      <c r="I140" s="23" t="s">
        <v>894</v>
      </c>
      <c r="J140" s="23" t="s">
        <v>279</v>
      </c>
      <c r="K140" s="23" t="s">
        <v>279</v>
      </c>
      <c r="L140" s="23" t="s">
        <v>895</v>
      </c>
      <c r="M140" s="23" t="s">
        <v>279</v>
      </c>
      <c r="N140" s="23" t="s">
        <v>895</v>
      </c>
      <c r="O140" s="23" t="s">
        <v>601</v>
      </c>
      <c r="P140" s="23" t="s">
        <v>896</v>
      </c>
      <c r="Q140" s="23" t="s">
        <v>897</v>
      </c>
      <c r="R140" s="21">
        <v>33517</v>
      </c>
      <c r="S140" s="23" t="s">
        <v>1016</v>
      </c>
      <c r="T140" s="23" t="s">
        <v>915</v>
      </c>
      <c r="U140" s="21">
        <v>11</v>
      </c>
      <c r="V140" s="23" t="s">
        <v>913</v>
      </c>
      <c r="W140" s="21">
        <v>1</v>
      </c>
      <c r="X140" s="24">
        <v>3</v>
      </c>
      <c r="Y140" s="25">
        <v>0.3</v>
      </c>
      <c r="Z140" s="25">
        <v>0.7</v>
      </c>
      <c r="AA140" s="22"/>
      <c r="AB140" s="22"/>
      <c r="AC140" s="23" t="s">
        <v>901</v>
      </c>
      <c r="AD140" s="17" t="s">
        <v>610</v>
      </c>
      <c r="AE140" s="17">
        <v>1</v>
      </c>
      <c r="AF140" s="17" t="s">
        <v>279</v>
      </c>
      <c r="AG140" s="17" t="s">
        <v>902</v>
      </c>
      <c r="AH140" t="s">
        <v>903</v>
      </c>
      <c r="AJ140" s="15"/>
      <c r="AK140" t="s">
        <v>904</v>
      </c>
    </row>
    <row r="141" spans="1:37" ht="15" hidden="1" customHeight="1" x14ac:dyDescent="0.25">
      <c r="A141" s="1">
        <v>140</v>
      </c>
      <c r="B141" s="1">
        <v>30471</v>
      </c>
      <c r="C141" s="26"/>
      <c r="D141" s="1">
        <v>478</v>
      </c>
      <c r="E141" s="1">
        <v>47802</v>
      </c>
      <c r="F141" s="1">
        <v>47802</v>
      </c>
      <c r="G141" s="27" t="s">
        <v>481</v>
      </c>
      <c r="H141" s="27" t="s">
        <v>61</v>
      </c>
      <c r="I141" s="27" t="s">
        <v>894</v>
      </c>
      <c r="J141" s="27" t="s">
        <v>279</v>
      </c>
      <c r="K141" s="27" t="s">
        <v>279</v>
      </c>
      <c r="L141" s="27" t="s">
        <v>895</v>
      </c>
      <c r="M141" s="27" t="s">
        <v>279</v>
      </c>
      <c r="N141" s="27" t="s">
        <v>895</v>
      </c>
      <c r="O141" s="27" t="s">
        <v>601</v>
      </c>
      <c r="P141" s="27" t="s">
        <v>896</v>
      </c>
      <c r="Q141" s="27" t="s">
        <v>897</v>
      </c>
      <c r="R141" s="1">
        <v>33665</v>
      </c>
      <c r="S141" s="27" t="s">
        <v>1017</v>
      </c>
      <c r="T141" s="27" t="s">
        <v>915</v>
      </c>
      <c r="U141" s="1">
        <v>11</v>
      </c>
      <c r="V141" s="27" t="s">
        <v>913</v>
      </c>
      <c r="W141" s="1">
        <v>1</v>
      </c>
      <c r="X141" s="28">
        <v>3</v>
      </c>
      <c r="Y141" s="29">
        <v>0.3</v>
      </c>
      <c r="Z141" s="29">
        <v>0.7</v>
      </c>
      <c r="AA141" s="26"/>
      <c r="AB141" s="26"/>
      <c r="AC141" s="27" t="s">
        <v>901</v>
      </c>
      <c r="AD141" t="s">
        <v>607</v>
      </c>
      <c r="AE141">
        <v>1</v>
      </c>
      <c r="AF141" t="s">
        <v>279</v>
      </c>
      <c r="AG141" t="s">
        <v>902</v>
      </c>
      <c r="AH141" t="s">
        <v>903</v>
      </c>
      <c r="AJ141" s="15"/>
      <c r="AK141" t="s">
        <v>904</v>
      </c>
    </row>
    <row r="142" spans="1:37" ht="15" hidden="1" customHeight="1" x14ac:dyDescent="0.25">
      <c r="A142" s="8">
        <v>141</v>
      </c>
      <c r="B142" s="21">
        <v>30475</v>
      </c>
      <c r="C142" s="22"/>
      <c r="D142" s="21">
        <v>490</v>
      </c>
      <c r="E142" s="21">
        <v>49002</v>
      </c>
      <c r="F142" s="21">
        <v>49002</v>
      </c>
      <c r="G142" s="23" t="s">
        <v>604</v>
      </c>
      <c r="H142" s="23" t="s">
        <v>61</v>
      </c>
      <c r="I142" s="23" t="s">
        <v>894</v>
      </c>
      <c r="J142" s="23" t="s">
        <v>279</v>
      </c>
      <c r="K142" s="23" t="s">
        <v>279</v>
      </c>
      <c r="L142" s="23" t="s">
        <v>895</v>
      </c>
      <c r="M142" s="23" t="s">
        <v>279</v>
      </c>
      <c r="N142" s="23" t="s">
        <v>895</v>
      </c>
      <c r="O142" s="23" t="s">
        <v>601</v>
      </c>
      <c r="P142" s="23" t="s">
        <v>896</v>
      </c>
      <c r="Q142" s="23" t="s">
        <v>897</v>
      </c>
      <c r="R142" s="21">
        <v>33667</v>
      </c>
      <c r="S142" s="23" t="s">
        <v>1018</v>
      </c>
      <c r="T142" s="23" t="s">
        <v>915</v>
      </c>
      <c r="U142" s="21">
        <v>11</v>
      </c>
      <c r="V142" s="23" t="s">
        <v>913</v>
      </c>
      <c r="W142" s="21">
        <v>1</v>
      </c>
      <c r="X142" s="24">
        <v>3</v>
      </c>
      <c r="Y142" s="25">
        <v>0.3</v>
      </c>
      <c r="Z142" s="25">
        <v>0.7</v>
      </c>
      <c r="AA142" s="22"/>
      <c r="AB142" s="22"/>
      <c r="AC142" s="23" t="s">
        <v>901</v>
      </c>
      <c r="AD142" s="17" t="s">
        <v>605</v>
      </c>
      <c r="AE142" s="17">
        <v>1</v>
      </c>
      <c r="AF142" s="17" t="s">
        <v>279</v>
      </c>
      <c r="AG142" s="17" t="s">
        <v>902</v>
      </c>
      <c r="AH142" t="s">
        <v>903</v>
      </c>
      <c r="AJ142" s="15"/>
      <c r="AK142" t="s">
        <v>904</v>
      </c>
    </row>
    <row r="143" spans="1:37" ht="15" hidden="1" customHeight="1" x14ac:dyDescent="0.25">
      <c r="A143" s="1">
        <v>142</v>
      </c>
      <c r="B143" s="1">
        <v>30710</v>
      </c>
      <c r="C143" s="26"/>
      <c r="D143" s="1">
        <v>153</v>
      </c>
      <c r="E143" s="1">
        <v>27</v>
      </c>
      <c r="F143" s="1">
        <v>15327</v>
      </c>
      <c r="G143" s="27" t="s">
        <v>241</v>
      </c>
      <c r="H143" s="27" t="s">
        <v>240</v>
      </c>
      <c r="I143" s="27" t="s">
        <v>894</v>
      </c>
      <c r="J143" s="27" t="s">
        <v>123</v>
      </c>
      <c r="K143" s="27" t="s">
        <v>123</v>
      </c>
      <c r="L143" s="27" t="s">
        <v>901</v>
      </c>
      <c r="M143" s="27" t="s">
        <v>123</v>
      </c>
      <c r="N143" s="27" t="s">
        <v>901</v>
      </c>
      <c r="O143" s="27" t="s">
        <v>363</v>
      </c>
      <c r="P143" s="27" t="s">
        <v>896</v>
      </c>
      <c r="Q143" s="27" t="s">
        <v>897</v>
      </c>
      <c r="R143" s="1">
        <v>33905</v>
      </c>
      <c r="S143" s="27" t="s">
        <v>1019</v>
      </c>
      <c r="T143" s="27" t="s">
        <v>917</v>
      </c>
      <c r="U143" s="1">
        <v>54</v>
      </c>
      <c r="V143" s="27" t="s">
        <v>900</v>
      </c>
      <c r="W143" s="1">
        <v>908</v>
      </c>
      <c r="X143" s="28">
        <v>0.99</v>
      </c>
      <c r="Y143" s="29">
        <v>0.5</v>
      </c>
      <c r="Z143" s="29">
        <v>0.5</v>
      </c>
      <c r="AA143" s="26"/>
      <c r="AB143" s="26"/>
      <c r="AC143" s="27" t="s">
        <v>901</v>
      </c>
      <c r="AD143" t="s">
        <v>363</v>
      </c>
      <c r="AE143">
        <v>4.25</v>
      </c>
      <c r="AF143" t="s">
        <v>123</v>
      </c>
      <c r="AG143" t="s">
        <v>902</v>
      </c>
      <c r="AH143" t="s">
        <v>903</v>
      </c>
      <c r="AJ143" s="15">
        <f>VLOOKUP(Tabla1[[#This Row],[CPC]],[1]Sheet3!$A:$D,4,0)</f>
        <v>0.50005814726209474</v>
      </c>
      <c r="AK143" t="s">
        <v>908</v>
      </c>
    </row>
    <row r="144" spans="1:37" ht="15" hidden="1" customHeight="1" x14ac:dyDescent="0.25">
      <c r="A144" s="1">
        <v>143</v>
      </c>
      <c r="B144" s="21">
        <v>30714</v>
      </c>
      <c r="C144" s="22"/>
      <c r="D144" s="31"/>
      <c r="E144" s="31" t="s">
        <v>1020</v>
      </c>
      <c r="F144" s="31" t="s">
        <v>1020</v>
      </c>
      <c r="G144" s="23" t="s">
        <v>253</v>
      </c>
      <c r="H144" s="23" t="s">
        <v>252</v>
      </c>
      <c r="I144" s="23" t="s">
        <v>894</v>
      </c>
      <c r="J144" s="23" t="s">
        <v>123</v>
      </c>
      <c r="K144" s="23" t="s">
        <v>123</v>
      </c>
      <c r="L144" s="23" t="s">
        <v>901</v>
      </c>
      <c r="M144" s="23" t="s">
        <v>123</v>
      </c>
      <c r="N144" s="23" t="s">
        <v>901</v>
      </c>
      <c r="O144" s="23" t="s">
        <v>363</v>
      </c>
      <c r="P144" s="23" t="s">
        <v>896</v>
      </c>
      <c r="Q144" s="23" t="s">
        <v>897</v>
      </c>
      <c r="R144" s="21">
        <v>33907</v>
      </c>
      <c r="S144" s="23" t="s">
        <v>252</v>
      </c>
      <c r="T144" s="23" t="s">
        <v>917</v>
      </c>
      <c r="U144" s="21">
        <v>54</v>
      </c>
      <c r="V144" s="23" t="s">
        <v>900</v>
      </c>
      <c r="W144" s="21">
        <v>908</v>
      </c>
      <c r="X144" s="24">
        <v>0.99</v>
      </c>
      <c r="Y144" s="25">
        <v>0.5</v>
      </c>
      <c r="Z144" s="25">
        <v>0.5</v>
      </c>
      <c r="AA144" s="22"/>
      <c r="AB144" s="22"/>
      <c r="AC144" s="23" t="s">
        <v>901</v>
      </c>
      <c r="AD144" s="17" t="s">
        <v>363</v>
      </c>
      <c r="AE144" s="17">
        <v>4.25</v>
      </c>
      <c r="AF144" s="17" t="s">
        <v>123</v>
      </c>
      <c r="AG144" s="17"/>
      <c r="AH144" t="s">
        <v>903</v>
      </c>
      <c r="AJ144" s="15"/>
      <c r="AK144" t="s">
        <v>908</v>
      </c>
    </row>
    <row r="145" spans="1:37" ht="15" hidden="1" customHeight="1" x14ac:dyDescent="0.25">
      <c r="A145" s="8">
        <v>144</v>
      </c>
      <c r="B145" s="1">
        <v>30791</v>
      </c>
      <c r="C145" s="26"/>
      <c r="D145" s="1">
        <v>243</v>
      </c>
      <c r="E145" s="1">
        <v>24302</v>
      </c>
      <c r="F145" s="1">
        <v>24302</v>
      </c>
      <c r="G145" s="27" t="s">
        <v>481</v>
      </c>
      <c r="H145" s="27" t="s">
        <v>61</v>
      </c>
      <c r="I145" s="27" t="s">
        <v>894</v>
      </c>
      <c r="J145" s="27" t="s">
        <v>279</v>
      </c>
      <c r="K145" s="27" t="s">
        <v>279</v>
      </c>
      <c r="L145" s="27" t="s">
        <v>895</v>
      </c>
      <c r="M145" s="27" t="s">
        <v>279</v>
      </c>
      <c r="N145" s="27" t="s">
        <v>895</v>
      </c>
      <c r="O145" s="27" t="s">
        <v>290</v>
      </c>
      <c r="P145" s="27" t="s">
        <v>896</v>
      </c>
      <c r="Q145" s="27" t="s">
        <v>897</v>
      </c>
      <c r="R145" s="1">
        <v>33965</v>
      </c>
      <c r="S145" s="27" t="s">
        <v>1021</v>
      </c>
      <c r="T145" s="27" t="s">
        <v>915</v>
      </c>
      <c r="U145" s="1">
        <v>11</v>
      </c>
      <c r="V145" s="27" t="s">
        <v>913</v>
      </c>
      <c r="W145" s="1">
        <v>1</v>
      </c>
      <c r="X145" s="28">
        <v>3</v>
      </c>
      <c r="Y145" s="29">
        <v>0.3</v>
      </c>
      <c r="Z145" s="29">
        <v>0.7</v>
      </c>
      <c r="AA145" s="26"/>
      <c r="AB145" s="26"/>
      <c r="AC145" s="27" t="s">
        <v>901</v>
      </c>
      <c r="AD145" t="s">
        <v>540</v>
      </c>
      <c r="AE145">
        <v>1</v>
      </c>
      <c r="AF145" t="s">
        <v>279</v>
      </c>
      <c r="AG145" t="s">
        <v>902</v>
      </c>
      <c r="AH145" t="s">
        <v>903</v>
      </c>
      <c r="AJ145" s="15"/>
      <c r="AK145" t="s">
        <v>904</v>
      </c>
    </row>
    <row r="146" spans="1:37" ht="15" hidden="1" customHeight="1" x14ac:dyDescent="0.25">
      <c r="A146" s="1">
        <v>145</v>
      </c>
      <c r="B146" s="21">
        <v>30880</v>
      </c>
      <c r="C146" s="22"/>
      <c r="D146" s="21">
        <v>294</v>
      </c>
      <c r="E146" s="21">
        <v>29402</v>
      </c>
      <c r="F146" s="21">
        <v>29402</v>
      </c>
      <c r="G146" s="23" t="s">
        <v>239</v>
      </c>
      <c r="H146" s="23" t="s">
        <v>237</v>
      </c>
      <c r="I146" s="23" t="s">
        <v>894</v>
      </c>
      <c r="J146" s="23" t="s">
        <v>123</v>
      </c>
      <c r="K146" s="23" t="s">
        <v>123</v>
      </c>
      <c r="L146" s="23" t="s">
        <v>901</v>
      </c>
      <c r="M146" s="23" t="s">
        <v>123</v>
      </c>
      <c r="N146" s="23" t="s">
        <v>901</v>
      </c>
      <c r="O146" s="23" t="s">
        <v>325</v>
      </c>
      <c r="P146" s="23" t="s">
        <v>896</v>
      </c>
      <c r="Q146" s="23" t="s">
        <v>897</v>
      </c>
      <c r="R146" s="21">
        <v>34085</v>
      </c>
      <c r="S146" s="23" t="s">
        <v>237</v>
      </c>
      <c r="T146" s="23" t="s">
        <v>915</v>
      </c>
      <c r="U146" s="21">
        <v>11</v>
      </c>
      <c r="V146" s="27" t="s">
        <v>907</v>
      </c>
      <c r="W146" s="21">
        <v>25</v>
      </c>
      <c r="X146" s="24">
        <v>3</v>
      </c>
      <c r="Y146" s="25">
        <v>0.5</v>
      </c>
      <c r="Z146" s="25">
        <v>0.5</v>
      </c>
      <c r="AA146" s="22"/>
      <c r="AB146" s="22"/>
      <c r="AC146" s="23" t="s">
        <v>901</v>
      </c>
      <c r="AD146" s="17" t="s">
        <v>375</v>
      </c>
      <c r="AE146" s="17">
        <v>1</v>
      </c>
      <c r="AF146" s="17" t="s">
        <v>123</v>
      </c>
      <c r="AG146" s="17" t="s">
        <v>902</v>
      </c>
      <c r="AH146" t="s">
        <v>903</v>
      </c>
      <c r="AJ146" s="15"/>
      <c r="AK146" t="s">
        <v>908</v>
      </c>
    </row>
    <row r="147" spans="1:37" ht="15" hidden="1" customHeight="1" x14ac:dyDescent="0.25">
      <c r="A147" s="1">
        <v>146</v>
      </c>
      <c r="B147" s="1">
        <v>31036</v>
      </c>
      <c r="C147" s="26"/>
      <c r="D147" s="1">
        <v>474</v>
      </c>
      <c r="E147" s="1">
        <v>47401</v>
      </c>
      <c r="F147" s="1">
        <v>47401</v>
      </c>
      <c r="G147" s="27" t="s">
        <v>245</v>
      </c>
      <c r="H147" s="27" t="s">
        <v>242</v>
      </c>
      <c r="I147" s="27" t="s">
        <v>894</v>
      </c>
      <c r="J147" s="27" t="s">
        <v>123</v>
      </c>
      <c r="K147" s="27" t="s">
        <v>123</v>
      </c>
      <c r="L147" s="27" t="s">
        <v>901</v>
      </c>
      <c r="M147" s="27" t="s">
        <v>123</v>
      </c>
      <c r="N147" s="27" t="s">
        <v>901</v>
      </c>
      <c r="O147" s="27" t="s">
        <v>325</v>
      </c>
      <c r="P147" s="27" t="s">
        <v>896</v>
      </c>
      <c r="Q147" s="27" t="s">
        <v>897</v>
      </c>
      <c r="R147" s="1">
        <v>34267</v>
      </c>
      <c r="S147" s="27" t="s">
        <v>242</v>
      </c>
      <c r="T147" s="27" t="s">
        <v>917</v>
      </c>
      <c r="U147" s="1">
        <v>54</v>
      </c>
      <c r="V147" s="27" t="s">
        <v>900</v>
      </c>
      <c r="W147" s="1">
        <v>908</v>
      </c>
      <c r="X147" s="28">
        <v>0.99</v>
      </c>
      <c r="Y147" s="29">
        <v>0.5</v>
      </c>
      <c r="Z147" s="29">
        <v>0.5</v>
      </c>
      <c r="AA147" s="26"/>
      <c r="AB147" s="26"/>
      <c r="AC147" s="27" t="s">
        <v>901</v>
      </c>
      <c r="AD147" t="s">
        <v>370</v>
      </c>
      <c r="AE147">
        <v>4.25</v>
      </c>
      <c r="AF147" t="s">
        <v>123</v>
      </c>
      <c r="AG147" t="s">
        <v>902</v>
      </c>
      <c r="AH147" t="s">
        <v>903</v>
      </c>
      <c r="AJ147" s="15">
        <f>VLOOKUP(Tabla1[[#This Row],[CPC]],[1]Sheet3!$A:$D,4,0)</f>
        <v>0.50055882414963793</v>
      </c>
      <c r="AK147" t="s">
        <v>908</v>
      </c>
    </row>
    <row r="148" spans="1:37" ht="15" hidden="1" customHeight="1" x14ac:dyDescent="0.25">
      <c r="A148" s="8">
        <v>147</v>
      </c>
      <c r="B148" s="21">
        <v>31039</v>
      </c>
      <c r="C148" s="22"/>
      <c r="D148" s="21">
        <v>342</v>
      </c>
      <c r="E148" s="21">
        <v>34204</v>
      </c>
      <c r="F148" s="21">
        <v>34204</v>
      </c>
      <c r="G148" s="23" t="s">
        <v>218</v>
      </c>
      <c r="H148" s="23" t="s">
        <v>217</v>
      </c>
      <c r="I148" s="23" t="s">
        <v>894</v>
      </c>
      <c r="J148" s="23" t="s">
        <v>123</v>
      </c>
      <c r="K148" s="23" t="s">
        <v>123</v>
      </c>
      <c r="L148" s="23" t="s">
        <v>901</v>
      </c>
      <c r="M148" s="23" t="s">
        <v>123</v>
      </c>
      <c r="N148" s="23" t="s">
        <v>901</v>
      </c>
      <c r="O148" s="23" t="s">
        <v>325</v>
      </c>
      <c r="P148" s="23" t="s">
        <v>896</v>
      </c>
      <c r="Q148" s="23" t="s">
        <v>897</v>
      </c>
      <c r="R148" s="21">
        <v>34268</v>
      </c>
      <c r="S148" s="23" t="s">
        <v>1022</v>
      </c>
      <c r="T148" s="23" t="s">
        <v>986</v>
      </c>
      <c r="U148" s="21">
        <v>60</v>
      </c>
      <c r="V148" s="23" t="s">
        <v>913</v>
      </c>
      <c r="W148" s="21">
        <v>1</v>
      </c>
      <c r="X148" s="24">
        <v>3.99</v>
      </c>
      <c r="Y148" s="25">
        <v>0.5</v>
      </c>
      <c r="Z148" s="25">
        <v>0.5</v>
      </c>
      <c r="AA148" s="22"/>
      <c r="AB148" s="22"/>
      <c r="AC148" s="23" t="s">
        <v>901</v>
      </c>
      <c r="AD148" s="17" t="s">
        <v>370</v>
      </c>
      <c r="AE148" s="17">
        <v>1</v>
      </c>
      <c r="AF148" s="17" t="s">
        <v>123</v>
      </c>
      <c r="AG148" s="17" t="s">
        <v>902</v>
      </c>
      <c r="AH148" t="s">
        <v>903</v>
      </c>
      <c r="AJ148" s="15"/>
      <c r="AK148" t="s">
        <v>908</v>
      </c>
    </row>
    <row r="149" spans="1:37" ht="15" hidden="1" customHeight="1" x14ac:dyDescent="0.25">
      <c r="A149" s="1">
        <v>148</v>
      </c>
      <c r="B149" s="1">
        <v>31041</v>
      </c>
      <c r="C149" s="26"/>
      <c r="D149" s="1">
        <v>342</v>
      </c>
      <c r="E149" s="1">
        <v>34203</v>
      </c>
      <c r="F149" s="1">
        <v>34203</v>
      </c>
      <c r="G149" s="27" t="s">
        <v>216</v>
      </c>
      <c r="H149" s="27" t="s">
        <v>215</v>
      </c>
      <c r="I149" s="27" t="s">
        <v>894</v>
      </c>
      <c r="J149" s="27" t="s">
        <v>123</v>
      </c>
      <c r="K149" s="27" t="s">
        <v>123</v>
      </c>
      <c r="L149" s="27" t="s">
        <v>901</v>
      </c>
      <c r="M149" s="27" t="s">
        <v>123</v>
      </c>
      <c r="N149" s="27" t="s">
        <v>901</v>
      </c>
      <c r="O149" s="27" t="s">
        <v>325</v>
      </c>
      <c r="P149" s="27" t="s">
        <v>896</v>
      </c>
      <c r="Q149" s="27" t="s">
        <v>897</v>
      </c>
      <c r="R149" s="1">
        <v>34269</v>
      </c>
      <c r="S149" s="27" t="s">
        <v>215</v>
      </c>
      <c r="T149" s="27" t="s">
        <v>899</v>
      </c>
      <c r="U149" s="1">
        <v>58</v>
      </c>
      <c r="V149" s="27" t="s">
        <v>913</v>
      </c>
      <c r="W149" s="1">
        <v>1</v>
      </c>
      <c r="X149" s="28">
        <v>2.99</v>
      </c>
      <c r="Y149" s="29">
        <v>0.5</v>
      </c>
      <c r="Z149" s="29">
        <v>0.5</v>
      </c>
      <c r="AA149" s="26"/>
      <c r="AB149" s="26"/>
      <c r="AC149" s="27" t="s">
        <v>901</v>
      </c>
      <c r="AD149" t="s">
        <v>370</v>
      </c>
      <c r="AE149">
        <v>1</v>
      </c>
      <c r="AF149" t="s">
        <v>123</v>
      </c>
      <c r="AG149" t="s">
        <v>902</v>
      </c>
      <c r="AH149" t="s">
        <v>903</v>
      </c>
      <c r="AJ149" s="15"/>
      <c r="AK149" t="s">
        <v>908</v>
      </c>
    </row>
    <row r="150" spans="1:37" ht="15" hidden="1" customHeight="1" x14ac:dyDescent="0.25">
      <c r="A150" s="1">
        <v>149</v>
      </c>
      <c r="B150" s="21">
        <v>31043</v>
      </c>
      <c r="C150" s="22"/>
      <c r="D150" s="21">
        <v>342</v>
      </c>
      <c r="E150" s="21">
        <v>34202</v>
      </c>
      <c r="F150" s="21">
        <v>34202</v>
      </c>
      <c r="G150" s="23" t="s">
        <v>214</v>
      </c>
      <c r="H150" s="23" t="s">
        <v>213</v>
      </c>
      <c r="I150" s="23" t="s">
        <v>894</v>
      </c>
      <c r="J150" s="23" t="s">
        <v>123</v>
      </c>
      <c r="K150" s="23" t="s">
        <v>123</v>
      </c>
      <c r="L150" s="23" t="s">
        <v>901</v>
      </c>
      <c r="M150" s="23" t="s">
        <v>123</v>
      </c>
      <c r="N150" s="23" t="s">
        <v>901</v>
      </c>
      <c r="O150" s="23" t="s">
        <v>325</v>
      </c>
      <c r="P150" s="23" t="s">
        <v>896</v>
      </c>
      <c r="Q150" s="23" t="s">
        <v>897</v>
      </c>
      <c r="R150" s="21">
        <v>34270</v>
      </c>
      <c r="S150" s="23" t="s">
        <v>213</v>
      </c>
      <c r="T150" s="23" t="s">
        <v>971</v>
      </c>
      <c r="U150" s="21">
        <v>56</v>
      </c>
      <c r="V150" s="23" t="s">
        <v>913</v>
      </c>
      <c r="W150" s="21">
        <v>1</v>
      </c>
      <c r="X150" s="24">
        <v>1.99</v>
      </c>
      <c r="Y150" s="25">
        <v>0.5</v>
      </c>
      <c r="Z150" s="25">
        <v>0.5</v>
      </c>
      <c r="AA150" s="22"/>
      <c r="AB150" s="22"/>
      <c r="AC150" s="23" t="s">
        <v>901</v>
      </c>
      <c r="AD150" s="17" t="s">
        <v>370</v>
      </c>
      <c r="AE150" s="17">
        <v>1</v>
      </c>
      <c r="AF150" s="17" t="s">
        <v>123</v>
      </c>
      <c r="AG150" s="17" t="s">
        <v>902</v>
      </c>
      <c r="AH150" t="s">
        <v>903</v>
      </c>
      <c r="AJ150" s="15"/>
      <c r="AK150" t="s">
        <v>908</v>
      </c>
    </row>
    <row r="151" spans="1:37" ht="15" hidden="1" customHeight="1" x14ac:dyDescent="0.25">
      <c r="A151" s="8">
        <v>150</v>
      </c>
      <c r="B151" s="1">
        <v>31048</v>
      </c>
      <c r="C151" s="26"/>
      <c r="D151" s="1">
        <v>383</v>
      </c>
      <c r="E151" s="1">
        <v>38301</v>
      </c>
      <c r="F151" s="1">
        <v>38301</v>
      </c>
      <c r="G151" s="27" t="s">
        <v>589</v>
      </c>
      <c r="H151" s="27" t="s">
        <v>588</v>
      </c>
      <c r="I151" s="27" t="s">
        <v>894</v>
      </c>
      <c r="J151" s="27" t="s">
        <v>279</v>
      </c>
      <c r="K151" s="27" t="s">
        <v>279</v>
      </c>
      <c r="L151" s="27" t="s">
        <v>895</v>
      </c>
      <c r="M151" s="27" t="s">
        <v>279</v>
      </c>
      <c r="N151" s="27" t="s">
        <v>895</v>
      </c>
      <c r="O151" s="27" t="s">
        <v>346</v>
      </c>
      <c r="P151" s="27" t="s">
        <v>896</v>
      </c>
      <c r="Q151" s="27" t="s">
        <v>897</v>
      </c>
      <c r="R151" s="1">
        <v>34284</v>
      </c>
      <c r="S151" s="27" t="s">
        <v>1023</v>
      </c>
      <c r="T151" s="27" t="s">
        <v>899</v>
      </c>
      <c r="U151" s="1">
        <v>58</v>
      </c>
      <c r="V151" s="27" t="s">
        <v>900</v>
      </c>
      <c r="W151" s="1">
        <v>908</v>
      </c>
      <c r="X151" s="28">
        <v>2.99</v>
      </c>
      <c r="Y151" s="29">
        <v>0.3</v>
      </c>
      <c r="Z151" s="29">
        <v>0.7</v>
      </c>
      <c r="AA151" s="26"/>
      <c r="AB151" s="26"/>
      <c r="AC151" s="27" t="s">
        <v>901</v>
      </c>
      <c r="AD151" t="s">
        <v>590</v>
      </c>
      <c r="AE151">
        <v>4.25</v>
      </c>
      <c r="AF151" t="s">
        <v>279</v>
      </c>
      <c r="AG151" t="s">
        <v>902</v>
      </c>
      <c r="AH151" t="s">
        <v>903</v>
      </c>
      <c r="AJ151" s="15"/>
      <c r="AK151" t="s">
        <v>904</v>
      </c>
    </row>
    <row r="152" spans="1:37" ht="15" hidden="1" customHeight="1" x14ac:dyDescent="0.25">
      <c r="A152" s="1">
        <v>151</v>
      </c>
      <c r="B152" s="21">
        <v>31150</v>
      </c>
      <c r="C152" s="22"/>
      <c r="D152" s="21">
        <v>213</v>
      </c>
      <c r="E152" s="21">
        <v>70</v>
      </c>
      <c r="F152" s="21">
        <v>21370</v>
      </c>
      <c r="G152" s="23" t="s">
        <v>196</v>
      </c>
      <c r="H152" s="23" t="s">
        <v>195</v>
      </c>
      <c r="I152" s="23" t="s">
        <v>894</v>
      </c>
      <c r="J152" s="23" t="s">
        <v>123</v>
      </c>
      <c r="K152" s="23" t="s">
        <v>123</v>
      </c>
      <c r="L152" s="23" t="s">
        <v>901</v>
      </c>
      <c r="M152" s="23" t="s">
        <v>123</v>
      </c>
      <c r="N152" s="23" t="s">
        <v>901</v>
      </c>
      <c r="O152" s="23" t="s">
        <v>364</v>
      </c>
      <c r="P152" s="23" t="s">
        <v>896</v>
      </c>
      <c r="Q152" s="23" t="s">
        <v>897</v>
      </c>
      <c r="R152" s="21">
        <v>34385</v>
      </c>
      <c r="S152" s="23" t="s">
        <v>195</v>
      </c>
      <c r="T152" s="23" t="s">
        <v>899</v>
      </c>
      <c r="U152" s="21">
        <v>58</v>
      </c>
      <c r="V152" s="23" t="s">
        <v>913</v>
      </c>
      <c r="W152" s="21">
        <v>1</v>
      </c>
      <c r="X152" s="24">
        <v>2.99</v>
      </c>
      <c r="Y152" s="25">
        <v>0.5</v>
      </c>
      <c r="Z152" s="25">
        <v>0.5</v>
      </c>
      <c r="AA152" s="22"/>
      <c r="AB152" s="22"/>
      <c r="AC152" s="23" t="s">
        <v>901</v>
      </c>
      <c r="AD152" s="17" t="s">
        <v>367</v>
      </c>
      <c r="AE152" s="17">
        <v>1</v>
      </c>
      <c r="AF152" s="17" t="s">
        <v>123</v>
      </c>
      <c r="AG152" s="17" t="s">
        <v>902</v>
      </c>
      <c r="AH152" t="s">
        <v>903</v>
      </c>
      <c r="AJ152" s="15"/>
      <c r="AK152" t="s">
        <v>908</v>
      </c>
    </row>
    <row r="153" spans="1:37" ht="15" hidden="1" customHeight="1" x14ac:dyDescent="0.25">
      <c r="A153" s="1">
        <v>152</v>
      </c>
      <c r="B153" s="1">
        <v>31192</v>
      </c>
      <c r="C153" s="26"/>
      <c r="D153" s="1">
        <v>367</v>
      </c>
      <c r="E153" s="1">
        <v>36701</v>
      </c>
      <c r="F153" s="1">
        <v>36701</v>
      </c>
      <c r="G153" s="27" t="s">
        <v>404</v>
      </c>
      <c r="H153" s="27" t="s">
        <v>403</v>
      </c>
      <c r="I153" s="27" t="s">
        <v>894</v>
      </c>
      <c r="J153" s="27" t="s">
        <v>256</v>
      </c>
      <c r="K153" s="27" t="s">
        <v>256</v>
      </c>
      <c r="L153" s="27" t="s">
        <v>901</v>
      </c>
      <c r="M153" s="27" t="s">
        <v>905</v>
      </c>
      <c r="N153" s="27" t="s">
        <v>256</v>
      </c>
      <c r="O153" s="27" t="s">
        <v>334</v>
      </c>
      <c r="P153" s="27" t="s">
        <v>896</v>
      </c>
      <c r="Q153" s="27" t="s">
        <v>897</v>
      </c>
      <c r="R153" s="1">
        <v>34424</v>
      </c>
      <c r="S153" s="27" t="s">
        <v>403</v>
      </c>
      <c r="T153" s="27" t="s">
        <v>971</v>
      </c>
      <c r="U153" s="1">
        <v>56</v>
      </c>
      <c r="V153" s="27" t="s">
        <v>900</v>
      </c>
      <c r="W153" s="1">
        <v>908</v>
      </c>
      <c r="X153" s="28">
        <v>1.99</v>
      </c>
      <c r="Y153" s="29">
        <v>0.4</v>
      </c>
      <c r="Z153" s="29">
        <v>0.6</v>
      </c>
      <c r="AA153" s="26"/>
      <c r="AB153" s="26"/>
      <c r="AC153" s="27" t="s">
        <v>901</v>
      </c>
      <c r="AD153" t="s">
        <v>405</v>
      </c>
      <c r="AE153">
        <v>4.25</v>
      </c>
      <c r="AF153" t="s">
        <v>43</v>
      </c>
      <c r="AG153" t="s">
        <v>902</v>
      </c>
      <c r="AH153" t="s">
        <v>903</v>
      </c>
      <c r="AJ153" s="15">
        <f>VLOOKUP(Tabla1[[#This Row],[CPC]],[1]Sheet3!$A:$D,4,0)</f>
        <v>0.40058158814376371</v>
      </c>
      <c r="AK153" t="s">
        <v>908</v>
      </c>
    </row>
    <row r="154" spans="1:37" ht="15" hidden="1" customHeight="1" x14ac:dyDescent="0.25">
      <c r="A154" s="8">
        <v>153</v>
      </c>
      <c r="B154" s="21">
        <v>31208</v>
      </c>
      <c r="C154" s="22"/>
      <c r="D154" s="21">
        <v>425</v>
      </c>
      <c r="E154" s="21">
        <v>42501</v>
      </c>
      <c r="F154" s="21">
        <v>42501</v>
      </c>
      <c r="G154" s="23" t="s">
        <v>62</v>
      </c>
      <c r="H154" s="23" t="s">
        <v>61</v>
      </c>
      <c r="I154" s="23" t="s">
        <v>894</v>
      </c>
      <c r="J154" s="23" t="s">
        <v>280</v>
      </c>
      <c r="K154" s="23" t="s">
        <v>280</v>
      </c>
      <c r="L154" s="23" t="s">
        <v>901</v>
      </c>
      <c r="M154" s="23" t="s">
        <v>280</v>
      </c>
      <c r="N154" s="23" t="s">
        <v>901</v>
      </c>
      <c r="O154" s="23" t="s">
        <v>119</v>
      </c>
      <c r="P154" s="23" t="s">
        <v>909</v>
      </c>
      <c r="Q154" s="23" t="s">
        <v>897</v>
      </c>
      <c r="R154" s="21">
        <v>34444</v>
      </c>
      <c r="S154" s="23" t="s">
        <v>1024</v>
      </c>
      <c r="T154" s="23" t="s">
        <v>917</v>
      </c>
      <c r="U154" s="21">
        <v>54</v>
      </c>
      <c r="V154" s="23" t="s">
        <v>900</v>
      </c>
      <c r="W154" s="21">
        <v>908</v>
      </c>
      <c r="X154" s="24">
        <v>0.99</v>
      </c>
      <c r="Y154" s="25">
        <v>0.4</v>
      </c>
      <c r="Z154" s="25">
        <v>0.6</v>
      </c>
      <c r="AA154" s="22"/>
      <c r="AB154" s="22"/>
      <c r="AC154" s="23" t="s">
        <v>901</v>
      </c>
      <c r="AD154" s="17" t="s">
        <v>776</v>
      </c>
      <c r="AE154" s="17">
        <v>4.25</v>
      </c>
      <c r="AF154" s="17" t="s">
        <v>280</v>
      </c>
      <c r="AG154" s="17"/>
      <c r="AH154" t="s">
        <v>903</v>
      </c>
      <c r="AJ154" s="15"/>
      <c r="AK154" t="s">
        <v>908</v>
      </c>
    </row>
    <row r="155" spans="1:37" ht="15" hidden="1" customHeight="1" x14ac:dyDescent="0.25">
      <c r="A155" s="1">
        <v>154</v>
      </c>
      <c r="B155" s="1">
        <v>31272</v>
      </c>
      <c r="C155" s="26"/>
      <c r="D155" s="1">
        <v>240</v>
      </c>
      <c r="E155" s="1">
        <v>98</v>
      </c>
      <c r="F155" s="1">
        <v>98</v>
      </c>
      <c r="G155" s="27" t="s">
        <v>468</v>
      </c>
      <c r="H155" s="27" t="s">
        <v>61</v>
      </c>
      <c r="I155" s="27" t="s">
        <v>894</v>
      </c>
      <c r="J155" s="27" t="s">
        <v>279</v>
      </c>
      <c r="K155" s="27" t="s">
        <v>279</v>
      </c>
      <c r="L155" s="27" t="s">
        <v>895</v>
      </c>
      <c r="M155" s="27" t="s">
        <v>279</v>
      </c>
      <c r="N155" s="27" t="s">
        <v>895</v>
      </c>
      <c r="O155" s="27" t="s">
        <v>122</v>
      </c>
      <c r="P155" s="27" t="s">
        <v>896</v>
      </c>
      <c r="Q155" s="27" t="s">
        <v>897</v>
      </c>
      <c r="R155" s="1">
        <v>34506</v>
      </c>
      <c r="S155" s="27" t="s">
        <v>1025</v>
      </c>
      <c r="T155" s="27" t="s">
        <v>920</v>
      </c>
      <c r="U155" s="1">
        <v>20</v>
      </c>
      <c r="V155" s="27" t="s">
        <v>907</v>
      </c>
      <c r="W155" s="1">
        <v>25</v>
      </c>
      <c r="X155" s="28">
        <v>10</v>
      </c>
      <c r="Y155" s="29">
        <v>0.3</v>
      </c>
      <c r="Z155" s="29">
        <v>0.7</v>
      </c>
      <c r="AA155" s="26"/>
      <c r="AB155" s="26"/>
      <c r="AC155" s="27" t="s">
        <v>901</v>
      </c>
      <c r="AD155" t="s">
        <v>471</v>
      </c>
      <c r="AE155">
        <v>1</v>
      </c>
      <c r="AF155" t="s">
        <v>279</v>
      </c>
      <c r="AH155" t="s">
        <v>903</v>
      </c>
      <c r="AJ155" s="15"/>
      <c r="AK155" t="s">
        <v>908</v>
      </c>
    </row>
    <row r="156" spans="1:37" ht="15" hidden="1" customHeight="1" x14ac:dyDescent="0.25">
      <c r="A156" s="1">
        <v>155</v>
      </c>
      <c r="B156" s="21">
        <v>31368</v>
      </c>
      <c r="C156" s="22"/>
      <c r="D156" s="21">
        <v>446</v>
      </c>
      <c r="E156" s="21">
        <v>44601</v>
      </c>
      <c r="F156" s="21">
        <v>44601</v>
      </c>
      <c r="G156" s="23" t="s">
        <v>765</v>
      </c>
      <c r="H156" s="23" t="s">
        <v>61</v>
      </c>
      <c r="I156" s="23" t="s">
        <v>894</v>
      </c>
      <c r="J156" s="23" t="s">
        <v>280</v>
      </c>
      <c r="K156" s="23" t="s">
        <v>280</v>
      </c>
      <c r="L156" s="23" t="s">
        <v>901</v>
      </c>
      <c r="M156" s="23" t="s">
        <v>280</v>
      </c>
      <c r="N156" s="23" t="s">
        <v>901</v>
      </c>
      <c r="O156" s="23" t="s">
        <v>762</v>
      </c>
      <c r="P156" s="23" t="s">
        <v>896</v>
      </c>
      <c r="Q156" s="23" t="s">
        <v>897</v>
      </c>
      <c r="R156" s="21">
        <v>34624</v>
      </c>
      <c r="S156" s="23" t="s">
        <v>1026</v>
      </c>
      <c r="T156" s="23" t="s">
        <v>917</v>
      </c>
      <c r="U156" s="21">
        <v>54</v>
      </c>
      <c r="V156" s="23" t="s">
        <v>900</v>
      </c>
      <c r="W156" s="21">
        <v>908</v>
      </c>
      <c r="X156" s="24">
        <v>0.99</v>
      </c>
      <c r="Y156" s="25">
        <v>0.7</v>
      </c>
      <c r="Z156" s="25">
        <v>0.3</v>
      </c>
      <c r="AA156" s="22"/>
      <c r="AB156" s="22"/>
      <c r="AC156" s="23" t="s">
        <v>901</v>
      </c>
      <c r="AD156" s="17" t="s">
        <v>766</v>
      </c>
      <c r="AE156" s="17">
        <v>4.25</v>
      </c>
      <c r="AF156" s="17" t="s">
        <v>280</v>
      </c>
      <c r="AG156" s="17" t="s">
        <v>902</v>
      </c>
      <c r="AH156" t="s">
        <v>903</v>
      </c>
      <c r="AJ156" s="15"/>
      <c r="AK156" t="s">
        <v>908</v>
      </c>
    </row>
    <row r="157" spans="1:37" ht="15" hidden="1" customHeight="1" x14ac:dyDescent="0.25">
      <c r="A157" s="8">
        <v>156</v>
      </c>
      <c r="B157" s="1">
        <v>31370</v>
      </c>
      <c r="C157" s="26"/>
      <c r="D157" s="1">
        <v>436</v>
      </c>
      <c r="E157" s="1">
        <v>43601</v>
      </c>
      <c r="F157" s="1">
        <v>43601</v>
      </c>
      <c r="G157" s="27" t="s">
        <v>763</v>
      </c>
      <c r="H157" s="27" t="s">
        <v>61</v>
      </c>
      <c r="I157" s="27" t="s">
        <v>894</v>
      </c>
      <c r="J157" s="27" t="s">
        <v>280</v>
      </c>
      <c r="K157" s="27" t="s">
        <v>280</v>
      </c>
      <c r="L157" s="27" t="s">
        <v>901</v>
      </c>
      <c r="M157" s="27" t="s">
        <v>280</v>
      </c>
      <c r="N157" s="27" t="s">
        <v>901</v>
      </c>
      <c r="O157" s="27" t="s">
        <v>762</v>
      </c>
      <c r="P157" s="27" t="s">
        <v>896</v>
      </c>
      <c r="Q157" s="27" t="s">
        <v>897</v>
      </c>
      <c r="R157" s="1">
        <v>34625</v>
      </c>
      <c r="S157" s="27" t="s">
        <v>1027</v>
      </c>
      <c r="T157" s="27" t="s">
        <v>917</v>
      </c>
      <c r="U157" s="1">
        <v>54</v>
      </c>
      <c r="V157" s="27" t="s">
        <v>900</v>
      </c>
      <c r="W157" s="1">
        <v>908</v>
      </c>
      <c r="X157" s="28">
        <v>0.99</v>
      </c>
      <c r="Y157" s="29">
        <v>0.6</v>
      </c>
      <c r="Z157" s="29">
        <v>0.4</v>
      </c>
      <c r="AA157" s="26"/>
      <c r="AB157" s="26"/>
      <c r="AC157" s="27" t="s">
        <v>901</v>
      </c>
      <c r="AD157" t="s">
        <v>764</v>
      </c>
      <c r="AE157">
        <v>4.25</v>
      </c>
      <c r="AF157" t="s">
        <v>280</v>
      </c>
      <c r="AG157" t="s">
        <v>902</v>
      </c>
      <c r="AH157" t="s">
        <v>903</v>
      </c>
      <c r="AJ157" s="15"/>
      <c r="AK157" t="s">
        <v>908</v>
      </c>
    </row>
    <row r="158" spans="1:37" ht="15" hidden="1" customHeight="1" x14ac:dyDescent="0.25">
      <c r="A158" s="1">
        <v>157</v>
      </c>
      <c r="B158" s="21">
        <v>31548</v>
      </c>
      <c r="C158" s="22"/>
      <c r="D158" s="21">
        <v>378</v>
      </c>
      <c r="E158" s="21">
        <v>37803</v>
      </c>
      <c r="F158" s="21">
        <v>37803</v>
      </c>
      <c r="G158" s="23" t="s">
        <v>481</v>
      </c>
      <c r="H158" s="23" t="s">
        <v>61</v>
      </c>
      <c r="I158" s="23" t="s">
        <v>894</v>
      </c>
      <c r="J158" s="23" t="s">
        <v>279</v>
      </c>
      <c r="K158" s="23" t="s">
        <v>279</v>
      </c>
      <c r="L158" s="23" t="s">
        <v>895</v>
      </c>
      <c r="M158" s="23" t="s">
        <v>279</v>
      </c>
      <c r="N158" s="23" t="s">
        <v>895</v>
      </c>
      <c r="O158" s="23" t="s">
        <v>491</v>
      </c>
      <c r="P158" s="23" t="s">
        <v>896</v>
      </c>
      <c r="Q158" s="23" t="s">
        <v>897</v>
      </c>
      <c r="R158" s="21">
        <v>34784</v>
      </c>
      <c r="S158" s="23" t="s">
        <v>1028</v>
      </c>
      <c r="T158" s="23" t="s">
        <v>906</v>
      </c>
      <c r="U158" s="21">
        <v>9</v>
      </c>
      <c r="V158" s="23" t="s">
        <v>913</v>
      </c>
      <c r="W158" s="21">
        <v>1</v>
      </c>
      <c r="X158" s="24">
        <v>2</v>
      </c>
      <c r="Y158" s="25">
        <v>0.3</v>
      </c>
      <c r="Z158" s="25">
        <v>0.7</v>
      </c>
      <c r="AA158" s="22"/>
      <c r="AB158" s="22"/>
      <c r="AC158" s="23" t="s">
        <v>901</v>
      </c>
      <c r="AD158" s="17" t="s">
        <v>492</v>
      </c>
      <c r="AE158" s="17">
        <v>1</v>
      </c>
      <c r="AF158" s="17" t="s">
        <v>279</v>
      </c>
      <c r="AG158" s="17" t="s">
        <v>902</v>
      </c>
      <c r="AH158" t="s">
        <v>903</v>
      </c>
      <c r="AJ158" s="15"/>
      <c r="AK158" t="s">
        <v>904</v>
      </c>
    </row>
    <row r="159" spans="1:37" ht="15" hidden="1" customHeight="1" x14ac:dyDescent="0.25">
      <c r="A159" s="1">
        <v>158</v>
      </c>
      <c r="B159" s="1">
        <v>31550</v>
      </c>
      <c r="C159" s="26"/>
      <c r="D159" s="1">
        <v>378</v>
      </c>
      <c r="E159" s="1">
        <v>37802</v>
      </c>
      <c r="F159" s="1">
        <v>37802</v>
      </c>
      <c r="G159" s="27" t="s">
        <v>481</v>
      </c>
      <c r="H159" s="27" t="s">
        <v>61</v>
      </c>
      <c r="I159" s="27" t="s">
        <v>894</v>
      </c>
      <c r="J159" s="27" t="s">
        <v>279</v>
      </c>
      <c r="K159" s="27" t="s">
        <v>279</v>
      </c>
      <c r="L159" s="27" t="s">
        <v>895</v>
      </c>
      <c r="M159" s="27" t="s">
        <v>279</v>
      </c>
      <c r="N159" s="27" t="s">
        <v>895</v>
      </c>
      <c r="O159" s="27" t="s">
        <v>491</v>
      </c>
      <c r="P159" s="27" t="s">
        <v>896</v>
      </c>
      <c r="Q159" s="27" t="s">
        <v>897</v>
      </c>
      <c r="R159" s="1">
        <v>34785</v>
      </c>
      <c r="S159" s="27" t="s">
        <v>1028</v>
      </c>
      <c r="T159" s="27" t="s">
        <v>915</v>
      </c>
      <c r="U159" s="1">
        <v>11</v>
      </c>
      <c r="V159" s="27" t="s">
        <v>913</v>
      </c>
      <c r="W159" s="1">
        <v>1</v>
      </c>
      <c r="X159" s="28">
        <v>3</v>
      </c>
      <c r="Y159" s="29">
        <v>0.3</v>
      </c>
      <c r="Z159" s="29">
        <v>0.7</v>
      </c>
      <c r="AA159" s="26"/>
      <c r="AB159" s="26"/>
      <c r="AC159" s="27" t="s">
        <v>901</v>
      </c>
      <c r="AD159" t="s">
        <v>492</v>
      </c>
      <c r="AE159">
        <v>1</v>
      </c>
      <c r="AF159" t="s">
        <v>279</v>
      </c>
      <c r="AG159" t="s">
        <v>902</v>
      </c>
      <c r="AH159" t="s">
        <v>903</v>
      </c>
      <c r="AJ159" s="15"/>
      <c r="AK159" t="s">
        <v>904</v>
      </c>
    </row>
    <row r="160" spans="1:37" ht="15" hidden="1" customHeight="1" x14ac:dyDescent="0.25">
      <c r="A160" s="8">
        <v>159</v>
      </c>
      <c r="B160" s="21">
        <v>31568</v>
      </c>
      <c r="C160" s="22"/>
      <c r="D160" s="21">
        <v>502</v>
      </c>
      <c r="E160" s="21">
        <v>50202</v>
      </c>
      <c r="F160" s="21">
        <v>50202</v>
      </c>
      <c r="G160" s="23" t="s">
        <v>62</v>
      </c>
      <c r="H160" s="23" t="s">
        <v>61</v>
      </c>
      <c r="I160" s="23" t="s">
        <v>894</v>
      </c>
      <c r="J160" s="23" t="s">
        <v>279</v>
      </c>
      <c r="K160" s="23" t="s">
        <v>279</v>
      </c>
      <c r="L160" s="23" t="s">
        <v>895</v>
      </c>
      <c r="M160" s="23" t="s">
        <v>279</v>
      </c>
      <c r="N160" s="23" t="s">
        <v>895</v>
      </c>
      <c r="O160" s="23" t="s">
        <v>601</v>
      </c>
      <c r="P160" s="23" t="s">
        <v>896</v>
      </c>
      <c r="Q160" s="23" t="s">
        <v>897</v>
      </c>
      <c r="R160" s="21">
        <v>34787</v>
      </c>
      <c r="S160" s="23" t="s">
        <v>1029</v>
      </c>
      <c r="T160" s="23" t="s">
        <v>899</v>
      </c>
      <c r="U160" s="21">
        <v>58</v>
      </c>
      <c r="V160" s="23" t="s">
        <v>900</v>
      </c>
      <c r="W160" s="21">
        <v>908</v>
      </c>
      <c r="X160" s="24">
        <v>2.99</v>
      </c>
      <c r="Y160" s="25">
        <v>0.3</v>
      </c>
      <c r="Z160" s="25">
        <v>0.7</v>
      </c>
      <c r="AA160" s="22"/>
      <c r="AB160" s="22"/>
      <c r="AC160" s="23" t="s">
        <v>901</v>
      </c>
      <c r="AD160" s="17" t="s">
        <v>629</v>
      </c>
      <c r="AE160" s="17">
        <v>4.25</v>
      </c>
      <c r="AF160" s="17" t="s">
        <v>279</v>
      </c>
      <c r="AG160" s="17"/>
      <c r="AH160" t="s">
        <v>903</v>
      </c>
      <c r="AJ160" s="15"/>
      <c r="AK160" t="s">
        <v>904</v>
      </c>
    </row>
    <row r="161" spans="1:37" ht="15" hidden="1" customHeight="1" x14ac:dyDescent="0.25">
      <c r="A161" s="1">
        <v>160</v>
      </c>
      <c r="B161" s="1">
        <v>31570</v>
      </c>
      <c r="C161" s="26"/>
      <c r="D161" s="1">
        <v>509</v>
      </c>
      <c r="E161" s="1">
        <v>50901</v>
      </c>
      <c r="F161" s="1">
        <v>50901</v>
      </c>
      <c r="G161" s="27" t="s">
        <v>62</v>
      </c>
      <c r="H161" s="27" t="s">
        <v>61</v>
      </c>
      <c r="I161" s="27" t="s">
        <v>894</v>
      </c>
      <c r="J161" s="27" t="s">
        <v>279</v>
      </c>
      <c r="K161" s="27" t="s">
        <v>279</v>
      </c>
      <c r="L161" s="27" t="s">
        <v>895</v>
      </c>
      <c r="M161" s="27" t="s">
        <v>279</v>
      </c>
      <c r="N161" s="27" t="s">
        <v>895</v>
      </c>
      <c r="O161" s="27" t="s">
        <v>601</v>
      </c>
      <c r="P161" s="27" t="s">
        <v>909</v>
      </c>
      <c r="Q161" s="27" t="s">
        <v>897</v>
      </c>
      <c r="R161" s="1">
        <v>34788</v>
      </c>
      <c r="S161" s="27" t="s">
        <v>965</v>
      </c>
      <c r="T161" s="27" t="s">
        <v>899</v>
      </c>
      <c r="U161" s="1">
        <v>58</v>
      </c>
      <c r="V161" s="27" t="s">
        <v>900</v>
      </c>
      <c r="W161" s="1">
        <v>908</v>
      </c>
      <c r="X161" s="28">
        <v>2.99</v>
      </c>
      <c r="Y161" s="29">
        <v>0.3</v>
      </c>
      <c r="Z161" s="29">
        <v>0.7</v>
      </c>
      <c r="AA161" s="26"/>
      <c r="AB161" s="26"/>
      <c r="AC161" s="27" t="s">
        <v>901</v>
      </c>
      <c r="AD161" t="s">
        <v>627</v>
      </c>
      <c r="AE161">
        <v>4.25</v>
      </c>
      <c r="AF161" t="s">
        <v>279</v>
      </c>
      <c r="AH161" t="s">
        <v>903</v>
      </c>
      <c r="AJ161" s="15"/>
      <c r="AK161" t="s">
        <v>904</v>
      </c>
    </row>
    <row r="162" spans="1:37" ht="15" hidden="1" customHeight="1" x14ac:dyDescent="0.25">
      <c r="A162" s="1">
        <v>161</v>
      </c>
      <c r="B162" s="21">
        <v>31572</v>
      </c>
      <c r="C162" s="22"/>
      <c r="D162" s="21">
        <v>504</v>
      </c>
      <c r="E162" s="21">
        <v>50401</v>
      </c>
      <c r="F162" s="21">
        <v>50401</v>
      </c>
      <c r="G162" s="23" t="s">
        <v>62</v>
      </c>
      <c r="H162" s="23" t="s">
        <v>61</v>
      </c>
      <c r="I162" s="23" t="s">
        <v>894</v>
      </c>
      <c r="J162" s="23" t="s">
        <v>279</v>
      </c>
      <c r="K162" s="23" t="s">
        <v>279</v>
      </c>
      <c r="L162" s="23" t="s">
        <v>895</v>
      </c>
      <c r="M162" s="23" t="s">
        <v>279</v>
      </c>
      <c r="N162" s="23" t="s">
        <v>895</v>
      </c>
      <c r="O162" s="23" t="s">
        <v>601</v>
      </c>
      <c r="P162" s="23" t="s">
        <v>909</v>
      </c>
      <c r="Q162" s="23" t="s">
        <v>897</v>
      </c>
      <c r="R162" s="21">
        <v>34789</v>
      </c>
      <c r="S162" s="23" t="s">
        <v>1030</v>
      </c>
      <c r="T162" s="23" t="s">
        <v>899</v>
      </c>
      <c r="U162" s="21">
        <v>58</v>
      </c>
      <c r="V162" s="23" t="s">
        <v>900</v>
      </c>
      <c r="W162" s="21">
        <v>908</v>
      </c>
      <c r="X162" s="24">
        <v>2.99</v>
      </c>
      <c r="Y162" s="25">
        <v>0.3</v>
      </c>
      <c r="Z162" s="25">
        <v>0.7</v>
      </c>
      <c r="AA162" s="22"/>
      <c r="AB162" s="22"/>
      <c r="AC162" s="23" t="s">
        <v>901</v>
      </c>
      <c r="AD162" s="17" t="s">
        <v>641</v>
      </c>
      <c r="AE162" s="17">
        <v>4.25</v>
      </c>
      <c r="AF162" s="17" t="s">
        <v>279</v>
      </c>
      <c r="AG162" s="17"/>
      <c r="AH162" t="s">
        <v>903</v>
      </c>
      <c r="AJ162" s="15"/>
      <c r="AK162" t="s">
        <v>904</v>
      </c>
    </row>
    <row r="163" spans="1:37" ht="15" hidden="1" customHeight="1" x14ac:dyDescent="0.25">
      <c r="A163" s="8">
        <v>162</v>
      </c>
      <c r="B163" s="1">
        <v>31574</v>
      </c>
      <c r="C163" s="26"/>
      <c r="D163" s="1">
        <v>505</v>
      </c>
      <c r="E163" s="1">
        <v>50501</v>
      </c>
      <c r="F163" s="1">
        <v>50501</v>
      </c>
      <c r="G163" s="27" t="s">
        <v>62</v>
      </c>
      <c r="H163" s="27" t="s">
        <v>61</v>
      </c>
      <c r="I163" s="27" t="s">
        <v>894</v>
      </c>
      <c r="J163" s="27" t="s">
        <v>279</v>
      </c>
      <c r="K163" s="27" t="s">
        <v>279</v>
      </c>
      <c r="L163" s="27" t="s">
        <v>895</v>
      </c>
      <c r="M163" s="27" t="s">
        <v>279</v>
      </c>
      <c r="N163" s="27" t="s">
        <v>895</v>
      </c>
      <c r="O163" s="27" t="s">
        <v>601</v>
      </c>
      <c r="P163" s="27" t="s">
        <v>909</v>
      </c>
      <c r="Q163" s="27" t="s">
        <v>897</v>
      </c>
      <c r="R163" s="1">
        <v>34790</v>
      </c>
      <c r="S163" s="27" t="s">
        <v>1031</v>
      </c>
      <c r="T163" s="27" t="s">
        <v>899</v>
      </c>
      <c r="U163" s="1">
        <v>58</v>
      </c>
      <c r="V163" s="27" t="s">
        <v>900</v>
      </c>
      <c r="W163" s="1">
        <v>908</v>
      </c>
      <c r="X163" s="28">
        <v>2.99</v>
      </c>
      <c r="Y163" s="29">
        <v>0.3</v>
      </c>
      <c r="Z163" s="29">
        <v>0.7</v>
      </c>
      <c r="AA163" s="26"/>
      <c r="AB163" s="26"/>
      <c r="AC163" s="27" t="s">
        <v>901</v>
      </c>
      <c r="AD163" t="s">
        <v>635</v>
      </c>
      <c r="AE163">
        <v>4.25</v>
      </c>
      <c r="AF163" t="s">
        <v>279</v>
      </c>
      <c r="AH163" t="s">
        <v>903</v>
      </c>
      <c r="AJ163" s="15"/>
      <c r="AK163" t="s">
        <v>904</v>
      </c>
    </row>
    <row r="164" spans="1:37" ht="15" hidden="1" customHeight="1" x14ac:dyDescent="0.25">
      <c r="A164" s="1">
        <v>163</v>
      </c>
      <c r="B164" s="21">
        <v>31581</v>
      </c>
      <c r="C164" s="22"/>
      <c r="D164" s="21">
        <v>378</v>
      </c>
      <c r="E164" s="21">
        <v>37801</v>
      </c>
      <c r="F164" s="21">
        <v>37801</v>
      </c>
      <c r="G164" s="23" t="s">
        <v>62</v>
      </c>
      <c r="H164" s="23" t="s">
        <v>61</v>
      </c>
      <c r="I164" s="23" t="s">
        <v>894</v>
      </c>
      <c r="J164" s="23" t="s">
        <v>279</v>
      </c>
      <c r="K164" s="23" t="s">
        <v>279</v>
      </c>
      <c r="L164" s="23" t="s">
        <v>895</v>
      </c>
      <c r="M164" s="23" t="s">
        <v>279</v>
      </c>
      <c r="N164" s="23" t="s">
        <v>895</v>
      </c>
      <c r="O164" s="23" t="s">
        <v>491</v>
      </c>
      <c r="P164" s="23" t="s">
        <v>896</v>
      </c>
      <c r="Q164" s="23" t="s">
        <v>897</v>
      </c>
      <c r="R164" s="21">
        <v>34786</v>
      </c>
      <c r="S164" s="23" t="s">
        <v>1028</v>
      </c>
      <c r="T164" s="23" t="s">
        <v>899</v>
      </c>
      <c r="U164" s="21">
        <v>58</v>
      </c>
      <c r="V164" s="23" t="s">
        <v>900</v>
      </c>
      <c r="W164" s="21">
        <v>908</v>
      </c>
      <c r="X164" s="24">
        <v>2.99</v>
      </c>
      <c r="Y164" s="25">
        <v>0.3</v>
      </c>
      <c r="Z164" s="25">
        <v>0.7</v>
      </c>
      <c r="AA164" s="22"/>
      <c r="AB164" s="22"/>
      <c r="AC164" s="23" t="s">
        <v>901</v>
      </c>
      <c r="AD164" s="17" t="s">
        <v>492</v>
      </c>
      <c r="AE164" s="17">
        <v>4.25</v>
      </c>
      <c r="AF164" s="17" t="s">
        <v>279</v>
      </c>
      <c r="AG164" s="17" t="s">
        <v>902</v>
      </c>
      <c r="AH164" t="s">
        <v>903</v>
      </c>
      <c r="AJ164" s="15">
        <f>VLOOKUP(Tabla1[[#This Row],[CPC]],[1]Sheet3!$A:$D,4,0)</f>
        <v>0.30000951912776397</v>
      </c>
      <c r="AK164" t="s">
        <v>904</v>
      </c>
    </row>
    <row r="165" spans="1:37" ht="15" hidden="1" customHeight="1" x14ac:dyDescent="0.25">
      <c r="A165" s="1">
        <v>164</v>
      </c>
      <c r="B165" s="1">
        <v>31608</v>
      </c>
      <c r="C165" s="26"/>
      <c r="D165" s="1">
        <v>500</v>
      </c>
      <c r="E165" s="1">
        <v>50001</v>
      </c>
      <c r="F165" s="1">
        <v>50001</v>
      </c>
      <c r="G165" s="27" t="s">
        <v>62</v>
      </c>
      <c r="H165" s="27" t="s">
        <v>61</v>
      </c>
      <c r="I165" s="27" t="s">
        <v>894</v>
      </c>
      <c r="J165" s="27" t="s">
        <v>279</v>
      </c>
      <c r="K165" s="27" t="s">
        <v>279</v>
      </c>
      <c r="L165" s="27" t="s">
        <v>895</v>
      </c>
      <c r="M165" s="27" t="s">
        <v>279</v>
      </c>
      <c r="N165" s="27" t="s">
        <v>895</v>
      </c>
      <c r="O165" s="27" t="s">
        <v>601</v>
      </c>
      <c r="P165" s="27" t="s">
        <v>909</v>
      </c>
      <c r="Q165" s="27" t="s">
        <v>897</v>
      </c>
      <c r="R165" s="1">
        <v>34804</v>
      </c>
      <c r="S165" s="27" t="s">
        <v>1032</v>
      </c>
      <c r="T165" s="27" t="s">
        <v>899</v>
      </c>
      <c r="U165" s="1">
        <v>58</v>
      </c>
      <c r="V165" s="27" t="s">
        <v>900</v>
      </c>
      <c r="W165" s="1">
        <v>908</v>
      </c>
      <c r="X165" s="28">
        <v>2.99</v>
      </c>
      <c r="Y165" s="29">
        <v>0.3</v>
      </c>
      <c r="Z165" s="29">
        <v>0.7</v>
      </c>
      <c r="AA165" s="26"/>
      <c r="AB165" s="26"/>
      <c r="AC165" s="27" t="s">
        <v>901</v>
      </c>
      <c r="AD165" t="s">
        <v>621</v>
      </c>
      <c r="AE165">
        <v>4.25</v>
      </c>
      <c r="AF165" t="s">
        <v>279</v>
      </c>
      <c r="AH165" t="s">
        <v>903</v>
      </c>
      <c r="AJ165" s="15"/>
      <c r="AK165" t="s">
        <v>904</v>
      </c>
    </row>
    <row r="166" spans="1:37" ht="15" hidden="1" customHeight="1" x14ac:dyDescent="0.25">
      <c r="A166" s="8">
        <v>165</v>
      </c>
      <c r="B166" s="21">
        <v>31610</v>
      </c>
      <c r="C166" s="22"/>
      <c r="D166" s="21">
        <v>584</v>
      </c>
      <c r="E166" s="21">
        <v>58401</v>
      </c>
      <c r="F166" s="21">
        <v>58401</v>
      </c>
      <c r="G166" s="23" t="s">
        <v>62</v>
      </c>
      <c r="H166" s="23" t="s">
        <v>61</v>
      </c>
      <c r="I166" s="23" t="s">
        <v>894</v>
      </c>
      <c r="J166" s="23" t="s">
        <v>279</v>
      </c>
      <c r="K166" s="23" t="s">
        <v>279</v>
      </c>
      <c r="L166" s="23" t="s">
        <v>922</v>
      </c>
      <c r="M166" s="23" t="s">
        <v>279</v>
      </c>
      <c r="N166" s="23" t="s">
        <v>922</v>
      </c>
      <c r="O166" s="23" t="s">
        <v>461</v>
      </c>
      <c r="P166" s="23" t="s">
        <v>896</v>
      </c>
      <c r="Q166" s="23" t="s">
        <v>897</v>
      </c>
      <c r="R166" s="21">
        <v>34805</v>
      </c>
      <c r="S166" s="23" t="s">
        <v>1033</v>
      </c>
      <c r="T166" s="23" t="s">
        <v>899</v>
      </c>
      <c r="U166" s="21">
        <v>58</v>
      </c>
      <c r="V166" s="23" t="s">
        <v>900</v>
      </c>
      <c r="W166" s="21">
        <v>908</v>
      </c>
      <c r="X166" s="24">
        <v>2.99</v>
      </c>
      <c r="Y166" s="25">
        <v>0.3</v>
      </c>
      <c r="Z166" s="25">
        <v>0.7</v>
      </c>
      <c r="AA166" s="22"/>
      <c r="AB166" s="22"/>
      <c r="AC166" s="23" t="s">
        <v>901</v>
      </c>
      <c r="AD166" s="17" t="s">
        <v>462</v>
      </c>
      <c r="AE166" s="17">
        <v>4.25</v>
      </c>
      <c r="AF166" s="17" t="s">
        <v>279</v>
      </c>
      <c r="AG166" s="17"/>
      <c r="AH166" t="s">
        <v>903</v>
      </c>
      <c r="AJ166" s="15"/>
      <c r="AK166" t="s">
        <v>908</v>
      </c>
    </row>
    <row r="167" spans="1:37" ht="15" hidden="1" customHeight="1" x14ac:dyDescent="0.25">
      <c r="A167" s="1">
        <v>166</v>
      </c>
      <c r="B167" s="1">
        <v>31612</v>
      </c>
      <c r="C167" s="26"/>
      <c r="D167" s="1">
        <v>585</v>
      </c>
      <c r="E167" s="1">
        <v>58501</v>
      </c>
      <c r="F167" s="1">
        <v>58501</v>
      </c>
      <c r="G167" s="27" t="s">
        <v>62</v>
      </c>
      <c r="H167" s="27" t="s">
        <v>61</v>
      </c>
      <c r="I167" s="27" t="s">
        <v>894</v>
      </c>
      <c r="J167" s="27" t="s">
        <v>279</v>
      </c>
      <c r="K167" s="27" t="s">
        <v>279</v>
      </c>
      <c r="L167" s="27" t="s">
        <v>922</v>
      </c>
      <c r="M167" s="27" t="s">
        <v>279</v>
      </c>
      <c r="N167" s="27" t="s">
        <v>922</v>
      </c>
      <c r="O167" s="27" t="s">
        <v>474</v>
      </c>
      <c r="P167" s="27" t="s">
        <v>909</v>
      </c>
      <c r="Q167" s="27" t="s">
        <v>897</v>
      </c>
      <c r="R167" s="1">
        <v>34806</v>
      </c>
      <c r="S167" s="27" t="s">
        <v>1034</v>
      </c>
      <c r="T167" s="27" t="s">
        <v>899</v>
      </c>
      <c r="U167" s="1">
        <v>58</v>
      </c>
      <c r="V167" s="27" t="s">
        <v>900</v>
      </c>
      <c r="W167" s="1">
        <v>908</v>
      </c>
      <c r="X167" s="28">
        <v>2.99</v>
      </c>
      <c r="Y167" s="29">
        <v>0.3</v>
      </c>
      <c r="Z167" s="29">
        <v>0.7</v>
      </c>
      <c r="AA167" s="26"/>
      <c r="AB167" s="26"/>
      <c r="AC167" s="27" t="s">
        <v>901</v>
      </c>
      <c r="AD167" t="s">
        <v>488</v>
      </c>
      <c r="AE167">
        <v>4.25</v>
      </c>
      <c r="AF167" t="s">
        <v>279</v>
      </c>
      <c r="AH167" t="s">
        <v>903</v>
      </c>
      <c r="AJ167" s="15"/>
      <c r="AK167" t="s">
        <v>904</v>
      </c>
    </row>
    <row r="168" spans="1:37" ht="15" hidden="1" customHeight="1" x14ac:dyDescent="0.25">
      <c r="A168" s="1">
        <v>167</v>
      </c>
      <c r="B168" s="21">
        <v>31688</v>
      </c>
      <c r="C168" s="22"/>
      <c r="D168" s="21">
        <v>359</v>
      </c>
      <c r="E168" s="21">
        <v>35901</v>
      </c>
      <c r="F168" s="21">
        <v>35901</v>
      </c>
      <c r="G168" s="23" t="s">
        <v>401</v>
      </c>
      <c r="H168" s="23" t="s">
        <v>400</v>
      </c>
      <c r="I168" s="23" t="s">
        <v>894</v>
      </c>
      <c r="J168" s="23" t="s">
        <v>256</v>
      </c>
      <c r="K168" s="23" t="s">
        <v>256</v>
      </c>
      <c r="L168" s="23" t="s">
        <v>901</v>
      </c>
      <c r="M168" s="23" t="s">
        <v>905</v>
      </c>
      <c r="N168" s="23" t="s">
        <v>256</v>
      </c>
      <c r="O168" s="23" t="s">
        <v>334</v>
      </c>
      <c r="P168" s="23" t="s">
        <v>896</v>
      </c>
      <c r="Q168" s="23" t="s">
        <v>897</v>
      </c>
      <c r="R168" s="21">
        <v>34884</v>
      </c>
      <c r="S168" s="23" t="s">
        <v>400</v>
      </c>
      <c r="T168" s="23" t="s">
        <v>971</v>
      </c>
      <c r="U168" s="21">
        <v>56</v>
      </c>
      <c r="V168" s="23" t="s">
        <v>913</v>
      </c>
      <c r="W168" s="21">
        <v>1</v>
      </c>
      <c r="X168" s="24">
        <v>1.99</v>
      </c>
      <c r="Y168" s="25">
        <v>0.4</v>
      </c>
      <c r="Z168" s="25">
        <v>0.6</v>
      </c>
      <c r="AA168" s="22"/>
      <c r="AB168" s="22"/>
      <c r="AC168" s="23" t="s">
        <v>901</v>
      </c>
      <c r="AD168" s="17" t="s">
        <v>402</v>
      </c>
      <c r="AE168" s="17">
        <v>1</v>
      </c>
      <c r="AF168" s="17" t="s">
        <v>43</v>
      </c>
      <c r="AG168" s="17" t="s">
        <v>902</v>
      </c>
      <c r="AH168" t="s">
        <v>903</v>
      </c>
      <c r="AJ168" s="15"/>
      <c r="AK168" t="s">
        <v>908</v>
      </c>
    </row>
    <row r="169" spans="1:37" ht="15" hidden="1" customHeight="1" x14ac:dyDescent="0.25">
      <c r="A169" s="8">
        <v>168</v>
      </c>
      <c r="B169" s="1">
        <v>31690</v>
      </c>
      <c r="C169" s="26"/>
      <c r="D169" s="1">
        <v>368</v>
      </c>
      <c r="E169" s="1">
        <v>36801</v>
      </c>
      <c r="F169" s="1">
        <v>36801</v>
      </c>
      <c r="G169" s="27" t="s">
        <v>407</v>
      </c>
      <c r="H169" s="27" t="s">
        <v>406</v>
      </c>
      <c r="I169" s="27" t="s">
        <v>894</v>
      </c>
      <c r="J169" s="27" t="s">
        <v>256</v>
      </c>
      <c r="K169" s="27" t="s">
        <v>256</v>
      </c>
      <c r="L169" s="27" t="s">
        <v>901</v>
      </c>
      <c r="M169" s="27" t="s">
        <v>905</v>
      </c>
      <c r="N169" s="27" t="s">
        <v>256</v>
      </c>
      <c r="O169" s="27" t="s">
        <v>334</v>
      </c>
      <c r="P169" s="27" t="s">
        <v>896</v>
      </c>
      <c r="Q169" s="27" t="s">
        <v>897</v>
      </c>
      <c r="R169" s="1">
        <v>34885</v>
      </c>
      <c r="S169" s="27" t="s">
        <v>406</v>
      </c>
      <c r="T169" s="27" t="s">
        <v>917</v>
      </c>
      <c r="U169" s="1">
        <v>54</v>
      </c>
      <c r="V169" s="27" t="s">
        <v>900</v>
      </c>
      <c r="W169" s="1">
        <v>908</v>
      </c>
      <c r="X169" s="28">
        <v>0.99</v>
      </c>
      <c r="Y169" s="29">
        <v>0.4</v>
      </c>
      <c r="Z169" s="29">
        <v>0.6</v>
      </c>
      <c r="AA169" s="26"/>
      <c r="AB169" s="26"/>
      <c r="AC169" s="27" t="s">
        <v>901</v>
      </c>
      <c r="AD169" t="s">
        <v>408</v>
      </c>
      <c r="AE169">
        <v>4.25</v>
      </c>
      <c r="AF169" t="s">
        <v>43</v>
      </c>
      <c r="AG169" t="s">
        <v>902</v>
      </c>
      <c r="AH169" t="s">
        <v>903</v>
      </c>
      <c r="AJ169" s="15">
        <f>VLOOKUP(Tabla1[[#This Row],[CPC]],[1]Sheet3!$A:$D,4,0)</f>
        <v>0.399975603325818</v>
      </c>
      <c r="AK169" t="s">
        <v>908</v>
      </c>
    </row>
    <row r="170" spans="1:37" ht="15" hidden="1" customHeight="1" x14ac:dyDescent="0.25">
      <c r="A170" s="1">
        <v>169</v>
      </c>
      <c r="B170" s="21">
        <v>31788</v>
      </c>
      <c r="C170" s="22"/>
      <c r="D170" s="21">
        <v>220</v>
      </c>
      <c r="E170" s="21">
        <v>78</v>
      </c>
      <c r="F170" s="21">
        <v>78</v>
      </c>
      <c r="G170" s="23" t="s">
        <v>468</v>
      </c>
      <c r="H170" s="23" t="s">
        <v>61</v>
      </c>
      <c r="I170" s="23" t="s">
        <v>894</v>
      </c>
      <c r="J170" s="23" t="s">
        <v>279</v>
      </c>
      <c r="K170" s="23" t="s">
        <v>279</v>
      </c>
      <c r="L170" s="23" t="s">
        <v>925</v>
      </c>
      <c r="M170" s="23" t="s">
        <v>279</v>
      </c>
      <c r="N170" s="23" t="s">
        <v>925</v>
      </c>
      <c r="O170" s="23" t="s">
        <v>122</v>
      </c>
      <c r="P170" s="23" t="s">
        <v>896</v>
      </c>
      <c r="Q170" s="23" t="s">
        <v>897</v>
      </c>
      <c r="R170" s="21">
        <v>34964</v>
      </c>
      <c r="S170" s="23" t="s">
        <v>57</v>
      </c>
      <c r="T170" s="23" t="s">
        <v>924</v>
      </c>
      <c r="U170" s="21">
        <v>12</v>
      </c>
      <c r="V170" s="27" t="s">
        <v>907</v>
      </c>
      <c r="W170" s="21">
        <v>25</v>
      </c>
      <c r="X170" s="24">
        <v>5</v>
      </c>
      <c r="Y170" s="25">
        <v>0.3</v>
      </c>
      <c r="Z170" s="25">
        <v>0.7</v>
      </c>
      <c r="AA170" s="22"/>
      <c r="AB170" s="22"/>
      <c r="AC170" s="23" t="s">
        <v>901</v>
      </c>
      <c r="AD170" s="17" t="s">
        <v>336</v>
      </c>
      <c r="AE170" s="17">
        <v>1</v>
      </c>
      <c r="AF170" s="17" t="s">
        <v>279</v>
      </c>
      <c r="AG170" s="17" t="s">
        <v>902</v>
      </c>
      <c r="AH170" t="s">
        <v>903</v>
      </c>
      <c r="AJ170" s="15"/>
      <c r="AK170" t="s">
        <v>908</v>
      </c>
    </row>
    <row r="171" spans="1:37" ht="15" hidden="1" customHeight="1" x14ac:dyDescent="0.25">
      <c r="A171" s="1">
        <v>170</v>
      </c>
      <c r="B171" s="1">
        <v>31792</v>
      </c>
      <c r="C171" s="26"/>
      <c r="D171" s="1">
        <v>246</v>
      </c>
      <c r="E171" s="1">
        <v>24601</v>
      </c>
      <c r="F171" s="1">
        <v>24601</v>
      </c>
      <c r="G171" s="27" t="s">
        <v>560</v>
      </c>
      <c r="H171" s="27" t="s">
        <v>61</v>
      </c>
      <c r="I171" s="27" t="s">
        <v>894</v>
      </c>
      <c r="J171" s="27" t="s">
        <v>279</v>
      </c>
      <c r="K171" s="27" t="s">
        <v>279</v>
      </c>
      <c r="L171" s="27" t="s">
        <v>895</v>
      </c>
      <c r="M171" s="27" t="s">
        <v>279</v>
      </c>
      <c r="N171" s="27" t="s">
        <v>925</v>
      </c>
      <c r="O171" s="27" t="s">
        <v>290</v>
      </c>
      <c r="P171" s="27" t="s">
        <v>909</v>
      </c>
      <c r="Q171" s="27" t="s">
        <v>897</v>
      </c>
      <c r="R171" s="1">
        <v>34967</v>
      </c>
      <c r="S171" s="27" t="s">
        <v>1035</v>
      </c>
      <c r="T171" s="27" t="s">
        <v>899</v>
      </c>
      <c r="U171" s="1">
        <v>58</v>
      </c>
      <c r="V171" s="27" t="s">
        <v>900</v>
      </c>
      <c r="W171" s="1">
        <v>908</v>
      </c>
      <c r="X171" s="28">
        <v>2.99</v>
      </c>
      <c r="Y171" s="29">
        <v>0.3</v>
      </c>
      <c r="Z171" s="29">
        <v>0.7</v>
      </c>
      <c r="AA171" s="26"/>
      <c r="AB171" s="26"/>
      <c r="AC171" s="27" t="s">
        <v>901</v>
      </c>
      <c r="AD171" t="s">
        <v>543</v>
      </c>
      <c r="AE171">
        <v>4.25</v>
      </c>
      <c r="AF171" t="s">
        <v>279</v>
      </c>
      <c r="AH171" t="s">
        <v>903</v>
      </c>
      <c r="AJ171" s="15"/>
      <c r="AK171" t="s">
        <v>904</v>
      </c>
    </row>
    <row r="172" spans="1:37" ht="15" hidden="1" customHeight="1" x14ac:dyDescent="0.25">
      <c r="A172" s="8">
        <v>171</v>
      </c>
      <c r="B172" s="21">
        <v>31794</v>
      </c>
      <c r="C172" s="22"/>
      <c r="D172" s="21">
        <v>243</v>
      </c>
      <c r="E172" s="21">
        <v>24301</v>
      </c>
      <c r="F172" s="21">
        <v>24301</v>
      </c>
      <c r="G172" s="23" t="s">
        <v>62</v>
      </c>
      <c r="H172" s="23" t="s">
        <v>61</v>
      </c>
      <c r="I172" s="23" t="s">
        <v>894</v>
      </c>
      <c r="J172" s="23" t="s">
        <v>279</v>
      </c>
      <c r="K172" s="23" t="s">
        <v>279</v>
      </c>
      <c r="L172" s="23" t="s">
        <v>925</v>
      </c>
      <c r="M172" s="23" t="s">
        <v>279</v>
      </c>
      <c r="N172" s="23" t="s">
        <v>925</v>
      </c>
      <c r="O172" s="23" t="s">
        <v>290</v>
      </c>
      <c r="P172" s="23" t="s">
        <v>909</v>
      </c>
      <c r="Q172" s="23" t="s">
        <v>897</v>
      </c>
      <c r="R172" s="21">
        <v>34984</v>
      </c>
      <c r="S172" s="23" t="s">
        <v>1021</v>
      </c>
      <c r="T172" s="23" t="s">
        <v>899</v>
      </c>
      <c r="U172" s="21">
        <v>58</v>
      </c>
      <c r="V172" s="23" t="s">
        <v>900</v>
      </c>
      <c r="W172" s="21">
        <v>908</v>
      </c>
      <c r="X172" s="24">
        <v>2.99</v>
      </c>
      <c r="Y172" s="25">
        <v>0.3</v>
      </c>
      <c r="Z172" s="25">
        <v>0.7</v>
      </c>
      <c r="AA172" s="22"/>
      <c r="AB172" s="22"/>
      <c r="AC172" s="23" t="s">
        <v>901</v>
      </c>
      <c r="AD172" s="17" t="s">
        <v>540</v>
      </c>
      <c r="AE172" s="17">
        <v>4.25</v>
      </c>
      <c r="AF172" s="17" t="s">
        <v>279</v>
      </c>
      <c r="AG172" s="17"/>
      <c r="AH172" t="s">
        <v>903</v>
      </c>
      <c r="AJ172" s="15"/>
      <c r="AK172" t="s">
        <v>904</v>
      </c>
    </row>
    <row r="173" spans="1:37" ht="15" hidden="1" customHeight="1" x14ac:dyDescent="0.25">
      <c r="A173" s="1">
        <v>172</v>
      </c>
      <c r="B173" s="1">
        <v>31796</v>
      </c>
      <c r="C173" s="26"/>
      <c r="D173" s="1">
        <v>245</v>
      </c>
      <c r="E173" s="1">
        <v>24501</v>
      </c>
      <c r="F173" s="1">
        <v>24501</v>
      </c>
      <c r="G173" s="27" t="s">
        <v>62</v>
      </c>
      <c r="H173" s="27" t="s">
        <v>61</v>
      </c>
      <c r="I173" s="27" t="s">
        <v>894</v>
      </c>
      <c r="J173" s="27" t="s">
        <v>279</v>
      </c>
      <c r="K173" s="27" t="s">
        <v>279</v>
      </c>
      <c r="L173" s="27" t="s">
        <v>925</v>
      </c>
      <c r="M173" s="27" t="s">
        <v>279</v>
      </c>
      <c r="N173" s="27" t="s">
        <v>925</v>
      </c>
      <c r="O173" s="27" t="s">
        <v>290</v>
      </c>
      <c r="P173" s="27" t="s">
        <v>909</v>
      </c>
      <c r="Q173" s="27" t="s">
        <v>897</v>
      </c>
      <c r="R173" s="1">
        <v>34985</v>
      </c>
      <c r="S173" s="27" t="s">
        <v>937</v>
      </c>
      <c r="T173" s="27" t="s">
        <v>899</v>
      </c>
      <c r="U173" s="1">
        <v>58</v>
      </c>
      <c r="V173" s="27" t="s">
        <v>900</v>
      </c>
      <c r="W173" s="1">
        <v>908</v>
      </c>
      <c r="X173" s="28">
        <v>2.99</v>
      </c>
      <c r="Y173" s="29">
        <v>0.3</v>
      </c>
      <c r="Z173" s="29">
        <v>0.7</v>
      </c>
      <c r="AA173" s="26"/>
      <c r="AB173" s="26"/>
      <c r="AC173" s="27" t="s">
        <v>901</v>
      </c>
      <c r="AD173" t="s">
        <v>542</v>
      </c>
      <c r="AE173">
        <v>4.25</v>
      </c>
      <c r="AF173" t="s">
        <v>279</v>
      </c>
      <c r="AH173" t="s">
        <v>903</v>
      </c>
      <c r="AJ173" s="15"/>
      <c r="AK173" t="s">
        <v>904</v>
      </c>
    </row>
    <row r="174" spans="1:37" ht="15" hidden="1" customHeight="1" x14ac:dyDescent="0.25">
      <c r="A174" s="1">
        <v>173</v>
      </c>
      <c r="B174" s="21">
        <v>31798</v>
      </c>
      <c r="C174" s="22"/>
      <c r="D174" s="21">
        <v>248</v>
      </c>
      <c r="E174" s="21">
        <v>24801</v>
      </c>
      <c r="F174" s="21">
        <v>24801</v>
      </c>
      <c r="G174" s="23" t="s">
        <v>62</v>
      </c>
      <c r="H174" s="23" t="s">
        <v>61</v>
      </c>
      <c r="I174" s="23" t="s">
        <v>894</v>
      </c>
      <c r="J174" s="23" t="s">
        <v>279</v>
      </c>
      <c r="K174" s="23" t="s">
        <v>279</v>
      </c>
      <c r="L174" s="23" t="s">
        <v>895</v>
      </c>
      <c r="M174" s="23" t="s">
        <v>279</v>
      </c>
      <c r="N174" s="23" t="s">
        <v>895</v>
      </c>
      <c r="O174" s="23" t="s">
        <v>290</v>
      </c>
      <c r="P174" s="23" t="s">
        <v>909</v>
      </c>
      <c r="Q174" s="23" t="s">
        <v>897</v>
      </c>
      <c r="R174" s="21">
        <v>34986</v>
      </c>
      <c r="S174" s="23" t="s">
        <v>1000</v>
      </c>
      <c r="T174" s="23" t="s">
        <v>899</v>
      </c>
      <c r="U174" s="21">
        <v>58</v>
      </c>
      <c r="V174" s="23" t="s">
        <v>900</v>
      </c>
      <c r="W174" s="21">
        <v>908</v>
      </c>
      <c r="X174" s="24">
        <v>2.99</v>
      </c>
      <c r="Y174" s="25">
        <v>0.3</v>
      </c>
      <c r="Z174" s="25">
        <v>0.7</v>
      </c>
      <c r="AA174" s="22"/>
      <c r="AB174" s="22"/>
      <c r="AC174" s="23" t="s">
        <v>901</v>
      </c>
      <c r="AD174" s="17" t="s">
        <v>545</v>
      </c>
      <c r="AE174" s="17">
        <v>4.25</v>
      </c>
      <c r="AF174" s="17" t="s">
        <v>279</v>
      </c>
      <c r="AG174" s="17"/>
      <c r="AH174" t="s">
        <v>903</v>
      </c>
      <c r="AJ174" s="15"/>
      <c r="AK174" t="s">
        <v>904</v>
      </c>
    </row>
    <row r="175" spans="1:37" ht="15" hidden="1" customHeight="1" x14ac:dyDescent="0.25">
      <c r="A175" s="8">
        <v>174</v>
      </c>
      <c r="B175" s="1">
        <v>31800</v>
      </c>
      <c r="C175" s="26"/>
      <c r="D175" s="1">
        <v>344</v>
      </c>
      <c r="E175" s="1">
        <v>34401</v>
      </c>
      <c r="F175" s="1">
        <v>34401</v>
      </c>
      <c r="G175" s="27" t="s">
        <v>62</v>
      </c>
      <c r="H175" s="27" t="s">
        <v>61</v>
      </c>
      <c r="I175" s="27" t="s">
        <v>894</v>
      </c>
      <c r="J175" s="27" t="s">
        <v>279</v>
      </c>
      <c r="K175" s="27" t="s">
        <v>279</v>
      </c>
      <c r="L175" s="27" t="s">
        <v>895</v>
      </c>
      <c r="M175" s="27" t="s">
        <v>279</v>
      </c>
      <c r="N175" s="27" t="s">
        <v>895</v>
      </c>
      <c r="O175" s="27" t="s">
        <v>290</v>
      </c>
      <c r="P175" s="27" t="s">
        <v>909</v>
      </c>
      <c r="Q175" s="27" t="s">
        <v>897</v>
      </c>
      <c r="R175" s="1">
        <v>34987</v>
      </c>
      <c r="S175" s="27" t="s">
        <v>938</v>
      </c>
      <c r="T175" s="27" t="s">
        <v>899</v>
      </c>
      <c r="U175" s="1">
        <v>58</v>
      </c>
      <c r="V175" s="27" t="s">
        <v>900</v>
      </c>
      <c r="W175" s="1">
        <v>908</v>
      </c>
      <c r="X175" s="28">
        <v>2.99</v>
      </c>
      <c r="Y175" s="29">
        <v>0.3</v>
      </c>
      <c r="Z175" s="29">
        <v>0.7</v>
      </c>
      <c r="AA175" s="26"/>
      <c r="AB175" s="26"/>
      <c r="AC175" s="27" t="s">
        <v>901</v>
      </c>
      <c r="AD175" t="s">
        <v>546</v>
      </c>
      <c r="AE175">
        <v>4.25</v>
      </c>
      <c r="AF175" t="s">
        <v>279</v>
      </c>
      <c r="AH175" t="s">
        <v>903</v>
      </c>
      <c r="AJ175" s="15"/>
      <c r="AK175" t="s">
        <v>904</v>
      </c>
    </row>
    <row r="176" spans="1:37" ht="15" hidden="1" customHeight="1" x14ac:dyDescent="0.25">
      <c r="A176" s="1">
        <v>175</v>
      </c>
      <c r="B176" s="21">
        <v>31802</v>
      </c>
      <c r="C176" s="22"/>
      <c r="D176" s="21">
        <v>249</v>
      </c>
      <c r="E176" s="21">
        <v>24901</v>
      </c>
      <c r="F176" s="21">
        <v>24901</v>
      </c>
      <c r="G176" s="23" t="s">
        <v>62</v>
      </c>
      <c r="H176" s="23" t="s">
        <v>61</v>
      </c>
      <c r="I176" s="23" t="s">
        <v>894</v>
      </c>
      <c r="J176" s="23" t="s">
        <v>279</v>
      </c>
      <c r="K176" s="23" t="s">
        <v>279</v>
      </c>
      <c r="L176" s="23" t="s">
        <v>925</v>
      </c>
      <c r="M176" s="23" t="s">
        <v>279</v>
      </c>
      <c r="N176" s="23" t="s">
        <v>925</v>
      </c>
      <c r="O176" s="23" t="s">
        <v>290</v>
      </c>
      <c r="P176" s="23" t="s">
        <v>909</v>
      </c>
      <c r="Q176" s="23" t="s">
        <v>897</v>
      </c>
      <c r="R176" s="21">
        <v>34988</v>
      </c>
      <c r="S176" s="23" t="s">
        <v>939</v>
      </c>
      <c r="T176" s="23" t="s">
        <v>899</v>
      </c>
      <c r="U176" s="21">
        <v>58</v>
      </c>
      <c r="V176" s="23" t="s">
        <v>900</v>
      </c>
      <c r="W176" s="21">
        <v>908</v>
      </c>
      <c r="X176" s="24">
        <v>2.99</v>
      </c>
      <c r="Y176" s="25">
        <v>0.3</v>
      </c>
      <c r="Z176" s="25">
        <v>0.7</v>
      </c>
      <c r="AA176" s="22"/>
      <c r="AB176" s="22"/>
      <c r="AC176" s="23" t="s">
        <v>901</v>
      </c>
      <c r="AD176" s="17" t="s">
        <v>547</v>
      </c>
      <c r="AE176" s="17">
        <v>4.25</v>
      </c>
      <c r="AF176" s="17" t="s">
        <v>279</v>
      </c>
      <c r="AG176" s="17"/>
      <c r="AH176" t="s">
        <v>903</v>
      </c>
      <c r="AJ176" s="15"/>
      <c r="AK176" t="s">
        <v>904</v>
      </c>
    </row>
    <row r="177" spans="1:37" ht="15" hidden="1" customHeight="1" x14ac:dyDescent="0.25">
      <c r="A177" s="1">
        <v>176</v>
      </c>
      <c r="B177" s="1">
        <v>31804</v>
      </c>
      <c r="C177" s="26"/>
      <c r="D177" s="1">
        <v>247</v>
      </c>
      <c r="E177" s="1">
        <v>24701</v>
      </c>
      <c r="F177" s="1">
        <v>24701</v>
      </c>
      <c r="G177" s="27" t="s">
        <v>62</v>
      </c>
      <c r="H177" s="27" t="s">
        <v>61</v>
      </c>
      <c r="I177" s="27" t="s">
        <v>894</v>
      </c>
      <c r="J177" s="27" t="s">
        <v>279</v>
      </c>
      <c r="K177" s="27" t="s">
        <v>279</v>
      </c>
      <c r="L177" s="27" t="s">
        <v>925</v>
      </c>
      <c r="M177" s="27" t="s">
        <v>279</v>
      </c>
      <c r="N177" s="27" t="s">
        <v>925</v>
      </c>
      <c r="O177" s="27" t="s">
        <v>290</v>
      </c>
      <c r="P177" s="27" t="s">
        <v>909</v>
      </c>
      <c r="Q177" s="27" t="s">
        <v>897</v>
      </c>
      <c r="R177" s="1">
        <v>34989</v>
      </c>
      <c r="S177" s="27" t="s">
        <v>1036</v>
      </c>
      <c r="T177" s="27" t="s">
        <v>899</v>
      </c>
      <c r="U177" s="1">
        <v>58</v>
      </c>
      <c r="V177" s="27" t="s">
        <v>900</v>
      </c>
      <c r="W177" s="1">
        <v>908</v>
      </c>
      <c r="X177" s="28">
        <v>2.99</v>
      </c>
      <c r="Y177" s="29">
        <v>0.3</v>
      </c>
      <c r="Z177" s="29">
        <v>0.7</v>
      </c>
      <c r="AA177" s="26"/>
      <c r="AB177" s="26"/>
      <c r="AC177" s="27" t="s">
        <v>901</v>
      </c>
      <c r="AD177" t="s">
        <v>544</v>
      </c>
      <c r="AE177">
        <v>4.25</v>
      </c>
      <c r="AF177" t="s">
        <v>279</v>
      </c>
      <c r="AH177" t="s">
        <v>903</v>
      </c>
      <c r="AJ177" s="15"/>
      <c r="AK177" t="s">
        <v>904</v>
      </c>
    </row>
    <row r="178" spans="1:37" ht="15" hidden="1" customHeight="1" x14ac:dyDescent="0.25">
      <c r="A178" s="8">
        <v>177</v>
      </c>
      <c r="B178" s="21">
        <v>31806</v>
      </c>
      <c r="C178" s="22"/>
      <c r="D178" s="21">
        <v>250</v>
      </c>
      <c r="E178" s="21">
        <v>25001</v>
      </c>
      <c r="F178" s="21">
        <v>25001</v>
      </c>
      <c r="G178" s="23" t="s">
        <v>62</v>
      </c>
      <c r="H178" s="23" t="s">
        <v>61</v>
      </c>
      <c r="I178" s="23" t="s">
        <v>894</v>
      </c>
      <c r="J178" s="23" t="s">
        <v>279</v>
      </c>
      <c r="K178" s="23" t="s">
        <v>279</v>
      </c>
      <c r="L178" s="23" t="s">
        <v>925</v>
      </c>
      <c r="M178" s="23" t="s">
        <v>279</v>
      </c>
      <c r="N178" s="23" t="s">
        <v>925</v>
      </c>
      <c r="O178" s="23" t="s">
        <v>290</v>
      </c>
      <c r="P178" s="23" t="s">
        <v>909</v>
      </c>
      <c r="Q178" s="23" t="s">
        <v>897</v>
      </c>
      <c r="R178" s="21">
        <v>34990</v>
      </c>
      <c r="S178" s="23" t="s">
        <v>940</v>
      </c>
      <c r="T178" s="23" t="s">
        <v>899</v>
      </c>
      <c r="U178" s="21">
        <v>58</v>
      </c>
      <c r="V178" s="23" t="s">
        <v>900</v>
      </c>
      <c r="W178" s="21">
        <v>908</v>
      </c>
      <c r="X178" s="24">
        <v>2.99</v>
      </c>
      <c r="Y178" s="25">
        <v>0.3</v>
      </c>
      <c r="Z178" s="25">
        <v>0.7</v>
      </c>
      <c r="AA178" s="22"/>
      <c r="AB178" s="22"/>
      <c r="AC178" s="23" t="s">
        <v>901</v>
      </c>
      <c r="AD178" s="17" t="s">
        <v>549</v>
      </c>
      <c r="AE178" s="17">
        <v>4.25</v>
      </c>
      <c r="AF178" s="17" t="s">
        <v>279</v>
      </c>
      <c r="AG178" s="17"/>
      <c r="AH178" t="s">
        <v>903</v>
      </c>
      <c r="AJ178" s="15"/>
      <c r="AK178" t="s">
        <v>904</v>
      </c>
    </row>
    <row r="179" spans="1:37" ht="15" hidden="1" customHeight="1" x14ac:dyDescent="0.25">
      <c r="A179" s="1">
        <v>178</v>
      </c>
      <c r="B179" s="1">
        <v>31808</v>
      </c>
      <c r="C179" s="26"/>
      <c r="D179" s="1">
        <v>244</v>
      </c>
      <c r="E179" s="1">
        <v>24401</v>
      </c>
      <c r="F179" s="1">
        <v>24401</v>
      </c>
      <c r="G179" s="27" t="s">
        <v>62</v>
      </c>
      <c r="H179" s="27" t="s">
        <v>61</v>
      </c>
      <c r="I179" s="27" t="s">
        <v>894</v>
      </c>
      <c r="J179" s="27" t="s">
        <v>279</v>
      </c>
      <c r="K179" s="27" t="s">
        <v>279</v>
      </c>
      <c r="L179" s="27" t="s">
        <v>895</v>
      </c>
      <c r="M179" s="27" t="s">
        <v>279</v>
      </c>
      <c r="N179" s="27" t="s">
        <v>895</v>
      </c>
      <c r="O179" s="27" t="s">
        <v>290</v>
      </c>
      <c r="P179" s="27" t="s">
        <v>909</v>
      </c>
      <c r="Q179" s="27" t="s">
        <v>897</v>
      </c>
      <c r="R179" s="1">
        <v>34991</v>
      </c>
      <c r="S179" s="27" t="s">
        <v>941</v>
      </c>
      <c r="T179" s="27" t="s">
        <v>899</v>
      </c>
      <c r="U179" s="1">
        <v>58</v>
      </c>
      <c r="V179" s="27" t="s">
        <v>900</v>
      </c>
      <c r="W179" s="1">
        <v>908</v>
      </c>
      <c r="X179" s="28">
        <v>2.99</v>
      </c>
      <c r="Y179" s="29">
        <v>0.3</v>
      </c>
      <c r="Z179" s="29">
        <v>0.7</v>
      </c>
      <c r="AA179" s="26"/>
      <c r="AB179" s="26"/>
      <c r="AC179" s="27" t="s">
        <v>901</v>
      </c>
      <c r="AD179" t="s">
        <v>541</v>
      </c>
      <c r="AE179">
        <v>4.25</v>
      </c>
      <c r="AF179" t="s">
        <v>279</v>
      </c>
      <c r="AH179" t="s">
        <v>903</v>
      </c>
      <c r="AJ179" s="15"/>
      <c r="AK179" t="s">
        <v>904</v>
      </c>
    </row>
    <row r="180" spans="1:37" ht="15" hidden="1" customHeight="1" x14ac:dyDescent="0.25">
      <c r="A180" s="1">
        <v>179</v>
      </c>
      <c r="B180" s="21">
        <v>31810</v>
      </c>
      <c r="C180" s="22"/>
      <c r="D180" s="21">
        <v>346</v>
      </c>
      <c r="E180" s="21">
        <v>34601</v>
      </c>
      <c r="F180" s="21">
        <v>34601</v>
      </c>
      <c r="G180" s="23" t="s">
        <v>62</v>
      </c>
      <c r="H180" s="23" t="s">
        <v>61</v>
      </c>
      <c r="I180" s="23" t="s">
        <v>894</v>
      </c>
      <c r="J180" s="23" t="s">
        <v>279</v>
      </c>
      <c r="K180" s="23" t="s">
        <v>279</v>
      </c>
      <c r="L180" s="23" t="s">
        <v>895</v>
      </c>
      <c r="M180" s="23" t="s">
        <v>279</v>
      </c>
      <c r="N180" s="23" t="s">
        <v>895</v>
      </c>
      <c r="O180" s="23" t="s">
        <v>290</v>
      </c>
      <c r="P180" s="23" t="s">
        <v>909</v>
      </c>
      <c r="Q180" s="23" t="s">
        <v>897</v>
      </c>
      <c r="R180" s="21">
        <v>34992</v>
      </c>
      <c r="S180" s="23" t="s">
        <v>955</v>
      </c>
      <c r="T180" s="23" t="s">
        <v>899</v>
      </c>
      <c r="U180" s="21">
        <v>58</v>
      </c>
      <c r="V180" s="23" t="s">
        <v>900</v>
      </c>
      <c r="W180" s="21">
        <v>908</v>
      </c>
      <c r="X180" s="24">
        <v>2.99</v>
      </c>
      <c r="Y180" s="25">
        <v>0.3</v>
      </c>
      <c r="Z180" s="25">
        <v>0.7</v>
      </c>
      <c r="AA180" s="22"/>
      <c r="AB180" s="22"/>
      <c r="AC180" s="23" t="s">
        <v>901</v>
      </c>
      <c r="AD180" s="17" t="s">
        <v>539</v>
      </c>
      <c r="AE180" s="17">
        <v>4.25</v>
      </c>
      <c r="AF180" s="17" t="s">
        <v>279</v>
      </c>
      <c r="AG180" s="17"/>
      <c r="AH180" t="s">
        <v>903</v>
      </c>
      <c r="AJ180" s="15"/>
      <c r="AK180" t="s">
        <v>904</v>
      </c>
    </row>
    <row r="181" spans="1:37" ht="15" hidden="1" customHeight="1" x14ac:dyDescent="0.25">
      <c r="A181" s="8">
        <v>180</v>
      </c>
      <c r="B181" s="1">
        <v>31812</v>
      </c>
      <c r="C181" s="26"/>
      <c r="D181" s="1">
        <v>251</v>
      </c>
      <c r="E181" s="1">
        <v>25101</v>
      </c>
      <c r="F181" s="1">
        <v>25101</v>
      </c>
      <c r="G181" s="27" t="s">
        <v>62</v>
      </c>
      <c r="H181" s="27" t="s">
        <v>61</v>
      </c>
      <c r="I181" s="27" t="s">
        <v>894</v>
      </c>
      <c r="J181" s="27" t="s">
        <v>279</v>
      </c>
      <c r="K181" s="27" t="s">
        <v>279</v>
      </c>
      <c r="L181" s="27" t="s">
        <v>925</v>
      </c>
      <c r="M181" s="27" t="s">
        <v>279</v>
      </c>
      <c r="N181" s="27" t="s">
        <v>925</v>
      </c>
      <c r="O181" s="27" t="s">
        <v>290</v>
      </c>
      <c r="P181" s="27" t="s">
        <v>909</v>
      </c>
      <c r="Q181" s="27" t="s">
        <v>897</v>
      </c>
      <c r="R181" s="1">
        <v>34993</v>
      </c>
      <c r="S181" s="27" t="s">
        <v>931</v>
      </c>
      <c r="T181" s="27" t="s">
        <v>899</v>
      </c>
      <c r="U181" s="1">
        <v>58</v>
      </c>
      <c r="V181" s="27" t="s">
        <v>900</v>
      </c>
      <c r="W181" s="1">
        <v>908</v>
      </c>
      <c r="X181" s="28">
        <v>2.99</v>
      </c>
      <c r="Y181" s="29">
        <v>0.3</v>
      </c>
      <c r="Z181" s="29">
        <v>0.7</v>
      </c>
      <c r="AA181" s="26"/>
      <c r="AB181" s="26"/>
      <c r="AC181" s="27" t="s">
        <v>901</v>
      </c>
      <c r="AD181" t="s">
        <v>553</v>
      </c>
      <c r="AE181">
        <v>4.25</v>
      </c>
      <c r="AF181" t="s">
        <v>279</v>
      </c>
      <c r="AH181" t="s">
        <v>903</v>
      </c>
      <c r="AJ181" s="15"/>
      <c r="AK181" t="s">
        <v>904</v>
      </c>
    </row>
    <row r="182" spans="1:37" ht="15" hidden="1" customHeight="1" x14ac:dyDescent="0.25">
      <c r="A182" s="1">
        <v>181</v>
      </c>
      <c r="B182" s="21">
        <v>31868</v>
      </c>
      <c r="C182" s="22"/>
      <c r="D182" s="21">
        <v>493</v>
      </c>
      <c r="E182" s="21">
        <v>49301</v>
      </c>
      <c r="F182" s="21">
        <v>49301</v>
      </c>
      <c r="G182" s="23" t="s">
        <v>62</v>
      </c>
      <c r="H182" s="23" t="s">
        <v>61</v>
      </c>
      <c r="I182" s="23" t="s">
        <v>894</v>
      </c>
      <c r="J182" s="23" t="s">
        <v>279</v>
      </c>
      <c r="K182" s="23" t="s">
        <v>279</v>
      </c>
      <c r="L182" s="23" t="s">
        <v>925</v>
      </c>
      <c r="M182" s="23" t="s">
        <v>279</v>
      </c>
      <c r="N182" s="23" t="s">
        <v>925</v>
      </c>
      <c r="O182" s="23" t="s">
        <v>601</v>
      </c>
      <c r="P182" s="23" t="s">
        <v>909</v>
      </c>
      <c r="Q182" s="23" t="s">
        <v>897</v>
      </c>
      <c r="R182" s="21">
        <v>35010</v>
      </c>
      <c r="S182" s="23" t="s">
        <v>1013</v>
      </c>
      <c r="T182" s="23" t="s">
        <v>899</v>
      </c>
      <c r="U182" s="21">
        <v>58</v>
      </c>
      <c r="V182" s="23" t="s">
        <v>900</v>
      </c>
      <c r="W182" s="21">
        <v>908</v>
      </c>
      <c r="X182" s="24">
        <v>2.99</v>
      </c>
      <c r="Y182" s="25">
        <v>0.3</v>
      </c>
      <c r="Z182" s="25">
        <v>0.7</v>
      </c>
      <c r="AA182" s="22"/>
      <c r="AB182" s="22"/>
      <c r="AC182" s="23" t="s">
        <v>901</v>
      </c>
      <c r="AD182" s="17" t="s">
        <v>619</v>
      </c>
      <c r="AE182" s="17">
        <v>4.25</v>
      </c>
      <c r="AF182" s="17" t="s">
        <v>279</v>
      </c>
      <c r="AG182" s="17"/>
      <c r="AH182" t="s">
        <v>903</v>
      </c>
      <c r="AJ182" s="15"/>
      <c r="AK182" t="s">
        <v>904</v>
      </c>
    </row>
    <row r="183" spans="1:37" ht="15" hidden="1" customHeight="1" x14ac:dyDescent="0.25">
      <c r="A183" s="1">
        <v>182</v>
      </c>
      <c r="B183" s="1">
        <v>31872</v>
      </c>
      <c r="C183" s="26"/>
      <c r="D183" s="1">
        <v>488</v>
      </c>
      <c r="E183" s="1">
        <v>48801</v>
      </c>
      <c r="F183" s="1">
        <v>48801</v>
      </c>
      <c r="G183" s="27" t="s">
        <v>62</v>
      </c>
      <c r="H183" s="27" t="s">
        <v>61</v>
      </c>
      <c r="I183" s="27" t="s">
        <v>894</v>
      </c>
      <c r="J183" s="27" t="s">
        <v>279</v>
      </c>
      <c r="K183" s="27" t="s">
        <v>279</v>
      </c>
      <c r="L183" s="27" t="s">
        <v>895</v>
      </c>
      <c r="M183" s="27" t="s">
        <v>279</v>
      </c>
      <c r="N183" s="27" t="s">
        <v>895</v>
      </c>
      <c r="O183" s="27" t="s">
        <v>601</v>
      </c>
      <c r="P183" s="27" t="s">
        <v>909</v>
      </c>
      <c r="Q183" s="27" t="s">
        <v>897</v>
      </c>
      <c r="R183" s="1">
        <v>35012</v>
      </c>
      <c r="S183" s="27" t="s">
        <v>1004</v>
      </c>
      <c r="T183" s="27" t="s">
        <v>899</v>
      </c>
      <c r="U183" s="1">
        <v>58</v>
      </c>
      <c r="V183" s="27" t="s">
        <v>900</v>
      </c>
      <c r="W183" s="1">
        <v>908</v>
      </c>
      <c r="X183" s="28">
        <v>2.99</v>
      </c>
      <c r="Y183" s="29">
        <v>0.3</v>
      </c>
      <c r="Z183" s="29">
        <v>0.7</v>
      </c>
      <c r="AA183" s="26"/>
      <c r="AB183" s="26"/>
      <c r="AC183" s="27" t="s">
        <v>901</v>
      </c>
      <c r="AD183" t="s">
        <v>616</v>
      </c>
      <c r="AE183">
        <v>4.25</v>
      </c>
      <c r="AF183" t="s">
        <v>279</v>
      </c>
      <c r="AH183" t="s">
        <v>903</v>
      </c>
      <c r="AJ183" s="15"/>
      <c r="AK183" t="s">
        <v>904</v>
      </c>
    </row>
    <row r="184" spans="1:37" ht="15" hidden="1" customHeight="1" x14ac:dyDescent="0.25">
      <c r="A184" s="8">
        <v>183</v>
      </c>
      <c r="B184" s="21">
        <v>31874</v>
      </c>
      <c r="C184" s="22"/>
      <c r="D184" s="21">
        <v>479</v>
      </c>
      <c r="E184" s="21">
        <v>47901</v>
      </c>
      <c r="F184" s="21">
        <v>47901</v>
      </c>
      <c r="G184" s="23" t="s">
        <v>62</v>
      </c>
      <c r="H184" s="23" t="s">
        <v>61</v>
      </c>
      <c r="I184" s="23" t="s">
        <v>894</v>
      </c>
      <c r="J184" s="23" t="s">
        <v>279</v>
      </c>
      <c r="K184" s="23" t="s">
        <v>279</v>
      </c>
      <c r="L184" s="23" t="s">
        <v>895</v>
      </c>
      <c r="M184" s="23" t="s">
        <v>279</v>
      </c>
      <c r="N184" s="23" t="s">
        <v>925</v>
      </c>
      <c r="O184" s="23" t="s">
        <v>601</v>
      </c>
      <c r="P184" s="23" t="s">
        <v>909</v>
      </c>
      <c r="Q184" s="23" t="s">
        <v>897</v>
      </c>
      <c r="R184" s="21">
        <v>35013</v>
      </c>
      <c r="S184" s="23" t="s">
        <v>1005</v>
      </c>
      <c r="T184" s="23" t="s">
        <v>899</v>
      </c>
      <c r="U184" s="21">
        <v>58</v>
      </c>
      <c r="V184" s="23" t="s">
        <v>900</v>
      </c>
      <c r="W184" s="21">
        <v>908</v>
      </c>
      <c r="X184" s="24">
        <v>2.99</v>
      </c>
      <c r="Y184" s="25">
        <v>0.3</v>
      </c>
      <c r="Z184" s="25">
        <v>0.7</v>
      </c>
      <c r="AA184" s="22"/>
      <c r="AB184" s="22"/>
      <c r="AC184" s="23" t="s">
        <v>901</v>
      </c>
      <c r="AD184" s="17" t="s">
        <v>609</v>
      </c>
      <c r="AE184" s="17">
        <v>4.25</v>
      </c>
      <c r="AF184" s="17" t="s">
        <v>279</v>
      </c>
      <c r="AG184" s="17"/>
      <c r="AH184" t="s">
        <v>903</v>
      </c>
      <c r="AJ184" s="15"/>
      <c r="AK184" t="s">
        <v>904</v>
      </c>
    </row>
    <row r="185" spans="1:37" ht="15" hidden="1" customHeight="1" x14ac:dyDescent="0.25">
      <c r="A185" s="1">
        <v>184</v>
      </c>
      <c r="B185" s="1">
        <v>31876</v>
      </c>
      <c r="C185" s="26"/>
      <c r="D185" s="1">
        <v>482</v>
      </c>
      <c r="E185" s="1">
        <v>48202</v>
      </c>
      <c r="F185" s="1">
        <v>48202</v>
      </c>
      <c r="G185" s="27" t="s">
        <v>62</v>
      </c>
      <c r="H185" s="27" t="s">
        <v>61</v>
      </c>
      <c r="I185" s="27" t="s">
        <v>894</v>
      </c>
      <c r="J185" s="27" t="s">
        <v>279</v>
      </c>
      <c r="K185" s="27" t="s">
        <v>279</v>
      </c>
      <c r="L185" s="27" t="s">
        <v>925</v>
      </c>
      <c r="M185" s="27" t="s">
        <v>279</v>
      </c>
      <c r="N185" s="27" t="s">
        <v>925</v>
      </c>
      <c r="O185" s="27" t="s">
        <v>601</v>
      </c>
      <c r="P185" s="27" t="s">
        <v>909</v>
      </c>
      <c r="Q185" s="27" t="s">
        <v>897</v>
      </c>
      <c r="R185" s="1">
        <v>35014</v>
      </c>
      <c r="S185" s="27" t="s">
        <v>1006</v>
      </c>
      <c r="T185" s="27" t="s">
        <v>899</v>
      </c>
      <c r="U185" s="1">
        <v>58</v>
      </c>
      <c r="V185" s="27" t="s">
        <v>900</v>
      </c>
      <c r="W185" s="1">
        <v>908</v>
      </c>
      <c r="X185" s="28">
        <v>2.99</v>
      </c>
      <c r="Y185" s="29">
        <v>0.3</v>
      </c>
      <c r="Z185" s="29">
        <v>0.7</v>
      </c>
      <c r="AA185" s="26"/>
      <c r="AB185" s="26"/>
      <c r="AC185" s="27" t="s">
        <v>901</v>
      </c>
      <c r="AD185" t="s">
        <v>611</v>
      </c>
      <c r="AE185">
        <v>4.25</v>
      </c>
      <c r="AF185" t="s">
        <v>279</v>
      </c>
      <c r="AH185" t="s">
        <v>903</v>
      </c>
      <c r="AJ185" s="15"/>
      <c r="AK185" t="s">
        <v>904</v>
      </c>
    </row>
    <row r="186" spans="1:37" ht="15" hidden="1" customHeight="1" x14ac:dyDescent="0.25">
      <c r="A186" s="1">
        <v>185</v>
      </c>
      <c r="B186" s="21">
        <v>31878</v>
      </c>
      <c r="C186" s="22"/>
      <c r="D186" s="21">
        <v>483</v>
      </c>
      <c r="E186" s="21">
        <v>48301</v>
      </c>
      <c r="F186" s="21">
        <v>48301</v>
      </c>
      <c r="G186" s="23" t="s">
        <v>62</v>
      </c>
      <c r="H186" s="23" t="s">
        <v>61</v>
      </c>
      <c r="I186" s="23" t="s">
        <v>894</v>
      </c>
      <c r="J186" s="23" t="s">
        <v>279</v>
      </c>
      <c r="K186" s="23" t="s">
        <v>279</v>
      </c>
      <c r="L186" s="23" t="s">
        <v>925</v>
      </c>
      <c r="M186" s="23" t="s">
        <v>279</v>
      </c>
      <c r="N186" s="23" t="s">
        <v>925</v>
      </c>
      <c r="O186" s="23" t="s">
        <v>601</v>
      </c>
      <c r="P186" s="23" t="s">
        <v>909</v>
      </c>
      <c r="Q186" s="23" t="s">
        <v>897</v>
      </c>
      <c r="R186" s="21">
        <v>35015</v>
      </c>
      <c r="S186" s="23" t="s">
        <v>1015</v>
      </c>
      <c r="T186" s="23" t="s">
        <v>899</v>
      </c>
      <c r="U186" s="21">
        <v>58</v>
      </c>
      <c r="V186" s="23" t="s">
        <v>900</v>
      </c>
      <c r="W186" s="21">
        <v>908</v>
      </c>
      <c r="X186" s="24">
        <v>2.99</v>
      </c>
      <c r="Y186" s="25">
        <v>0.3</v>
      </c>
      <c r="Z186" s="25">
        <v>0.7</v>
      </c>
      <c r="AA186" s="22"/>
      <c r="AB186" s="22"/>
      <c r="AC186" s="23" t="s">
        <v>901</v>
      </c>
      <c r="AD186" s="17" t="s">
        <v>612</v>
      </c>
      <c r="AE186" s="17">
        <v>4.25</v>
      </c>
      <c r="AF186" s="17" t="s">
        <v>279</v>
      </c>
      <c r="AG186" s="17"/>
      <c r="AH186" t="s">
        <v>903</v>
      </c>
      <c r="AJ186" s="15"/>
      <c r="AK186" t="s">
        <v>904</v>
      </c>
    </row>
    <row r="187" spans="1:37" ht="15" hidden="1" customHeight="1" x14ac:dyDescent="0.25">
      <c r="A187" s="8">
        <v>186</v>
      </c>
      <c r="B187" s="1">
        <v>31880</v>
      </c>
      <c r="C187" s="26"/>
      <c r="D187" s="1">
        <v>478</v>
      </c>
      <c r="E187" s="1">
        <v>47801</v>
      </c>
      <c r="F187" s="1">
        <v>47801</v>
      </c>
      <c r="G187" s="27" t="s">
        <v>62</v>
      </c>
      <c r="H187" s="27" t="s">
        <v>61</v>
      </c>
      <c r="I187" s="27" t="s">
        <v>894</v>
      </c>
      <c r="J187" s="27" t="s">
        <v>279</v>
      </c>
      <c r="K187" s="27" t="s">
        <v>279</v>
      </c>
      <c r="L187" s="27" t="s">
        <v>925</v>
      </c>
      <c r="M187" s="27" t="s">
        <v>279</v>
      </c>
      <c r="N187" s="27" t="s">
        <v>925</v>
      </c>
      <c r="O187" s="27" t="s">
        <v>601</v>
      </c>
      <c r="P187" s="27" t="s">
        <v>909</v>
      </c>
      <c r="Q187" s="27" t="s">
        <v>897</v>
      </c>
      <c r="R187" s="1">
        <v>35016</v>
      </c>
      <c r="S187" s="27" t="s">
        <v>1017</v>
      </c>
      <c r="T187" s="27" t="s">
        <v>899</v>
      </c>
      <c r="U187" s="1">
        <v>58</v>
      </c>
      <c r="V187" s="27" t="s">
        <v>900</v>
      </c>
      <c r="W187" s="1">
        <v>908</v>
      </c>
      <c r="X187" s="28">
        <v>2.99</v>
      </c>
      <c r="Y187" s="29">
        <v>0.3</v>
      </c>
      <c r="Z187" s="29">
        <v>0.7</v>
      </c>
      <c r="AA187" s="26"/>
      <c r="AB187" s="26"/>
      <c r="AC187" s="27" t="s">
        <v>901</v>
      </c>
      <c r="AD187" t="s">
        <v>607</v>
      </c>
      <c r="AE187">
        <v>4.25</v>
      </c>
      <c r="AF187" t="s">
        <v>279</v>
      </c>
      <c r="AH187" t="s">
        <v>903</v>
      </c>
      <c r="AJ187" s="15"/>
      <c r="AK187" t="s">
        <v>904</v>
      </c>
    </row>
    <row r="188" spans="1:37" ht="15" hidden="1" customHeight="1" x14ac:dyDescent="0.25">
      <c r="A188" s="1">
        <v>187</v>
      </c>
      <c r="B188" s="21">
        <v>31882</v>
      </c>
      <c r="C188" s="22"/>
      <c r="D188" s="21">
        <v>484</v>
      </c>
      <c r="E188" s="21">
        <v>48401</v>
      </c>
      <c r="F188" s="21">
        <v>48401</v>
      </c>
      <c r="G188" s="23" t="s">
        <v>62</v>
      </c>
      <c r="H188" s="23" t="s">
        <v>61</v>
      </c>
      <c r="I188" s="23" t="s">
        <v>894</v>
      </c>
      <c r="J188" s="23" t="s">
        <v>279</v>
      </c>
      <c r="K188" s="23" t="s">
        <v>279</v>
      </c>
      <c r="L188" s="23" t="s">
        <v>925</v>
      </c>
      <c r="M188" s="23" t="s">
        <v>279</v>
      </c>
      <c r="N188" s="23" t="s">
        <v>925</v>
      </c>
      <c r="O188" s="23" t="s">
        <v>601</v>
      </c>
      <c r="P188" s="23" t="s">
        <v>909</v>
      </c>
      <c r="Q188" s="23" t="s">
        <v>897</v>
      </c>
      <c r="R188" s="21">
        <v>35017</v>
      </c>
      <c r="S188" s="23" t="s">
        <v>981</v>
      </c>
      <c r="T188" s="23" t="s">
        <v>899</v>
      </c>
      <c r="U188" s="21">
        <v>58</v>
      </c>
      <c r="V188" s="23" t="s">
        <v>900</v>
      </c>
      <c r="W188" s="21">
        <v>908</v>
      </c>
      <c r="X188" s="24">
        <v>2.99</v>
      </c>
      <c r="Y188" s="25">
        <v>0.3</v>
      </c>
      <c r="Z188" s="25">
        <v>0.7</v>
      </c>
      <c r="AA188" s="22"/>
      <c r="AB188" s="22"/>
      <c r="AC188" s="23" t="s">
        <v>901</v>
      </c>
      <c r="AD188" s="17" t="s">
        <v>551</v>
      </c>
      <c r="AE188" s="17">
        <v>4.25</v>
      </c>
      <c r="AF188" s="17" t="s">
        <v>279</v>
      </c>
      <c r="AG188" s="17"/>
      <c r="AH188" t="s">
        <v>903</v>
      </c>
      <c r="AJ188" s="15"/>
      <c r="AK188" t="s">
        <v>904</v>
      </c>
    </row>
    <row r="189" spans="1:37" ht="15" hidden="1" customHeight="1" x14ac:dyDescent="0.25">
      <c r="A189" s="1">
        <v>188</v>
      </c>
      <c r="B189" s="1">
        <v>31884</v>
      </c>
      <c r="C189" s="26"/>
      <c r="D189" s="1">
        <v>485</v>
      </c>
      <c r="E189" s="1">
        <v>48501</v>
      </c>
      <c r="F189" s="1">
        <v>48501</v>
      </c>
      <c r="G189" s="27" t="s">
        <v>62</v>
      </c>
      <c r="H189" s="27" t="s">
        <v>61</v>
      </c>
      <c r="I189" s="27" t="s">
        <v>894</v>
      </c>
      <c r="J189" s="27" t="s">
        <v>279</v>
      </c>
      <c r="K189" s="27" t="s">
        <v>279</v>
      </c>
      <c r="L189" s="27" t="s">
        <v>895</v>
      </c>
      <c r="M189" s="27" t="s">
        <v>279</v>
      </c>
      <c r="N189" s="27" t="s">
        <v>895</v>
      </c>
      <c r="O189" s="27" t="s">
        <v>601</v>
      </c>
      <c r="P189" s="27" t="s">
        <v>909</v>
      </c>
      <c r="Q189" s="27" t="s">
        <v>897</v>
      </c>
      <c r="R189" s="1">
        <v>35018</v>
      </c>
      <c r="S189" s="27" t="s">
        <v>1011</v>
      </c>
      <c r="T189" s="27" t="s">
        <v>899</v>
      </c>
      <c r="U189" s="1">
        <v>58</v>
      </c>
      <c r="V189" s="27" t="s">
        <v>900</v>
      </c>
      <c r="W189" s="1">
        <v>908</v>
      </c>
      <c r="X189" s="28">
        <v>2.99</v>
      </c>
      <c r="Y189" s="29">
        <v>0.3</v>
      </c>
      <c r="Z189" s="29">
        <v>0.7</v>
      </c>
      <c r="AA189" s="26"/>
      <c r="AB189" s="26"/>
      <c r="AC189" s="27" t="s">
        <v>901</v>
      </c>
      <c r="AD189" t="s">
        <v>613</v>
      </c>
      <c r="AE189">
        <v>4.25</v>
      </c>
      <c r="AF189" t="s">
        <v>279</v>
      </c>
      <c r="AH189" t="s">
        <v>903</v>
      </c>
      <c r="AJ189" s="15"/>
      <c r="AK189" t="s">
        <v>904</v>
      </c>
    </row>
    <row r="190" spans="1:37" ht="15" hidden="1" customHeight="1" x14ac:dyDescent="0.25">
      <c r="A190" s="8">
        <v>189</v>
      </c>
      <c r="B190" s="21">
        <v>31886</v>
      </c>
      <c r="C190" s="22"/>
      <c r="D190" s="21">
        <v>486</v>
      </c>
      <c r="E190" s="21">
        <v>48601</v>
      </c>
      <c r="F190" s="21">
        <v>48601</v>
      </c>
      <c r="G190" s="23" t="s">
        <v>62</v>
      </c>
      <c r="H190" s="23" t="s">
        <v>61</v>
      </c>
      <c r="I190" s="23" t="s">
        <v>894</v>
      </c>
      <c r="J190" s="23" t="s">
        <v>279</v>
      </c>
      <c r="K190" s="23" t="s">
        <v>279</v>
      </c>
      <c r="L190" s="23" t="s">
        <v>895</v>
      </c>
      <c r="M190" s="23" t="s">
        <v>279</v>
      </c>
      <c r="N190" s="23" t="s">
        <v>895</v>
      </c>
      <c r="O190" s="23" t="s">
        <v>601</v>
      </c>
      <c r="P190" s="23" t="s">
        <v>909</v>
      </c>
      <c r="Q190" s="23" t="s">
        <v>897</v>
      </c>
      <c r="R190" s="21">
        <v>35019</v>
      </c>
      <c r="S190" s="23" t="s">
        <v>1010</v>
      </c>
      <c r="T190" s="23" t="s">
        <v>899</v>
      </c>
      <c r="U190" s="21">
        <v>58</v>
      </c>
      <c r="V190" s="23" t="s">
        <v>900</v>
      </c>
      <c r="W190" s="21">
        <v>908</v>
      </c>
      <c r="X190" s="24">
        <v>2.99</v>
      </c>
      <c r="Y190" s="25">
        <v>0.3</v>
      </c>
      <c r="Z190" s="25">
        <v>0.7</v>
      </c>
      <c r="AA190" s="22"/>
      <c r="AB190" s="22"/>
      <c r="AC190" s="23" t="s">
        <v>901</v>
      </c>
      <c r="AD190" s="17" t="s">
        <v>614</v>
      </c>
      <c r="AE190" s="17">
        <v>4.25</v>
      </c>
      <c r="AF190" s="17" t="s">
        <v>279</v>
      </c>
      <c r="AG190" s="17"/>
      <c r="AH190" t="s">
        <v>903</v>
      </c>
      <c r="AJ190" s="15"/>
      <c r="AK190" t="s">
        <v>904</v>
      </c>
    </row>
    <row r="191" spans="1:37" ht="15" hidden="1" customHeight="1" x14ac:dyDescent="0.25">
      <c r="A191" s="1">
        <v>190</v>
      </c>
      <c r="B191" s="1">
        <v>31888</v>
      </c>
      <c r="C191" s="26"/>
      <c r="D191" s="1">
        <v>481</v>
      </c>
      <c r="E191" s="1">
        <v>48101</v>
      </c>
      <c r="F191" s="1">
        <v>48101</v>
      </c>
      <c r="G191" s="27" t="s">
        <v>62</v>
      </c>
      <c r="H191" s="27" t="s">
        <v>61</v>
      </c>
      <c r="I191" s="27" t="s">
        <v>894</v>
      </c>
      <c r="J191" s="27" t="s">
        <v>279</v>
      </c>
      <c r="K191" s="27" t="s">
        <v>279</v>
      </c>
      <c r="L191" s="27" t="s">
        <v>925</v>
      </c>
      <c r="M191" s="27" t="s">
        <v>279</v>
      </c>
      <c r="N191" s="27" t="s">
        <v>925</v>
      </c>
      <c r="O191" s="27" t="s">
        <v>601</v>
      </c>
      <c r="P191" s="27" t="s">
        <v>909</v>
      </c>
      <c r="Q191" s="27" t="s">
        <v>897</v>
      </c>
      <c r="R191" s="1">
        <v>35020</v>
      </c>
      <c r="S191" s="27" t="s">
        <v>1016</v>
      </c>
      <c r="T191" s="27" t="s">
        <v>899</v>
      </c>
      <c r="U191" s="1">
        <v>58</v>
      </c>
      <c r="V191" s="27" t="s">
        <v>900</v>
      </c>
      <c r="W191" s="1">
        <v>908</v>
      </c>
      <c r="X191" s="28">
        <v>2.99</v>
      </c>
      <c r="Y191" s="29">
        <v>0.3</v>
      </c>
      <c r="Z191" s="29">
        <v>0.7</v>
      </c>
      <c r="AA191" s="26"/>
      <c r="AB191" s="26"/>
      <c r="AC191" s="27" t="s">
        <v>901</v>
      </c>
      <c r="AD191" t="s">
        <v>610</v>
      </c>
      <c r="AE191">
        <v>4.25</v>
      </c>
      <c r="AF191" t="s">
        <v>279</v>
      </c>
      <c r="AH191" t="s">
        <v>903</v>
      </c>
      <c r="AJ191" s="15"/>
      <c r="AK191" t="s">
        <v>904</v>
      </c>
    </row>
    <row r="192" spans="1:37" ht="15" hidden="1" customHeight="1" x14ac:dyDescent="0.25">
      <c r="A192" s="1">
        <v>191</v>
      </c>
      <c r="B192" s="21">
        <v>31890</v>
      </c>
      <c r="C192" s="22"/>
      <c r="D192" s="21">
        <v>490</v>
      </c>
      <c r="E192" s="21">
        <v>49001</v>
      </c>
      <c r="F192" s="21">
        <v>49001</v>
      </c>
      <c r="G192" s="23" t="s">
        <v>62</v>
      </c>
      <c r="H192" s="23" t="s">
        <v>61</v>
      </c>
      <c r="I192" s="23" t="s">
        <v>894</v>
      </c>
      <c r="J192" s="23" t="s">
        <v>279</v>
      </c>
      <c r="K192" s="23" t="s">
        <v>279</v>
      </c>
      <c r="L192" s="23" t="s">
        <v>895</v>
      </c>
      <c r="M192" s="23" t="s">
        <v>279</v>
      </c>
      <c r="N192" s="23" t="s">
        <v>895</v>
      </c>
      <c r="O192" s="23" t="s">
        <v>601</v>
      </c>
      <c r="P192" s="23" t="s">
        <v>896</v>
      </c>
      <c r="Q192" s="23" t="s">
        <v>897</v>
      </c>
      <c r="R192" s="21">
        <v>35021</v>
      </c>
      <c r="S192" s="23" t="s">
        <v>1037</v>
      </c>
      <c r="T192" s="23" t="s">
        <v>899</v>
      </c>
      <c r="U192" s="21">
        <v>58</v>
      </c>
      <c r="V192" s="23" t="s">
        <v>900</v>
      </c>
      <c r="W192" s="21">
        <v>908</v>
      </c>
      <c r="X192" s="24">
        <v>2.99</v>
      </c>
      <c r="Y192" s="25">
        <v>0.3</v>
      </c>
      <c r="Z192" s="25">
        <v>0.7</v>
      </c>
      <c r="AA192" s="22"/>
      <c r="AB192" s="22"/>
      <c r="AC192" s="23" t="s">
        <v>901</v>
      </c>
      <c r="AD192" s="17" t="s">
        <v>603</v>
      </c>
      <c r="AE192" s="17">
        <v>4.25</v>
      </c>
      <c r="AF192" s="17" t="s">
        <v>279</v>
      </c>
      <c r="AG192" s="17"/>
      <c r="AH192" t="s">
        <v>903</v>
      </c>
      <c r="AJ192" s="15"/>
      <c r="AK192" t="s">
        <v>904</v>
      </c>
    </row>
    <row r="193" spans="1:37" ht="15" hidden="1" customHeight="1" x14ac:dyDescent="0.25">
      <c r="A193" s="8">
        <v>192</v>
      </c>
      <c r="B193" s="1">
        <v>31892</v>
      </c>
      <c r="C193" s="26"/>
      <c r="D193" s="1">
        <v>494</v>
      </c>
      <c r="E193" s="1">
        <v>49401</v>
      </c>
      <c r="F193" s="1">
        <v>49401</v>
      </c>
      <c r="G193" s="27" t="s">
        <v>62</v>
      </c>
      <c r="H193" s="27" t="s">
        <v>61</v>
      </c>
      <c r="I193" s="27" t="s">
        <v>894</v>
      </c>
      <c r="J193" s="27" t="s">
        <v>279</v>
      </c>
      <c r="K193" s="27" t="s">
        <v>279</v>
      </c>
      <c r="L193" s="27" t="s">
        <v>895</v>
      </c>
      <c r="M193" s="27" t="s">
        <v>279</v>
      </c>
      <c r="N193" s="27" t="s">
        <v>895</v>
      </c>
      <c r="O193" s="27" t="s">
        <v>601</v>
      </c>
      <c r="P193" s="27" t="s">
        <v>909</v>
      </c>
      <c r="Q193" s="27" t="s">
        <v>897</v>
      </c>
      <c r="R193" s="1">
        <v>35022</v>
      </c>
      <c r="S193" s="27" t="s">
        <v>1008</v>
      </c>
      <c r="T193" s="27" t="s">
        <v>899</v>
      </c>
      <c r="U193" s="1">
        <v>58</v>
      </c>
      <c r="V193" s="27" t="s">
        <v>900</v>
      </c>
      <c r="W193" s="1">
        <v>908</v>
      </c>
      <c r="X193" s="28">
        <v>2.99</v>
      </c>
      <c r="Y193" s="29">
        <v>0.3</v>
      </c>
      <c r="Z193" s="29">
        <v>0.7</v>
      </c>
      <c r="AA193" s="26"/>
      <c r="AB193" s="26"/>
      <c r="AC193" s="27" t="s">
        <v>901</v>
      </c>
      <c r="AD193" t="s">
        <v>622</v>
      </c>
      <c r="AE193">
        <v>4.25</v>
      </c>
      <c r="AF193" t="s">
        <v>279</v>
      </c>
      <c r="AH193" t="s">
        <v>903</v>
      </c>
      <c r="AJ193" s="15"/>
      <c r="AK193" t="s">
        <v>904</v>
      </c>
    </row>
    <row r="194" spans="1:37" ht="15" hidden="1" customHeight="1" x14ac:dyDescent="0.25">
      <c r="A194" s="1">
        <v>193</v>
      </c>
      <c r="B194" s="21">
        <v>31894</v>
      </c>
      <c r="C194" s="22"/>
      <c r="D194" s="21">
        <v>496</v>
      </c>
      <c r="E194" s="21">
        <v>49601</v>
      </c>
      <c r="F194" s="21">
        <v>49601</v>
      </c>
      <c r="G194" s="23" t="s">
        <v>62</v>
      </c>
      <c r="H194" s="23" t="s">
        <v>61</v>
      </c>
      <c r="I194" s="23" t="s">
        <v>894</v>
      </c>
      <c r="J194" s="23" t="s">
        <v>279</v>
      </c>
      <c r="K194" s="23" t="s">
        <v>279</v>
      </c>
      <c r="L194" s="23" t="s">
        <v>925</v>
      </c>
      <c r="M194" s="23" t="s">
        <v>279</v>
      </c>
      <c r="N194" s="23" t="s">
        <v>925</v>
      </c>
      <c r="O194" s="23" t="s">
        <v>601</v>
      </c>
      <c r="P194" s="23" t="s">
        <v>909</v>
      </c>
      <c r="Q194" s="23" t="s">
        <v>897</v>
      </c>
      <c r="R194" s="21">
        <v>35023</v>
      </c>
      <c r="S194" s="23" t="s">
        <v>1012</v>
      </c>
      <c r="T194" s="23" t="s">
        <v>899</v>
      </c>
      <c r="U194" s="21">
        <v>58</v>
      </c>
      <c r="V194" s="23" t="s">
        <v>900</v>
      </c>
      <c r="W194" s="21">
        <v>908</v>
      </c>
      <c r="X194" s="24">
        <v>2.99</v>
      </c>
      <c r="Y194" s="25">
        <v>0.3</v>
      </c>
      <c r="Z194" s="25">
        <v>0.7</v>
      </c>
      <c r="AA194" s="22"/>
      <c r="AB194" s="22"/>
      <c r="AC194" s="23" t="s">
        <v>901</v>
      </c>
      <c r="AD194" s="17" t="s">
        <v>623</v>
      </c>
      <c r="AE194" s="17">
        <v>4.25</v>
      </c>
      <c r="AF194" s="17" t="s">
        <v>279</v>
      </c>
      <c r="AG194" s="17"/>
      <c r="AH194" t="s">
        <v>903</v>
      </c>
      <c r="AJ194" s="15"/>
      <c r="AK194" t="s">
        <v>904</v>
      </c>
    </row>
    <row r="195" spans="1:37" ht="15" hidden="1" customHeight="1" x14ac:dyDescent="0.25">
      <c r="A195" s="1">
        <v>194</v>
      </c>
      <c r="B195" s="1">
        <v>31896</v>
      </c>
      <c r="C195" s="26"/>
      <c r="D195" s="1">
        <v>497</v>
      </c>
      <c r="E195" s="1">
        <v>49701</v>
      </c>
      <c r="F195" s="1">
        <v>49701</v>
      </c>
      <c r="G195" s="27" t="s">
        <v>62</v>
      </c>
      <c r="H195" s="27" t="s">
        <v>61</v>
      </c>
      <c r="I195" s="27" t="s">
        <v>894</v>
      </c>
      <c r="J195" s="27" t="s">
        <v>279</v>
      </c>
      <c r="K195" s="27" t="s">
        <v>279</v>
      </c>
      <c r="L195" s="27" t="s">
        <v>925</v>
      </c>
      <c r="M195" s="27" t="s">
        <v>279</v>
      </c>
      <c r="N195" s="27" t="s">
        <v>925</v>
      </c>
      <c r="O195" s="27" t="s">
        <v>601</v>
      </c>
      <c r="P195" s="27" t="s">
        <v>909</v>
      </c>
      <c r="Q195" s="27" t="s">
        <v>897</v>
      </c>
      <c r="R195" s="1">
        <v>35024</v>
      </c>
      <c r="S195" s="27" t="s">
        <v>1014</v>
      </c>
      <c r="T195" s="27" t="s">
        <v>899</v>
      </c>
      <c r="U195" s="1">
        <v>58</v>
      </c>
      <c r="V195" s="27" t="s">
        <v>900</v>
      </c>
      <c r="W195" s="1">
        <v>908</v>
      </c>
      <c r="X195" s="28">
        <v>2.99</v>
      </c>
      <c r="Y195" s="29">
        <v>0.3</v>
      </c>
      <c r="Z195" s="29">
        <v>0.7</v>
      </c>
      <c r="AA195" s="26"/>
      <c r="AB195" s="26"/>
      <c r="AC195" s="27" t="s">
        <v>901</v>
      </c>
      <c r="AD195" t="s">
        <v>624</v>
      </c>
      <c r="AE195">
        <v>4.25</v>
      </c>
      <c r="AF195" t="s">
        <v>279</v>
      </c>
      <c r="AH195" t="s">
        <v>903</v>
      </c>
      <c r="AJ195" s="15"/>
      <c r="AK195" t="s">
        <v>904</v>
      </c>
    </row>
    <row r="196" spans="1:37" ht="15" hidden="1" customHeight="1" x14ac:dyDescent="0.25">
      <c r="A196" s="8">
        <v>195</v>
      </c>
      <c r="B196" s="21">
        <v>31898</v>
      </c>
      <c r="C196" s="22"/>
      <c r="D196" s="21">
        <v>498</v>
      </c>
      <c r="E196" s="21">
        <v>49801</v>
      </c>
      <c r="F196" s="21">
        <v>49801</v>
      </c>
      <c r="G196" s="23" t="s">
        <v>62</v>
      </c>
      <c r="H196" s="23" t="s">
        <v>61</v>
      </c>
      <c r="I196" s="23" t="s">
        <v>894</v>
      </c>
      <c r="J196" s="23" t="s">
        <v>279</v>
      </c>
      <c r="K196" s="23" t="s">
        <v>279</v>
      </c>
      <c r="L196" s="23" t="s">
        <v>895</v>
      </c>
      <c r="M196" s="23" t="s">
        <v>279</v>
      </c>
      <c r="N196" s="23" t="s">
        <v>895</v>
      </c>
      <c r="O196" s="23" t="s">
        <v>601</v>
      </c>
      <c r="P196" s="23" t="s">
        <v>909</v>
      </c>
      <c r="Q196" s="23" t="s">
        <v>897</v>
      </c>
      <c r="R196" s="21">
        <v>35025</v>
      </c>
      <c r="S196" s="23" t="s">
        <v>1009</v>
      </c>
      <c r="T196" s="23" t="s">
        <v>899</v>
      </c>
      <c r="U196" s="21">
        <v>58</v>
      </c>
      <c r="V196" s="23" t="s">
        <v>900</v>
      </c>
      <c r="W196" s="21">
        <v>908</v>
      </c>
      <c r="X196" s="24">
        <v>2.99</v>
      </c>
      <c r="Y196" s="25">
        <v>0.3</v>
      </c>
      <c r="Z196" s="25">
        <v>0.7</v>
      </c>
      <c r="AA196" s="22"/>
      <c r="AB196" s="22"/>
      <c r="AC196" s="23" t="s">
        <v>901</v>
      </c>
      <c r="AD196" s="17" t="s">
        <v>625</v>
      </c>
      <c r="AE196" s="17">
        <v>4.25</v>
      </c>
      <c r="AF196" s="17" t="s">
        <v>279</v>
      </c>
      <c r="AG196" s="17"/>
      <c r="AH196" t="s">
        <v>903</v>
      </c>
      <c r="AJ196" s="15"/>
      <c r="AK196" t="s">
        <v>904</v>
      </c>
    </row>
    <row r="197" spans="1:37" ht="15" hidden="1" customHeight="1" x14ac:dyDescent="0.25">
      <c r="A197" s="1">
        <v>196</v>
      </c>
      <c r="B197" s="1">
        <v>31900</v>
      </c>
      <c r="C197" s="26"/>
      <c r="D197" s="1">
        <v>492</v>
      </c>
      <c r="E197" s="1">
        <v>49201</v>
      </c>
      <c r="F197" s="1">
        <v>49201</v>
      </c>
      <c r="G197" s="27" t="s">
        <v>62</v>
      </c>
      <c r="H197" s="27" t="s">
        <v>61</v>
      </c>
      <c r="I197" s="27" t="s">
        <v>894</v>
      </c>
      <c r="J197" s="27" t="s">
        <v>279</v>
      </c>
      <c r="K197" s="27" t="s">
        <v>279</v>
      </c>
      <c r="L197" s="27" t="s">
        <v>895</v>
      </c>
      <c r="M197" s="27" t="s">
        <v>279</v>
      </c>
      <c r="N197" s="27" t="s">
        <v>895</v>
      </c>
      <c r="O197" s="27" t="s">
        <v>601</v>
      </c>
      <c r="P197" s="27" t="s">
        <v>909</v>
      </c>
      <c r="Q197" s="27" t="s">
        <v>897</v>
      </c>
      <c r="R197" s="1">
        <v>35026</v>
      </c>
      <c r="S197" s="27" t="s">
        <v>1007</v>
      </c>
      <c r="T197" s="27" t="s">
        <v>899</v>
      </c>
      <c r="U197" s="1">
        <v>58</v>
      </c>
      <c r="V197" s="27" t="s">
        <v>900</v>
      </c>
      <c r="W197" s="1">
        <v>908</v>
      </c>
      <c r="X197" s="28">
        <v>2.99</v>
      </c>
      <c r="Y197" s="29">
        <v>0.3</v>
      </c>
      <c r="Z197" s="29">
        <v>0.7</v>
      </c>
      <c r="AA197" s="26"/>
      <c r="AB197" s="26"/>
      <c r="AC197" s="27" t="s">
        <v>901</v>
      </c>
      <c r="AD197" t="s">
        <v>618</v>
      </c>
      <c r="AE197">
        <v>4.25</v>
      </c>
      <c r="AF197" t="s">
        <v>279</v>
      </c>
      <c r="AH197" t="s">
        <v>903</v>
      </c>
      <c r="AJ197" s="15"/>
      <c r="AK197" t="s">
        <v>904</v>
      </c>
    </row>
    <row r="198" spans="1:37" ht="15" hidden="1" customHeight="1" x14ac:dyDescent="0.25">
      <c r="A198" s="1">
        <v>197</v>
      </c>
      <c r="B198" s="21">
        <v>31902</v>
      </c>
      <c r="C198" s="22"/>
      <c r="D198" s="21">
        <v>272</v>
      </c>
      <c r="E198" s="21">
        <v>27201</v>
      </c>
      <c r="F198" s="21">
        <v>27201</v>
      </c>
      <c r="G198" s="23" t="s">
        <v>62</v>
      </c>
      <c r="H198" s="23" t="s">
        <v>61</v>
      </c>
      <c r="I198" s="23" t="s">
        <v>894</v>
      </c>
      <c r="J198" s="23" t="s">
        <v>279</v>
      </c>
      <c r="K198" s="23" t="s">
        <v>279</v>
      </c>
      <c r="L198" s="23" t="s">
        <v>895</v>
      </c>
      <c r="M198" s="23" t="s">
        <v>279</v>
      </c>
      <c r="N198" s="23" t="s">
        <v>895</v>
      </c>
      <c r="O198" s="23" t="s">
        <v>325</v>
      </c>
      <c r="P198" s="23" t="s">
        <v>909</v>
      </c>
      <c r="Q198" s="23" t="s">
        <v>897</v>
      </c>
      <c r="R198" s="21">
        <v>35027</v>
      </c>
      <c r="S198" s="23" t="s">
        <v>949</v>
      </c>
      <c r="T198" s="23" t="s">
        <v>899</v>
      </c>
      <c r="U198" s="21">
        <v>58</v>
      </c>
      <c r="V198" s="23" t="s">
        <v>900</v>
      </c>
      <c r="W198" s="21">
        <v>908</v>
      </c>
      <c r="X198" s="24">
        <v>2.99</v>
      </c>
      <c r="Y198" s="25">
        <v>0.3</v>
      </c>
      <c r="Z198" s="25">
        <v>0.7</v>
      </c>
      <c r="AA198" s="22"/>
      <c r="AB198" s="22"/>
      <c r="AC198" s="23" t="s">
        <v>901</v>
      </c>
      <c r="AD198" s="17" t="s">
        <v>503</v>
      </c>
      <c r="AE198" s="17">
        <v>4.25</v>
      </c>
      <c r="AF198" s="17" t="s">
        <v>279</v>
      </c>
      <c r="AG198" s="17"/>
      <c r="AH198" t="s">
        <v>903</v>
      </c>
      <c r="AJ198" s="15"/>
      <c r="AK198" t="s">
        <v>904</v>
      </c>
    </row>
    <row r="199" spans="1:37" ht="15" hidden="1" customHeight="1" x14ac:dyDescent="0.25">
      <c r="A199" s="8">
        <v>198</v>
      </c>
      <c r="B199" s="1">
        <v>31906</v>
      </c>
      <c r="C199" s="26"/>
      <c r="D199" s="1">
        <v>271</v>
      </c>
      <c r="E199" s="1">
        <v>27101</v>
      </c>
      <c r="F199" s="1">
        <v>27101</v>
      </c>
      <c r="G199" s="27" t="s">
        <v>62</v>
      </c>
      <c r="H199" s="27" t="s">
        <v>61</v>
      </c>
      <c r="I199" s="27" t="s">
        <v>894</v>
      </c>
      <c r="J199" s="27" t="s">
        <v>279</v>
      </c>
      <c r="K199" s="27" t="s">
        <v>279</v>
      </c>
      <c r="L199" s="27" t="s">
        <v>895</v>
      </c>
      <c r="M199" s="27" t="s">
        <v>279</v>
      </c>
      <c r="N199" s="27" t="s">
        <v>895</v>
      </c>
      <c r="O199" s="27" t="s">
        <v>325</v>
      </c>
      <c r="P199" s="27" t="s">
        <v>909</v>
      </c>
      <c r="Q199" s="27" t="s">
        <v>897</v>
      </c>
      <c r="R199" s="1">
        <v>35029</v>
      </c>
      <c r="S199" s="27" t="s">
        <v>942</v>
      </c>
      <c r="T199" s="27" t="s">
        <v>899</v>
      </c>
      <c r="U199" s="1">
        <v>58</v>
      </c>
      <c r="V199" s="27" t="s">
        <v>900</v>
      </c>
      <c r="W199" s="1">
        <v>908</v>
      </c>
      <c r="X199" s="28">
        <v>2.99</v>
      </c>
      <c r="Y199" s="29">
        <v>0.3</v>
      </c>
      <c r="Z199" s="29">
        <v>0.7</v>
      </c>
      <c r="AA199" s="26"/>
      <c r="AB199" s="26"/>
      <c r="AC199" s="27" t="s">
        <v>901</v>
      </c>
      <c r="AD199" t="s">
        <v>501</v>
      </c>
      <c r="AE199">
        <v>4.25</v>
      </c>
      <c r="AF199" t="s">
        <v>279</v>
      </c>
      <c r="AH199" t="s">
        <v>903</v>
      </c>
      <c r="AJ199" s="15"/>
      <c r="AK199" t="s">
        <v>904</v>
      </c>
    </row>
    <row r="200" spans="1:37" ht="15" hidden="1" customHeight="1" x14ac:dyDescent="0.25">
      <c r="A200" s="1">
        <v>199</v>
      </c>
      <c r="B200" s="21">
        <v>31908</v>
      </c>
      <c r="C200" s="22"/>
      <c r="D200" s="21">
        <v>275</v>
      </c>
      <c r="E200" s="21">
        <v>27501</v>
      </c>
      <c r="F200" s="21">
        <v>27501</v>
      </c>
      <c r="G200" s="23" t="s">
        <v>62</v>
      </c>
      <c r="H200" s="23" t="s">
        <v>61</v>
      </c>
      <c r="I200" s="23" t="s">
        <v>894</v>
      </c>
      <c r="J200" s="23" t="s">
        <v>279</v>
      </c>
      <c r="K200" s="23" t="s">
        <v>279</v>
      </c>
      <c r="L200" s="23" t="s">
        <v>925</v>
      </c>
      <c r="M200" s="23" t="s">
        <v>279</v>
      </c>
      <c r="N200" s="23" t="s">
        <v>925</v>
      </c>
      <c r="O200" s="23" t="s">
        <v>325</v>
      </c>
      <c r="P200" s="23" t="s">
        <v>909</v>
      </c>
      <c r="Q200" s="23" t="s">
        <v>897</v>
      </c>
      <c r="R200" s="21">
        <v>35030</v>
      </c>
      <c r="S200" s="23" t="s">
        <v>944</v>
      </c>
      <c r="T200" s="23" t="s">
        <v>899</v>
      </c>
      <c r="U200" s="21">
        <v>58</v>
      </c>
      <c r="V200" s="23" t="s">
        <v>900</v>
      </c>
      <c r="W200" s="21">
        <v>908</v>
      </c>
      <c r="X200" s="24">
        <v>2.99</v>
      </c>
      <c r="Y200" s="25">
        <v>0.3</v>
      </c>
      <c r="Z200" s="25">
        <v>0.7</v>
      </c>
      <c r="AA200" s="22"/>
      <c r="AB200" s="22"/>
      <c r="AC200" s="23" t="s">
        <v>901</v>
      </c>
      <c r="AD200" s="17" t="s">
        <v>505</v>
      </c>
      <c r="AE200" s="17">
        <v>4.25</v>
      </c>
      <c r="AF200" s="17" t="s">
        <v>279</v>
      </c>
      <c r="AG200" s="17"/>
      <c r="AH200" t="s">
        <v>903</v>
      </c>
      <c r="AJ200" s="15"/>
      <c r="AK200" t="s">
        <v>904</v>
      </c>
    </row>
    <row r="201" spans="1:37" ht="15" hidden="1" customHeight="1" x14ac:dyDescent="0.25">
      <c r="A201" s="1">
        <v>200</v>
      </c>
      <c r="B201" s="1">
        <v>31910</v>
      </c>
      <c r="C201" s="26"/>
      <c r="D201" s="1">
        <v>278</v>
      </c>
      <c r="E201" s="1">
        <v>27801</v>
      </c>
      <c r="F201" s="1">
        <v>27801</v>
      </c>
      <c r="G201" s="27" t="s">
        <v>62</v>
      </c>
      <c r="H201" s="27" t="s">
        <v>61</v>
      </c>
      <c r="I201" s="27" t="s">
        <v>894</v>
      </c>
      <c r="J201" s="27" t="s">
        <v>279</v>
      </c>
      <c r="K201" s="27" t="s">
        <v>279</v>
      </c>
      <c r="L201" s="27" t="s">
        <v>925</v>
      </c>
      <c r="M201" s="27" t="s">
        <v>279</v>
      </c>
      <c r="N201" s="27" t="s">
        <v>895</v>
      </c>
      <c r="O201" s="27" t="s">
        <v>325</v>
      </c>
      <c r="P201" s="27" t="s">
        <v>909</v>
      </c>
      <c r="Q201" s="27" t="s">
        <v>897</v>
      </c>
      <c r="R201" s="1">
        <v>35031</v>
      </c>
      <c r="S201" s="27" t="s">
        <v>954</v>
      </c>
      <c r="T201" s="27" t="s">
        <v>899</v>
      </c>
      <c r="U201" s="1">
        <v>58</v>
      </c>
      <c r="V201" s="27" t="s">
        <v>900</v>
      </c>
      <c r="W201" s="1">
        <v>908</v>
      </c>
      <c r="X201" s="28">
        <v>2.99</v>
      </c>
      <c r="Y201" s="29">
        <v>0.3</v>
      </c>
      <c r="Z201" s="29">
        <v>0.7</v>
      </c>
      <c r="AA201" s="26"/>
      <c r="AB201" s="26"/>
      <c r="AC201" s="27" t="s">
        <v>901</v>
      </c>
      <c r="AD201" t="s">
        <v>508</v>
      </c>
      <c r="AE201">
        <v>4.25</v>
      </c>
      <c r="AF201" t="s">
        <v>279</v>
      </c>
      <c r="AH201" t="s">
        <v>903</v>
      </c>
      <c r="AJ201" s="15"/>
      <c r="AK201" t="s">
        <v>904</v>
      </c>
    </row>
    <row r="202" spans="1:37" ht="15" hidden="1" customHeight="1" x14ac:dyDescent="0.25">
      <c r="A202" s="8">
        <v>201</v>
      </c>
      <c r="B202" s="21">
        <v>31912</v>
      </c>
      <c r="C202" s="22"/>
      <c r="D202" s="21">
        <v>279</v>
      </c>
      <c r="E202" s="21">
        <v>27901</v>
      </c>
      <c r="F202" s="21">
        <v>27901</v>
      </c>
      <c r="G202" s="23" t="s">
        <v>62</v>
      </c>
      <c r="H202" s="23" t="s">
        <v>61</v>
      </c>
      <c r="I202" s="23" t="s">
        <v>894</v>
      </c>
      <c r="J202" s="23" t="s">
        <v>279</v>
      </c>
      <c r="K202" s="23" t="s">
        <v>279</v>
      </c>
      <c r="L202" s="23" t="s">
        <v>895</v>
      </c>
      <c r="M202" s="23" t="s">
        <v>279</v>
      </c>
      <c r="N202" s="23" t="s">
        <v>895</v>
      </c>
      <c r="O202" s="23" t="s">
        <v>325</v>
      </c>
      <c r="P202" s="23" t="s">
        <v>909</v>
      </c>
      <c r="Q202" s="23" t="s">
        <v>897</v>
      </c>
      <c r="R202" s="21">
        <v>35032</v>
      </c>
      <c r="S202" s="23" t="s">
        <v>945</v>
      </c>
      <c r="T202" s="23" t="s">
        <v>899</v>
      </c>
      <c r="U202" s="21">
        <v>58</v>
      </c>
      <c r="V202" s="23" t="s">
        <v>900</v>
      </c>
      <c r="W202" s="21">
        <v>908</v>
      </c>
      <c r="X202" s="24">
        <v>2.99</v>
      </c>
      <c r="Y202" s="25">
        <v>0.3</v>
      </c>
      <c r="Z202" s="25">
        <v>0.7</v>
      </c>
      <c r="AA202" s="22"/>
      <c r="AB202" s="22"/>
      <c r="AC202" s="23" t="s">
        <v>901</v>
      </c>
      <c r="AD202" s="17" t="s">
        <v>509</v>
      </c>
      <c r="AE202" s="17">
        <v>4.25</v>
      </c>
      <c r="AF202" s="17" t="s">
        <v>279</v>
      </c>
      <c r="AG202" s="17"/>
      <c r="AH202" t="s">
        <v>903</v>
      </c>
      <c r="AJ202" s="15"/>
      <c r="AK202" t="s">
        <v>904</v>
      </c>
    </row>
    <row r="203" spans="1:37" ht="15" hidden="1" customHeight="1" x14ac:dyDescent="0.25">
      <c r="A203" s="1">
        <v>202</v>
      </c>
      <c r="B203" s="1">
        <v>31916</v>
      </c>
      <c r="C203" s="26"/>
      <c r="D203" s="1">
        <v>273</v>
      </c>
      <c r="E203" s="1">
        <v>27301</v>
      </c>
      <c r="F203" s="1">
        <v>27301</v>
      </c>
      <c r="G203" s="27" t="s">
        <v>62</v>
      </c>
      <c r="H203" s="27" t="s">
        <v>61</v>
      </c>
      <c r="I203" s="27" t="s">
        <v>894</v>
      </c>
      <c r="J203" s="27" t="s">
        <v>279</v>
      </c>
      <c r="K203" s="27" t="s">
        <v>279</v>
      </c>
      <c r="L203" s="27" t="s">
        <v>895</v>
      </c>
      <c r="M203" s="27" t="s">
        <v>279</v>
      </c>
      <c r="N203" s="27" t="s">
        <v>895</v>
      </c>
      <c r="O203" s="27" t="s">
        <v>325</v>
      </c>
      <c r="P203" s="27" t="s">
        <v>909</v>
      </c>
      <c r="Q203" s="27" t="s">
        <v>897</v>
      </c>
      <c r="R203" s="1">
        <v>35034</v>
      </c>
      <c r="S203" s="27" t="s">
        <v>953</v>
      </c>
      <c r="T203" s="27" t="s">
        <v>899</v>
      </c>
      <c r="U203" s="1">
        <v>58</v>
      </c>
      <c r="V203" s="27" t="s">
        <v>900</v>
      </c>
      <c r="W203" s="1">
        <v>908</v>
      </c>
      <c r="X203" s="28">
        <v>2.99</v>
      </c>
      <c r="Y203" s="29">
        <v>0.3</v>
      </c>
      <c r="Z203" s="29">
        <v>0.7</v>
      </c>
      <c r="AA203" s="26"/>
      <c r="AB203" s="26"/>
      <c r="AC203" s="27" t="s">
        <v>901</v>
      </c>
      <c r="AD203" t="s">
        <v>504</v>
      </c>
      <c r="AE203">
        <v>4.25</v>
      </c>
      <c r="AF203" t="s">
        <v>279</v>
      </c>
      <c r="AH203" t="s">
        <v>903</v>
      </c>
      <c r="AJ203" s="15"/>
      <c r="AK203" t="s">
        <v>904</v>
      </c>
    </row>
    <row r="204" spans="1:37" ht="15" hidden="1" customHeight="1" x14ac:dyDescent="0.25">
      <c r="A204" s="1">
        <v>203</v>
      </c>
      <c r="B204" s="21">
        <v>31918</v>
      </c>
      <c r="C204" s="22"/>
      <c r="D204" s="21">
        <v>274</v>
      </c>
      <c r="E204" s="21">
        <v>27401</v>
      </c>
      <c r="F204" s="21">
        <v>27401</v>
      </c>
      <c r="G204" s="23" t="s">
        <v>62</v>
      </c>
      <c r="H204" s="23" t="s">
        <v>61</v>
      </c>
      <c r="I204" s="23" t="s">
        <v>894</v>
      </c>
      <c r="J204" s="23" t="s">
        <v>279</v>
      </c>
      <c r="K204" s="23" t="s">
        <v>279</v>
      </c>
      <c r="L204" s="23" t="s">
        <v>895</v>
      </c>
      <c r="M204" s="23" t="s">
        <v>279</v>
      </c>
      <c r="N204" s="23" t="s">
        <v>895</v>
      </c>
      <c r="O204" s="23" t="s">
        <v>325</v>
      </c>
      <c r="P204" s="23" t="s">
        <v>909</v>
      </c>
      <c r="Q204" s="23" t="s">
        <v>897</v>
      </c>
      <c r="R204" s="21">
        <v>35035</v>
      </c>
      <c r="S204" s="23" t="s">
        <v>1038</v>
      </c>
      <c r="T204" s="23" t="s">
        <v>899</v>
      </c>
      <c r="U204" s="21">
        <v>58</v>
      </c>
      <c r="V204" s="23" t="s">
        <v>900</v>
      </c>
      <c r="W204" s="21">
        <v>908</v>
      </c>
      <c r="X204" s="24">
        <v>2.99</v>
      </c>
      <c r="Y204" s="25">
        <v>0.3</v>
      </c>
      <c r="Z204" s="25">
        <v>0.7</v>
      </c>
      <c r="AA204" s="22"/>
      <c r="AB204" s="22"/>
      <c r="AC204" s="23" t="s">
        <v>901</v>
      </c>
      <c r="AD204" s="17" t="s">
        <v>525</v>
      </c>
      <c r="AE204" s="17">
        <v>4.25</v>
      </c>
      <c r="AF204" s="17" t="s">
        <v>279</v>
      </c>
      <c r="AG204" s="17"/>
      <c r="AH204" t="s">
        <v>903</v>
      </c>
      <c r="AJ204" s="15"/>
      <c r="AK204" t="s">
        <v>904</v>
      </c>
    </row>
    <row r="205" spans="1:37" ht="15" hidden="1" customHeight="1" x14ac:dyDescent="0.25">
      <c r="A205" s="8">
        <v>204</v>
      </c>
      <c r="B205" s="8">
        <v>32053</v>
      </c>
      <c r="D205" s="8"/>
      <c r="E205" s="8"/>
      <c r="F205" s="8"/>
      <c r="G205" s="8" t="s">
        <v>122</v>
      </c>
      <c r="H205" s="8" t="s">
        <v>122</v>
      </c>
      <c r="I205" s="27" t="s">
        <v>894</v>
      </c>
      <c r="J205" s="8" t="s">
        <v>279</v>
      </c>
      <c r="K205" s="27" t="s">
        <v>279</v>
      </c>
      <c r="L205" s="8"/>
      <c r="M205" s="27" t="s">
        <v>905</v>
      </c>
      <c r="N205" s="8"/>
      <c r="O205" s="8" t="s">
        <v>122</v>
      </c>
      <c r="P205" s="27" t="s">
        <v>909</v>
      </c>
      <c r="Q205" s="27" t="s">
        <v>897</v>
      </c>
      <c r="R205" s="8"/>
      <c r="S205" s="8" t="s">
        <v>1039</v>
      </c>
      <c r="T205" s="8"/>
      <c r="U205" s="8"/>
      <c r="V205" s="8" t="s">
        <v>900</v>
      </c>
      <c r="W205" s="8"/>
      <c r="X205" s="8"/>
      <c r="Y205" s="8"/>
      <c r="Z205" s="8"/>
      <c r="AA205"/>
      <c r="AB205"/>
      <c r="AC205" s="8"/>
      <c r="AD205" t="s">
        <v>467</v>
      </c>
      <c r="AE205">
        <v>4.25</v>
      </c>
      <c r="AF205" t="s">
        <v>279</v>
      </c>
      <c r="AH205" t="s">
        <v>903</v>
      </c>
      <c r="AJ205" s="15"/>
      <c r="AK205" t="s">
        <v>908</v>
      </c>
    </row>
    <row r="206" spans="1:37" ht="15" hidden="1" customHeight="1" x14ac:dyDescent="0.25">
      <c r="A206" s="1">
        <v>205</v>
      </c>
      <c r="B206" s="21">
        <v>32067</v>
      </c>
      <c r="C206" s="22"/>
      <c r="D206" s="21">
        <v>221</v>
      </c>
      <c r="E206" s="21">
        <v>79</v>
      </c>
      <c r="F206" s="21">
        <v>79</v>
      </c>
      <c r="G206" s="23" t="s">
        <v>62</v>
      </c>
      <c r="H206" s="23" t="s">
        <v>61</v>
      </c>
      <c r="I206" s="23" t="s">
        <v>894</v>
      </c>
      <c r="J206" s="23" t="s">
        <v>6</v>
      </c>
      <c r="K206" s="23" t="s">
        <v>36</v>
      </c>
      <c r="L206" s="23" t="s">
        <v>901</v>
      </c>
      <c r="M206" s="23" t="s">
        <v>905</v>
      </c>
      <c r="N206" s="23" t="s">
        <v>36</v>
      </c>
      <c r="O206" s="23" t="s">
        <v>122</v>
      </c>
      <c r="P206" s="23" t="s">
        <v>896</v>
      </c>
      <c r="Q206" s="23" t="s">
        <v>897</v>
      </c>
      <c r="R206" s="21">
        <v>34964</v>
      </c>
      <c r="S206" s="23" t="s">
        <v>57</v>
      </c>
      <c r="T206" s="23" t="s">
        <v>971</v>
      </c>
      <c r="U206" s="21">
        <v>56</v>
      </c>
      <c r="V206" s="23" t="s">
        <v>900</v>
      </c>
      <c r="W206" s="21">
        <v>908</v>
      </c>
      <c r="X206" s="24">
        <v>1.99</v>
      </c>
      <c r="Y206" s="25">
        <v>0.6</v>
      </c>
      <c r="Z206" s="25">
        <v>0.4</v>
      </c>
      <c r="AA206" s="22"/>
      <c r="AB206" s="22"/>
      <c r="AC206" s="23" t="s">
        <v>901</v>
      </c>
      <c r="AD206" s="17" t="s">
        <v>336</v>
      </c>
      <c r="AE206" s="17">
        <v>4.25</v>
      </c>
      <c r="AF206" s="17" t="s">
        <v>6</v>
      </c>
      <c r="AG206" s="17" t="s">
        <v>1040</v>
      </c>
      <c r="AH206" t="s">
        <v>903</v>
      </c>
      <c r="AJ206" s="15"/>
      <c r="AK206" t="s">
        <v>908</v>
      </c>
    </row>
    <row r="207" spans="1:37" ht="15" hidden="1" customHeight="1" x14ac:dyDescent="0.25">
      <c r="A207" s="1">
        <v>206</v>
      </c>
      <c r="B207" s="1">
        <v>32487</v>
      </c>
      <c r="C207" s="26"/>
      <c r="D207" s="1">
        <v>606</v>
      </c>
      <c r="E207" s="1">
        <v>60602</v>
      </c>
      <c r="F207" s="1">
        <v>60602</v>
      </c>
      <c r="G207" s="27" t="s">
        <v>599</v>
      </c>
      <c r="H207" s="27" t="s">
        <v>61</v>
      </c>
      <c r="I207" s="27" t="s">
        <v>894</v>
      </c>
      <c r="J207" s="27" t="s">
        <v>279</v>
      </c>
      <c r="K207" s="27" t="s">
        <v>279</v>
      </c>
      <c r="L207" s="27" t="s">
        <v>895</v>
      </c>
      <c r="M207" s="27" t="s">
        <v>279</v>
      </c>
      <c r="N207" s="27" t="s">
        <v>895</v>
      </c>
      <c r="O207" s="27" t="s">
        <v>594</v>
      </c>
      <c r="P207" s="27" t="s">
        <v>896</v>
      </c>
      <c r="Q207" s="27" t="s">
        <v>897</v>
      </c>
      <c r="R207" s="1">
        <v>31044</v>
      </c>
      <c r="S207" s="27" t="s">
        <v>1041</v>
      </c>
      <c r="T207" s="27" t="s">
        <v>899</v>
      </c>
      <c r="U207" s="1">
        <v>58</v>
      </c>
      <c r="V207" s="27" t="s">
        <v>900</v>
      </c>
      <c r="W207" s="1">
        <v>908</v>
      </c>
      <c r="X207" s="28">
        <v>2.99</v>
      </c>
      <c r="Y207" s="29">
        <v>0.3</v>
      </c>
      <c r="Z207" s="29">
        <v>0.7</v>
      </c>
      <c r="AA207" s="26"/>
      <c r="AB207" s="26"/>
      <c r="AC207" s="27" t="s">
        <v>901</v>
      </c>
      <c r="AD207" t="s">
        <v>600</v>
      </c>
      <c r="AE207">
        <v>4.25</v>
      </c>
      <c r="AF207" t="s">
        <v>279</v>
      </c>
      <c r="AH207" t="s">
        <v>903</v>
      </c>
      <c r="AJ207" s="15"/>
      <c r="AK207" t="s">
        <v>908</v>
      </c>
    </row>
    <row r="208" spans="1:37" ht="15" hidden="1" customHeight="1" x14ac:dyDescent="0.25">
      <c r="A208" s="8">
        <v>207</v>
      </c>
      <c r="B208" s="21">
        <v>32668</v>
      </c>
      <c r="C208" s="22"/>
      <c r="D208" s="21">
        <v>476</v>
      </c>
      <c r="E208" s="21">
        <v>47603</v>
      </c>
      <c r="F208" s="21">
        <v>47603</v>
      </c>
      <c r="G208" s="23" t="s">
        <v>152</v>
      </c>
      <c r="H208" s="23" t="s">
        <v>151</v>
      </c>
      <c r="I208" s="23" t="s">
        <v>894</v>
      </c>
      <c r="J208" s="23" t="s">
        <v>123</v>
      </c>
      <c r="K208" s="23" t="s">
        <v>123</v>
      </c>
      <c r="L208" s="23" t="s">
        <v>901</v>
      </c>
      <c r="M208" s="23" t="s">
        <v>123</v>
      </c>
      <c r="N208" s="23" t="s">
        <v>901</v>
      </c>
      <c r="O208" s="23" t="s">
        <v>360</v>
      </c>
      <c r="P208" s="23" t="s">
        <v>896</v>
      </c>
      <c r="Q208" s="23" t="s">
        <v>897</v>
      </c>
      <c r="R208" s="21">
        <v>35704</v>
      </c>
      <c r="S208" s="23" t="s">
        <v>151</v>
      </c>
      <c r="T208" s="23" t="s">
        <v>917</v>
      </c>
      <c r="U208" s="21">
        <v>54</v>
      </c>
      <c r="V208" s="23" t="s">
        <v>913</v>
      </c>
      <c r="W208" s="21">
        <v>1</v>
      </c>
      <c r="X208" s="24">
        <v>0.99</v>
      </c>
      <c r="Y208" s="25">
        <v>0.5</v>
      </c>
      <c r="Z208" s="25">
        <v>0.5</v>
      </c>
      <c r="AA208" s="22"/>
      <c r="AB208" s="22"/>
      <c r="AC208" s="23" t="s">
        <v>901</v>
      </c>
      <c r="AD208" s="17" t="s">
        <v>362</v>
      </c>
      <c r="AE208" s="17">
        <v>1</v>
      </c>
      <c r="AF208" s="17" t="s">
        <v>123</v>
      </c>
      <c r="AG208" s="17" t="s">
        <v>902</v>
      </c>
      <c r="AH208" t="s">
        <v>903</v>
      </c>
      <c r="AJ208" s="15"/>
      <c r="AK208" t="s">
        <v>908</v>
      </c>
    </row>
    <row r="209" spans="1:37" ht="15" hidden="1" customHeight="1" x14ac:dyDescent="0.25">
      <c r="A209" s="1">
        <v>208</v>
      </c>
      <c r="B209" s="1">
        <v>32670</v>
      </c>
      <c r="C209" s="26"/>
      <c r="D209" s="1">
        <v>476</v>
      </c>
      <c r="E209" s="1">
        <v>47604</v>
      </c>
      <c r="F209" s="1">
        <v>47604</v>
      </c>
      <c r="G209" s="27" t="s">
        <v>154</v>
      </c>
      <c r="H209" s="27" t="s">
        <v>153</v>
      </c>
      <c r="I209" s="27" t="s">
        <v>894</v>
      </c>
      <c r="J209" s="27" t="s">
        <v>123</v>
      </c>
      <c r="K209" s="27" t="s">
        <v>123</v>
      </c>
      <c r="L209" s="27" t="s">
        <v>901</v>
      </c>
      <c r="M209" s="27" t="s">
        <v>123</v>
      </c>
      <c r="N209" s="27" t="s">
        <v>901</v>
      </c>
      <c r="O209" s="27" t="s">
        <v>360</v>
      </c>
      <c r="P209" s="27" t="s">
        <v>896</v>
      </c>
      <c r="Q209" s="27" t="s">
        <v>897</v>
      </c>
      <c r="R209" s="1">
        <v>35705</v>
      </c>
      <c r="S209" s="27" t="s">
        <v>153</v>
      </c>
      <c r="T209" s="27" t="s">
        <v>1042</v>
      </c>
      <c r="U209" s="1">
        <v>55</v>
      </c>
      <c r="V209" s="27" t="s">
        <v>913</v>
      </c>
      <c r="W209" s="1">
        <v>1</v>
      </c>
      <c r="X209" s="28">
        <v>1.49</v>
      </c>
      <c r="Y209" s="29">
        <v>0.5</v>
      </c>
      <c r="Z209" s="29">
        <v>0.5</v>
      </c>
      <c r="AA209" s="26"/>
      <c r="AB209" s="26"/>
      <c r="AC209" s="27" t="s">
        <v>901</v>
      </c>
      <c r="AD209" t="s">
        <v>362</v>
      </c>
      <c r="AE209">
        <v>1</v>
      </c>
      <c r="AF209" t="s">
        <v>123</v>
      </c>
      <c r="AG209" t="s">
        <v>902</v>
      </c>
      <c r="AH209" t="s">
        <v>903</v>
      </c>
      <c r="AJ209" s="15"/>
      <c r="AK209" t="s">
        <v>908</v>
      </c>
    </row>
    <row r="210" spans="1:37" ht="15" hidden="1" customHeight="1" x14ac:dyDescent="0.25">
      <c r="A210" s="1">
        <v>209</v>
      </c>
      <c r="B210" s="21">
        <v>32672</v>
      </c>
      <c r="C210" s="22"/>
      <c r="D210" s="21">
        <v>476</v>
      </c>
      <c r="E210" s="21">
        <v>47605</v>
      </c>
      <c r="F210" s="21">
        <v>47605</v>
      </c>
      <c r="G210" s="23" t="s">
        <v>156</v>
      </c>
      <c r="H210" s="23" t="s">
        <v>155</v>
      </c>
      <c r="I210" s="23" t="s">
        <v>894</v>
      </c>
      <c r="J210" s="23" t="s">
        <v>123</v>
      </c>
      <c r="K210" s="23" t="s">
        <v>123</v>
      </c>
      <c r="L210" s="23" t="s">
        <v>901</v>
      </c>
      <c r="M210" s="23" t="s">
        <v>123</v>
      </c>
      <c r="N210" s="23" t="s">
        <v>901</v>
      </c>
      <c r="O210" s="23" t="s">
        <v>360</v>
      </c>
      <c r="P210" s="23" t="s">
        <v>896</v>
      </c>
      <c r="Q210" s="23" t="s">
        <v>897</v>
      </c>
      <c r="R210" s="21">
        <v>35706</v>
      </c>
      <c r="S210" s="23" t="s">
        <v>155</v>
      </c>
      <c r="T210" s="23" t="s">
        <v>971</v>
      </c>
      <c r="U210" s="21">
        <v>56</v>
      </c>
      <c r="V210" s="23" t="s">
        <v>913</v>
      </c>
      <c r="W210" s="21">
        <v>1</v>
      </c>
      <c r="X210" s="24">
        <v>1.99</v>
      </c>
      <c r="Y210" s="25">
        <v>0.5</v>
      </c>
      <c r="Z210" s="25">
        <v>0.5</v>
      </c>
      <c r="AA210" s="22"/>
      <c r="AB210" s="22"/>
      <c r="AC210" s="23" t="s">
        <v>901</v>
      </c>
      <c r="AD210" s="17" t="s">
        <v>362</v>
      </c>
      <c r="AE210" s="17">
        <v>1</v>
      </c>
      <c r="AF210" s="17" t="s">
        <v>123</v>
      </c>
      <c r="AG210" s="17" t="s">
        <v>902</v>
      </c>
      <c r="AH210" t="s">
        <v>903</v>
      </c>
      <c r="AJ210" s="15"/>
      <c r="AK210" t="s">
        <v>908</v>
      </c>
    </row>
    <row r="211" spans="1:37" ht="15" hidden="1" customHeight="1" x14ac:dyDescent="0.25">
      <c r="A211" s="8">
        <v>210</v>
      </c>
      <c r="B211" s="1">
        <v>32674</v>
      </c>
      <c r="C211" s="26"/>
      <c r="D211" s="1">
        <v>476</v>
      </c>
      <c r="E211" s="1">
        <v>47606</v>
      </c>
      <c r="F211" s="1">
        <v>47606</v>
      </c>
      <c r="G211" s="27" t="s">
        <v>158</v>
      </c>
      <c r="H211" s="27" t="s">
        <v>157</v>
      </c>
      <c r="I211" s="27" t="s">
        <v>894</v>
      </c>
      <c r="J211" s="27" t="s">
        <v>123</v>
      </c>
      <c r="K211" s="27" t="s">
        <v>123</v>
      </c>
      <c r="L211" s="27" t="s">
        <v>901</v>
      </c>
      <c r="M211" s="27" t="s">
        <v>123</v>
      </c>
      <c r="N211" s="27" t="s">
        <v>901</v>
      </c>
      <c r="O211" s="27" t="s">
        <v>360</v>
      </c>
      <c r="P211" s="27" t="s">
        <v>896</v>
      </c>
      <c r="Q211" s="27" t="s">
        <v>897</v>
      </c>
      <c r="R211" s="1">
        <v>35707</v>
      </c>
      <c r="S211" s="27" t="s">
        <v>157</v>
      </c>
      <c r="T211" s="27" t="s">
        <v>899</v>
      </c>
      <c r="U211" s="1">
        <v>58</v>
      </c>
      <c r="V211" s="27" t="s">
        <v>913</v>
      </c>
      <c r="W211" s="1">
        <v>1</v>
      </c>
      <c r="X211" s="28">
        <v>2.99</v>
      </c>
      <c r="Y211" s="29">
        <v>0.5</v>
      </c>
      <c r="Z211" s="29">
        <v>0.5</v>
      </c>
      <c r="AA211" s="26"/>
      <c r="AB211" s="26"/>
      <c r="AC211" s="27" t="s">
        <v>901</v>
      </c>
      <c r="AD211" t="s">
        <v>362</v>
      </c>
      <c r="AE211">
        <v>1</v>
      </c>
      <c r="AF211" t="s">
        <v>123</v>
      </c>
      <c r="AG211" t="s">
        <v>902</v>
      </c>
      <c r="AH211" t="s">
        <v>903</v>
      </c>
      <c r="AJ211" s="15"/>
      <c r="AK211" t="s">
        <v>908</v>
      </c>
    </row>
    <row r="212" spans="1:37" ht="15" hidden="1" customHeight="1" x14ac:dyDescent="0.25">
      <c r="A212" s="1">
        <v>211</v>
      </c>
      <c r="B212" s="21">
        <v>32676</v>
      </c>
      <c r="C212" s="22"/>
      <c r="D212" s="21">
        <v>476</v>
      </c>
      <c r="E212" s="21">
        <v>47607</v>
      </c>
      <c r="F212" s="21">
        <v>47607</v>
      </c>
      <c r="G212" s="23" t="s">
        <v>160</v>
      </c>
      <c r="H212" s="23" t="s">
        <v>159</v>
      </c>
      <c r="I212" s="23" t="s">
        <v>894</v>
      </c>
      <c r="J212" s="23" t="s">
        <v>123</v>
      </c>
      <c r="K212" s="23" t="s">
        <v>123</v>
      </c>
      <c r="L212" s="23" t="s">
        <v>901</v>
      </c>
      <c r="M212" s="23" t="s">
        <v>123</v>
      </c>
      <c r="N212" s="23" t="s">
        <v>901</v>
      </c>
      <c r="O212" s="23" t="s">
        <v>360</v>
      </c>
      <c r="P212" s="23" t="s">
        <v>896</v>
      </c>
      <c r="Q212" s="23" t="s">
        <v>897</v>
      </c>
      <c r="R212" s="21">
        <v>35708</v>
      </c>
      <c r="S212" s="23" t="s">
        <v>159</v>
      </c>
      <c r="T212" s="23" t="s">
        <v>986</v>
      </c>
      <c r="U212" s="21">
        <v>60</v>
      </c>
      <c r="V212" s="23" t="s">
        <v>913</v>
      </c>
      <c r="W212" s="21">
        <v>1</v>
      </c>
      <c r="X212" s="24">
        <v>3.99</v>
      </c>
      <c r="Y212" s="33">
        <v>0.5</v>
      </c>
      <c r="Z212" s="33">
        <v>0.5</v>
      </c>
      <c r="AA212" s="22"/>
      <c r="AB212" s="22"/>
      <c r="AC212" s="23" t="s">
        <v>901</v>
      </c>
      <c r="AD212" s="17" t="s">
        <v>362</v>
      </c>
      <c r="AE212" s="17">
        <v>1</v>
      </c>
      <c r="AF212" s="17" t="s">
        <v>123</v>
      </c>
      <c r="AG212" s="17" t="s">
        <v>902</v>
      </c>
      <c r="AH212" t="s">
        <v>903</v>
      </c>
      <c r="AJ212" s="15"/>
      <c r="AK212" t="s">
        <v>908</v>
      </c>
    </row>
    <row r="213" spans="1:37" ht="15" hidden="1" customHeight="1" x14ac:dyDescent="0.25">
      <c r="A213" s="1">
        <v>212</v>
      </c>
      <c r="B213" s="1">
        <v>32680</v>
      </c>
      <c r="C213" s="26"/>
      <c r="D213" s="1">
        <v>477</v>
      </c>
      <c r="E213" s="1">
        <v>47702</v>
      </c>
      <c r="F213" s="1">
        <v>47702</v>
      </c>
      <c r="G213" s="27" t="s">
        <v>248</v>
      </c>
      <c r="H213" s="27" t="s">
        <v>246</v>
      </c>
      <c r="I213" s="27" t="s">
        <v>894</v>
      </c>
      <c r="J213" s="27" t="s">
        <v>123</v>
      </c>
      <c r="K213" s="27" t="s">
        <v>123</v>
      </c>
      <c r="L213" s="27" t="s">
        <v>901</v>
      </c>
      <c r="M213" s="27" t="s">
        <v>123</v>
      </c>
      <c r="N213" s="27" t="s">
        <v>901</v>
      </c>
      <c r="O213" s="27" t="s">
        <v>360</v>
      </c>
      <c r="P213" s="27" t="s">
        <v>896</v>
      </c>
      <c r="Q213" s="27" t="s">
        <v>897</v>
      </c>
      <c r="R213" s="1">
        <v>35710</v>
      </c>
      <c r="S213" s="27" t="s">
        <v>124</v>
      </c>
      <c r="T213" s="27" t="s">
        <v>917</v>
      </c>
      <c r="U213" s="1">
        <v>54</v>
      </c>
      <c r="V213" s="27" t="s">
        <v>900</v>
      </c>
      <c r="W213" s="1">
        <v>908</v>
      </c>
      <c r="X213" s="28">
        <v>0.99</v>
      </c>
      <c r="Y213" s="29">
        <v>0.5</v>
      </c>
      <c r="Z213" s="29">
        <v>0.5</v>
      </c>
      <c r="AA213" s="26"/>
      <c r="AB213" s="26"/>
      <c r="AC213" s="27" t="s">
        <v>901</v>
      </c>
      <c r="AD213" t="s">
        <v>362</v>
      </c>
      <c r="AE213">
        <v>4.25</v>
      </c>
      <c r="AF213" t="s">
        <v>123</v>
      </c>
      <c r="AG213" t="s">
        <v>902</v>
      </c>
      <c r="AH213" t="s">
        <v>903</v>
      </c>
      <c r="AJ213" s="15">
        <f>VLOOKUP(Tabla1[[#This Row],[CPC]],[1]Sheet3!$A:$D,4,0)</f>
        <v>0.50020091172354564</v>
      </c>
      <c r="AK213" t="s">
        <v>908</v>
      </c>
    </row>
    <row r="214" spans="1:37" ht="15" hidden="1" customHeight="1" x14ac:dyDescent="0.25">
      <c r="A214" s="8">
        <v>213</v>
      </c>
      <c r="B214" s="21">
        <v>32848</v>
      </c>
      <c r="C214" s="22"/>
      <c r="D214" s="21">
        <v>293</v>
      </c>
      <c r="E214" s="21">
        <v>29302</v>
      </c>
      <c r="F214" s="21">
        <v>29302</v>
      </c>
      <c r="G214" s="23" t="s">
        <v>236</v>
      </c>
      <c r="H214" s="23" t="s">
        <v>234</v>
      </c>
      <c r="I214" s="23" t="s">
        <v>894</v>
      </c>
      <c r="J214" s="23" t="s">
        <v>123</v>
      </c>
      <c r="K214" s="23" t="s">
        <v>123</v>
      </c>
      <c r="L214" s="23" t="s">
        <v>901</v>
      </c>
      <c r="M214" s="23" t="s">
        <v>123</v>
      </c>
      <c r="N214" s="23" t="s">
        <v>901</v>
      </c>
      <c r="O214" s="23" t="s">
        <v>325</v>
      </c>
      <c r="P214" s="23" t="s">
        <v>896</v>
      </c>
      <c r="Q214" s="23" t="s">
        <v>897</v>
      </c>
      <c r="R214" s="21">
        <v>35824</v>
      </c>
      <c r="S214" s="23" t="s">
        <v>234</v>
      </c>
      <c r="T214" s="23" t="s">
        <v>917</v>
      </c>
      <c r="U214" s="21">
        <v>54</v>
      </c>
      <c r="V214" s="23" t="s">
        <v>900</v>
      </c>
      <c r="W214" s="21">
        <v>908</v>
      </c>
      <c r="X214" s="24">
        <v>0.99</v>
      </c>
      <c r="Y214" s="25">
        <v>0.5</v>
      </c>
      <c r="Z214" s="25">
        <v>0.5</v>
      </c>
      <c r="AA214" s="31"/>
      <c r="AB214" s="31"/>
      <c r="AC214" s="23" t="s">
        <v>901</v>
      </c>
      <c r="AD214" s="17" t="s">
        <v>374</v>
      </c>
      <c r="AE214" s="17">
        <v>4.25</v>
      </c>
      <c r="AF214" s="17" t="s">
        <v>123</v>
      </c>
      <c r="AG214" s="17" t="s">
        <v>902</v>
      </c>
      <c r="AH214" t="s">
        <v>903</v>
      </c>
      <c r="AJ214" s="15"/>
      <c r="AK214" t="s">
        <v>908</v>
      </c>
    </row>
    <row r="215" spans="1:37" ht="15" hidden="1" customHeight="1" x14ac:dyDescent="0.25">
      <c r="A215" s="1">
        <v>214</v>
      </c>
      <c r="B215" s="1">
        <v>33109</v>
      </c>
      <c r="C215" s="26"/>
      <c r="D215" s="1">
        <v>293</v>
      </c>
      <c r="E215" s="1">
        <v>29303</v>
      </c>
      <c r="F215" s="1">
        <v>29303</v>
      </c>
      <c r="G215" s="27" t="s">
        <v>224</v>
      </c>
      <c r="H215" s="27" t="s">
        <v>223</v>
      </c>
      <c r="I215" s="27" t="s">
        <v>894</v>
      </c>
      <c r="J215" s="27" t="s">
        <v>123</v>
      </c>
      <c r="K215" s="27" t="s">
        <v>123</v>
      </c>
      <c r="L215" s="27" t="s">
        <v>901</v>
      </c>
      <c r="M215" s="27" t="s">
        <v>123</v>
      </c>
      <c r="N215" s="27" t="s">
        <v>901</v>
      </c>
      <c r="O215" s="27" t="s">
        <v>325</v>
      </c>
      <c r="P215" s="27" t="s">
        <v>896</v>
      </c>
      <c r="Q215" s="27" t="s">
        <v>897</v>
      </c>
      <c r="R215" s="1">
        <v>36045</v>
      </c>
      <c r="S215" s="27" t="s">
        <v>1043</v>
      </c>
      <c r="T215" s="27" t="s">
        <v>917</v>
      </c>
      <c r="U215" s="1">
        <v>54</v>
      </c>
      <c r="V215" s="27" t="s">
        <v>913</v>
      </c>
      <c r="W215" s="1">
        <v>1</v>
      </c>
      <c r="X215" s="28">
        <v>0.99</v>
      </c>
      <c r="Y215" s="29">
        <v>0.5</v>
      </c>
      <c r="Z215" s="29">
        <v>0.5</v>
      </c>
      <c r="AA215" s="30"/>
      <c r="AB215" s="30"/>
      <c r="AC215" s="27" t="s">
        <v>901</v>
      </c>
      <c r="AD215" t="s">
        <v>374</v>
      </c>
      <c r="AE215">
        <v>1</v>
      </c>
      <c r="AF215" t="s">
        <v>123</v>
      </c>
      <c r="AG215" t="s">
        <v>902</v>
      </c>
      <c r="AH215" t="s">
        <v>903</v>
      </c>
      <c r="AJ215" s="15"/>
      <c r="AK215" t="s">
        <v>908</v>
      </c>
    </row>
    <row r="216" spans="1:37" ht="15" hidden="1" customHeight="1" x14ac:dyDescent="0.25">
      <c r="A216" s="1">
        <v>215</v>
      </c>
      <c r="B216" s="21">
        <v>33115</v>
      </c>
      <c r="C216" s="22"/>
      <c r="D216" s="21">
        <v>293</v>
      </c>
      <c r="E216" s="21">
        <v>29304</v>
      </c>
      <c r="F216" s="21">
        <v>29304</v>
      </c>
      <c r="G216" s="23" t="s">
        <v>226</v>
      </c>
      <c r="H216" s="23" t="s">
        <v>225</v>
      </c>
      <c r="I216" s="23" t="s">
        <v>894</v>
      </c>
      <c r="J216" s="23" t="s">
        <v>123</v>
      </c>
      <c r="K216" s="23" t="s">
        <v>123</v>
      </c>
      <c r="L216" s="23" t="s">
        <v>901</v>
      </c>
      <c r="M216" s="23" t="s">
        <v>123</v>
      </c>
      <c r="N216" s="23" t="s">
        <v>901</v>
      </c>
      <c r="O216" s="23" t="s">
        <v>325</v>
      </c>
      <c r="P216" s="23" t="s">
        <v>896</v>
      </c>
      <c r="Q216" s="23" t="s">
        <v>897</v>
      </c>
      <c r="R216" s="21">
        <v>36048</v>
      </c>
      <c r="S216" s="23" t="s">
        <v>225</v>
      </c>
      <c r="T216" s="23" t="s">
        <v>986</v>
      </c>
      <c r="U216" s="21">
        <v>60</v>
      </c>
      <c r="V216" s="23" t="s">
        <v>913</v>
      </c>
      <c r="W216" s="21">
        <v>1</v>
      </c>
      <c r="X216" s="24">
        <v>3.99</v>
      </c>
      <c r="Y216" s="25">
        <v>0.5</v>
      </c>
      <c r="Z216" s="25">
        <v>0.5</v>
      </c>
      <c r="AA216" s="31"/>
      <c r="AB216" s="31"/>
      <c r="AC216" s="23" t="s">
        <v>901</v>
      </c>
      <c r="AD216" s="17" t="s">
        <v>374</v>
      </c>
      <c r="AE216" s="17">
        <v>1</v>
      </c>
      <c r="AF216" s="17" t="s">
        <v>123</v>
      </c>
      <c r="AG216" s="17" t="s">
        <v>902</v>
      </c>
      <c r="AH216" t="s">
        <v>903</v>
      </c>
      <c r="AJ216" s="15"/>
      <c r="AK216" t="s">
        <v>908</v>
      </c>
    </row>
    <row r="217" spans="1:37" ht="15" hidden="1" customHeight="1" x14ac:dyDescent="0.25">
      <c r="A217" s="8">
        <v>216</v>
      </c>
      <c r="B217" s="1">
        <v>33289</v>
      </c>
      <c r="C217" s="26"/>
      <c r="D217" s="1">
        <v>473</v>
      </c>
      <c r="E217" s="1">
        <v>47306</v>
      </c>
      <c r="F217" s="1">
        <v>47306</v>
      </c>
      <c r="G217" s="27" t="s">
        <v>212</v>
      </c>
      <c r="H217" s="27" t="s">
        <v>211</v>
      </c>
      <c r="I217" s="27" t="s">
        <v>894</v>
      </c>
      <c r="J217" s="27" t="s">
        <v>123</v>
      </c>
      <c r="K217" s="27" t="s">
        <v>123</v>
      </c>
      <c r="L217" s="27" t="s">
        <v>901</v>
      </c>
      <c r="M217" s="27" t="s">
        <v>123</v>
      </c>
      <c r="N217" s="27" t="s">
        <v>901</v>
      </c>
      <c r="O217" s="27" t="s">
        <v>325</v>
      </c>
      <c r="P217" s="27" t="s">
        <v>896</v>
      </c>
      <c r="Q217" s="27" t="s">
        <v>897</v>
      </c>
      <c r="R217" s="1">
        <v>36205</v>
      </c>
      <c r="S217" s="27" t="s">
        <v>1044</v>
      </c>
      <c r="T217" s="27" t="s">
        <v>1045</v>
      </c>
      <c r="U217" s="1">
        <v>62</v>
      </c>
      <c r="V217" s="27" t="s">
        <v>913</v>
      </c>
      <c r="W217" s="1">
        <v>1</v>
      </c>
      <c r="X217" s="28">
        <v>4.99</v>
      </c>
      <c r="Y217" s="30"/>
      <c r="Z217" s="30"/>
      <c r="AA217" s="30"/>
      <c r="AB217" s="30"/>
      <c r="AC217" s="27" t="s">
        <v>901</v>
      </c>
      <c r="AD217" t="s">
        <v>370</v>
      </c>
      <c r="AE217">
        <v>1</v>
      </c>
      <c r="AF217" t="s">
        <v>123</v>
      </c>
      <c r="AG217" t="s">
        <v>902</v>
      </c>
      <c r="AH217" t="s">
        <v>903</v>
      </c>
      <c r="AJ217" s="15"/>
      <c r="AK217" t="s">
        <v>908</v>
      </c>
    </row>
    <row r="218" spans="1:37" ht="15" hidden="1" customHeight="1" x14ac:dyDescent="0.25">
      <c r="A218" s="1">
        <v>217</v>
      </c>
      <c r="B218" s="21">
        <v>33310</v>
      </c>
      <c r="C218" s="22"/>
      <c r="D218" s="21">
        <v>217</v>
      </c>
      <c r="E218" s="21">
        <v>75</v>
      </c>
      <c r="F218" s="21">
        <v>75</v>
      </c>
      <c r="G218" s="23" t="s">
        <v>472</v>
      </c>
      <c r="H218" s="23" t="s">
        <v>61</v>
      </c>
      <c r="I218" s="23" t="s">
        <v>894</v>
      </c>
      <c r="J218" s="23" t="s">
        <v>279</v>
      </c>
      <c r="K218" s="23" t="s">
        <v>279</v>
      </c>
      <c r="L218" s="23" t="s">
        <v>925</v>
      </c>
      <c r="M218" s="23" t="s">
        <v>279</v>
      </c>
      <c r="N218" s="23" t="s">
        <v>925</v>
      </c>
      <c r="O218" s="23" t="s">
        <v>122</v>
      </c>
      <c r="P218" s="23" t="s">
        <v>896</v>
      </c>
      <c r="Q218" s="23" t="s">
        <v>897</v>
      </c>
      <c r="R218" s="21">
        <v>36225</v>
      </c>
      <c r="S218" s="23" t="s">
        <v>1046</v>
      </c>
      <c r="T218" s="23" t="s">
        <v>899</v>
      </c>
      <c r="U218" s="21">
        <v>58</v>
      </c>
      <c r="V218" s="23" t="s">
        <v>900</v>
      </c>
      <c r="W218" s="21">
        <v>908</v>
      </c>
      <c r="X218" s="24">
        <v>2.99</v>
      </c>
      <c r="Y218" s="25">
        <v>0.3</v>
      </c>
      <c r="Z218" s="25">
        <v>0.7</v>
      </c>
      <c r="AA218" s="31"/>
      <c r="AB218" s="31"/>
      <c r="AC218" s="23" t="s">
        <v>901</v>
      </c>
      <c r="AD218" s="17" t="s">
        <v>473</v>
      </c>
      <c r="AE218" s="17">
        <v>4.25</v>
      </c>
      <c r="AF218" s="17" t="s">
        <v>279</v>
      </c>
      <c r="AG218" s="17"/>
      <c r="AH218" t="s">
        <v>903</v>
      </c>
      <c r="AJ218" s="15"/>
      <c r="AK218" t="s">
        <v>908</v>
      </c>
    </row>
    <row r="219" spans="1:37" ht="15" hidden="1" customHeight="1" x14ac:dyDescent="0.25">
      <c r="A219" s="1">
        <v>218</v>
      </c>
      <c r="B219" s="8">
        <v>33752</v>
      </c>
      <c r="D219" s="8"/>
      <c r="E219" s="8"/>
      <c r="F219" s="8"/>
      <c r="G219" s="8" t="s">
        <v>122</v>
      </c>
      <c r="H219" s="8" t="s">
        <v>122</v>
      </c>
      <c r="I219" s="27" t="s">
        <v>894</v>
      </c>
      <c r="J219" s="8" t="s">
        <v>121</v>
      </c>
      <c r="K219" s="27" t="s">
        <v>36</v>
      </c>
      <c r="L219" s="8"/>
      <c r="M219" s="27" t="s">
        <v>905</v>
      </c>
      <c r="N219" s="8"/>
      <c r="O219" s="8" t="s">
        <v>122</v>
      </c>
      <c r="P219" s="27" t="s">
        <v>909</v>
      </c>
      <c r="Q219" s="27" t="s">
        <v>897</v>
      </c>
      <c r="R219" s="8"/>
      <c r="S219" s="8" t="s">
        <v>1047</v>
      </c>
      <c r="T219" s="8"/>
      <c r="U219" s="8"/>
      <c r="V219" s="8" t="s">
        <v>900</v>
      </c>
      <c r="W219" s="8"/>
      <c r="X219" s="8"/>
      <c r="Y219" s="8"/>
      <c r="Z219" s="8"/>
      <c r="AA219" s="8"/>
      <c r="AB219" s="8"/>
      <c r="AC219" s="8"/>
      <c r="AD219" t="s">
        <v>324</v>
      </c>
      <c r="AE219">
        <v>4.25</v>
      </c>
      <c r="AF219" t="s">
        <v>43</v>
      </c>
      <c r="AH219" t="s">
        <v>903</v>
      </c>
      <c r="AJ219" s="15"/>
      <c r="AK219" t="s">
        <v>908</v>
      </c>
    </row>
    <row r="220" spans="1:37" ht="15" hidden="1" customHeight="1" x14ac:dyDescent="0.25">
      <c r="A220" s="8">
        <v>219</v>
      </c>
      <c r="B220" s="21">
        <v>34311</v>
      </c>
      <c r="C220" s="22"/>
      <c r="D220" s="21">
        <v>254</v>
      </c>
      <c r="E220" s="21">
        <v>25406</v>
      </c>
      <c r="F220" s="21">
        <v>25406</v>
      </c>
      <c r="G220" s="23" t="s">
        <v>733</v>
      </c>
      <c r="H220" s="23" t="s">
        <v>732</v>
      </c>
      <c r="I220" s="23" t="s">
        <v>894</v>
      </c>
      <c r="J220" s="23" t="s">
        <v>280</v>
      </c>
      <c r="K220" s="23" t="s">
        <v>280</v>
      </c>
      <c r="L220" s="23" t="s">
        <v>901</v>
      </c>
      <c r="M220" s="23" t="s">
        <v>280</v>
      </c>
      <c r="N220" s="23" t="s">
        <v>901</v>
      </c>
      <c r="O220" s="23" t="s">
        <v>305</v>
      </c>
      <c r="P220" s="23" t="s">
        <v>896</v>
      </c>
      <c r="Q220" s="23" t="s">
        <v>897</v>
      </c>
      <c r="R220" s="21">
        <v>37085</v>
      </c>
      <c r="S220" s="23" t="s">
        <v>1048</v>
      </c>
      <c r="T220" s="23" t="s">
        <v>971</v>
      </c>
      <c r="U220" s="21">
        <v>56</v>
      </c>
      <c r="V220" s="23" t="s">
        <v>913</v>
      </c>
      <c r="W220" s="21">
        <v>1</v>
      </c>
      <c r="X220" s="24">
        <v>1.99</v>
      </c>
      <c r="Y220" s="25">
        <v>0.245</v>
      </c>
      <c r="Z220" s="25">
        <v>0.22500000000000001</v>
      </c>
      <c r="AA220" s="25">
        <v>0.4</v>
      </c>
      <c r="AB220" s="25">
        <v>0.13</v>
      </c>
      <c r="AC220" s="23" t="s">
        <v>1049</v>
      </c>
      <c r="AD220" s="17" t="s">
        <v>734</v>
      </c>
      <c r="AE220" s="17">
        <v>1</v>
      </c>
      <c r="AF220" s="17" t="s">
        <v>280</v>
      </c>
      <c r="AG220" s="17" t="s">
        <v>902</v>
      </c>
      <c r="AH220" t="s">
        <v>903</v>
      </c>
      <c r="AJ220" s="15"/>
      <c r="AK220" t="s">
        <v>908</v>
      </c>
    </row>
    <row r="221" spans="1:37" ht="15" hidden="1" customHeight="1" x14ac:dyDescent="0.25">
      <c r="A221" s="1">
        <v>220</v>
      </c>
      <c r="B221" s="1">
        <v>34313</v>
      </c>
      <c r="C221" s="26"/>
      <c r="D221" s="1">
        <v>254</v>
      </c>
      <c r="E221" s="1">
        <v>25407</v>
      </c>
      <c r="F221" s="1">
        <v>25407</v>
      </c>
      <c r="G221" s="27" t="s">
        <v>742</v>
      </c>
      <c r="H221" s="27" t="s">
        <v>739</v>
      </c>
      <c r="I221" s="27" t="s">
        <v>894</v>
      </c>
      <c r="J221" s="27" t="s">
        <v>280</v>
      </c>
      <c r="K221" s="27" t="s">
        <v>280</v>
      </c>
      <c r="L221" s="27" t="s">
        <v>901</v>
      </c>
      <c r="M221" s="27" t="s">
        <v>280</v>
      </c>
      <c r="N221" s="27" t="s">
        <v>901</v>
      </c>
      <c r="O221" s="27" t="s">
        <v>305</v>
      </c>
      <c r="P221" s="27" t="s">
        <v>896</v>
      </c>
      <c r="Q221" s="27" t="s">
        <v>897</v>
      </c>
      <c r="R221" s="1">
        <v>37086</v>
      </c>
      <c r="S221" s="27" t="s">
        <v>1050</v>
      </c>
      <c r="T221" s="27" t="s">
        <v>971</v>
      </c>
      <c r="U221" s="1">
        <v>56</v>
      </c>
      <c r="V221" s="27" t="s">
        <v>913</v>
      </c>
      <c r="W221" s="1">
        <v>1</v>
      </c>
      <c r="X221" s="28">
        <v>1.99</v>
      </c>
      <c r="Y221" s="29">
        <v>0.245</v>
      </c>
      <c r="Z221" s="29">
        <v>0.22500000000000001</v>
      </c>
      <c r="AA221" s="29">
        <v>0.4</v>
      </c>
      <c r="AB221" s="29">
        <v>0.13</v>
      </c>
      <c r="AC221" s="27" t="s">
        <v>1051</v>
      </c>
      <c r="AD221" t="s">
        <v>741</v>
      </c>
      <c r="AE221">
        <v>1</v>
      </c>
      <c r="AF221" t="s">
        <v>280</v>
      </c>
      <c r="AG221" t="s">
        <v>902</v>
      </c>
      <c r="AH221" t="s">
        <v>903</v>
      </c>
      <c r="AJ221" s="15"/>
      <c r="AK221" t="s">
        <v>908</v>
      </c>
    </row>
    <row r="222" spans="1:37" ht="15" hidden="1" customHeight="1" x14ac:dyDescent="0.25">
      <c r="A222" s="1">
        <v>221</v>
      </c>
      <c r="B222" s="21">
        <v>34328</v>
      </c>
      <c r="C222" s="22"/>
      <c r="D222" s="21">
        <v>467</v>
      </c>
      <c r="E222" s="21">
        <v>46714</v>
      </c>
      <c r="F222" s="21">
        <v>46714</v>
      </c>
      <c r="G222" s="23" t="s">
        <v>727</v>
      </c>
      <c r="H222" s="23" t="s">
        <v>726</v>
      </c>
      <c r="I222" s="23" t="s">
        <v>894</v>
      </c>
      <c r="J222" s="23" t="s">
        <v>280</v>
      </c>
      <c r="K222" s="23" t="s">
        <v>280</v>
      </c>
      <c r="L222" s="23" t="s">
        <v>901</v>
      </c>
      <c r="M222" s="23" t="s">
        <v>280</v>
      </c>
      <c r="N222" s="23" t="s">
        <v>901</v>
      </c>
      <c r="O222" s="23" t="s">
        <v>305</v>
      </c>
      <c r="P222" s="23" t="s">
        <v>896</v>
      </c>
      <c r="Q222" s="23" t="s">
        <v>897</v>
      </c>
      <c r="R222" s="21">
        <v>37104</v>
      </c>
      <c r="S222" s="23" t="s">
        <v>1052</v>
      </c>
      <c r="T222" s="23" t="s">
        <v>1042</v>
      </c>
      <c r="U222" s="21">
        <v>55</v>
      </c>
      <c r="V222" s="23" t="s">
        <v>913</v>
      </c>
      <c r="W222" s="21">
        <v>1</v>
      </c>
      <c r="X222" s="24">
        <v>1.49</v>
      </c>
      <c r="Y222" s="25">
        <v>0.19329999999999997</v>
      </c>
      <c r="Z222" s="25">
        <v>0.17329999999999998</v>
      </c>
      <c r="AA222" s="25">
        <v>0.50340000000000007</v>
      </c>
      <c r="AB222" s="25">
        <v>0.13</v>
      </c>
      <c r="AC222" s="23" t="s">
        <v>976</v>
      </c>
      <c r="AD222" s="17" t="s">
        <v>728</v>
      </c>
      <c r="AE222" s="17">
        <v>1</v>
      </c>
      <c r="AF222" s="17" t="s">
        <v>280</v>
      </c>
      <c r="AG222" s="17" t="s">
        <v>902</v>
      </c>
      <c r="AH222" t="s">
        <v>903</v>
      </c>
      <c r="AJ222" s="15"/>
      <c r="AK222" t="s">
        <v>908</v>
      </c>
    </row>
    <row r="223" spans="1:37" ht="15" hidden="1" customHeight="1" x14ac:dyDescent="0.25">
      <c r="A223" s="8">
        <v>222</v>
      </c>
      <c r="B223" s="1">
        <v>34330</v>
      </c>
      <c r="C223" s="26"/>
      <c r="D223" s="1">
        <v>463</v>
      </c>
      <c r="E223" s="1">
        <v>46306</v>
      </c>
      <c r="F223" s="1">
        <v>46306</v>
      </c>
      <c r="G223" s="27" t="s">
        <v>730</v>
      </c>
      <c r="H223" s="27" t="s">
        <v>729</v>
      </c>
      <c r="I223" s="27" t="s">
        <v>894</v>
      </c>
      <c r="J223" s="27" t="s">
        <v>280</v>
      </c>
      <c r="K223" s="27" t="s">
        <v>280</v>
      </c>
      <c r="L223" s="27" t="s">
        <v>901</v>
      </c>
      <c r="M223" s="27" t="s">
        <v>280</v>
      </c>
      <c r="N223" s="27" t="s">
        <v>901</v>
      </c>
      <c r="O223" s="27" t="s">
        <v>305</v>
      </c>
      <c r="P223" s="27" t="s">
        <v>896</v>
      </c>
      <c r="Q223" s="27" t="s">
        <v>897</v>
      </c>
      <c r="R223" s="1">
        <v>37105</v>
      </c>
      <c r="S223" s="27" t="s">
        <v>729</v>
      </c>
      <c r="T223" s="27" t="s">
        <v>917</v>
      </c>
      <c r="U223" s="1">
        <v>54</v>
      </c>
      <c r="V223" s="27" t="s">
        <v>913</v>
      </c>
      <c r="W223" s="1">
        <v>1</v>
      </c>
      <c r="X223" s="28">
        <v>0.99</v>
      </c>
      <c r="Y223" s="29">
        <v>0.1925</v>
      </c>
      <c r="Z223" s="29">
        <v>0.17249999999999999</v>
      </c>
      <c r="AA223" s="29">
        <v>0.50509999999999999</v>
      </c>
      <c r="AB223" s="29">
        <v>0.13</v>
      </c>
      <c r="AC223" s="27" t="s">
        <v>976</v>
      </c>
      <c r="AD223" t="s">
        <v>731</v>
      </c>
      <c r="AE223">
        <v>1</v>
      </c>
      <c r="AF223" t="s">
        <v>280</v>
      </c>
      <c r="AG223" t="s">
        <v>902</v>
      </c>
      <c r="AH223" t="s">
        <v>903</v>
      </c>
      <c r="AJ223" s="15"/>
      <c r="AK223" t="s">
        <v>908</v>
      </c>
    </row>
    <row r="224" spans="1:37" ht="15" hidden="1" customHeight="1" x14ac:dyDescent="0.25">
      <c r="A224" s="1">
        <v>223</v>
      </c>
      <c r="B224" s="21">
        <v>34332</v>
      </c>
      <c r="C224" s="22"/>
      <c r="D224" s="21">
        <v>467</v>
      </c>
      <c r="E224" s="21">
        <v>46712</v>
      </c>
      <c r="F224" s="21">
        <v>46712</v>
      </c>
      <c r="G224" s="23" t="s">
        <v>715</v>
      </c>
      <c r="H224" s="23" t="s">
        <v>714</v>
      </c>
      <c r="I224" s="23" t="s">
        <v>894</v>
      </c>
      <c r="J224" s="23" t="s">
        <v>280</v>
      </c>
      <c r="K224" s="23" t="s">
        <v>280</v>
      </c>
      <c r="L224" s="23" t="s">
        <v>901</v>
      </c>
      <c r="M224" s="23" t="s">
        <v>280</v>
      </c>
      <c r="N224" s="23" t="s">
        <v>901</v>
      </c>
      <c r="O224" s="23" t="s">
        <v>305</v>
      </c>
      <c r="P224" s="23" t="s">
        <v>896</v>
      </c>
      <c r="Q224" s="23" t="s">
        <v>897</v>
      </c>
      <c r="R224" s="21">
        <v>37106</v>
      </c>
      <c r="S224" s="23" t="s">
        <v>1053</v>
      </c>
      <c r="T224" s="23" t="s">
        <v>1042</v>
      </c>
      <c r="U224" s="21">
        <v>55</v>
      </c>
      <c r="V224" s="23" t="s">
        <v>913</v>
      </c>
      <c r="W224" s="21">
        <v>1</v>
      </c>
      <c r="X224" s="24">
        <v>1.49</v>
      </c>
      <c r="Y224" s="25">
        <v>0.17660000000000001</v>
      </c>
      <c r="Z224" s="25">
        <v>0.15659999999999999</v>
      </c>
      <c r="AA224" s="25">
        <v>0.53689999999999993</v>
      </c>
      <c r="AB224" s="25">
        <v>0.13</v>
      </c>
      <c r="AC224" s="23" t="s">
        <v>974</v>
      </c>
      <c r="AD224" s="17" t="s">
        <v>716</v>
      </c>
      <c r="AE224" s="17">
        <v>1</v>
      </c>
      <c r="AF224" s="17" t="s">
        <v>280</v>
      </c>
      <c r="AG224" s="17" t="s">
        <v>902</v>
      </c>
      <c r="AH224" t="s">
        <v>903</v>
      </c>
      <c r="AJ224" s="15"/>
      <c r="AK224" t="s">
        <v>908</v>
      </c>
    </row>
    <row r="225" spans="1:37" ht="15" hidden="1" customHeight="1" x14ac:dyDescent="0.25">
      <c r="A225" s="1">
        <v>224</v>
      </c>
      <c r="B225" s="1">
        <v>34334</v>
      </c>
      <c r="C225" s="26"/>
      <c r="D225" s="1">
        <v>463</v>
      </c>
      <c r="E225" s="1">
        <v>46303</v>
      </c>
      <c r="F225" s="1">
        <v>46303</v>
      </c>
      <c r="G225" s="27" t="s">
        <v>718</v>
      </c>
      <c r="H225" s="27" t="s">
        <v>717</v>
      </c>
      <c r="I225" s="27" t="s">
        <v>894</v>
      </c>
      <c r="J225" s="27" t="s">
        <v>280</v>
      </c>
      <c r="K225" s="27" t="s">
        <v>280</v>
      </c>
      <c r="L225" s="27" t="s">
        <v>901</v>
      </c>
      <c r="M225" s="27" t="s">
        <v>280</v>
      </c>
      <c r="N225" s="27" t="s">
        <v>901</v>
      </c>
      <c r="O225" s="27" t="s">
        <v>305</v>
      </c>
      <c r="P225" s="27" t="s">
        <v>896</v>
      </c>
      <c r="Q225" s="27" t="s">
        <v>897</v>
      </c>
      <c r="R225" s="1">
        <v>37107</v>
      </c>
      <c r="S225" s="27" t="s">
        <v>1054</v>
      </c>
      <c r="T225" s="27" t="s">
        <v>917</v>
      </c>
      <c r="U225" s="1">
        <v>54</v>
      </c>
      <c r="V225" s="27" t="s">
        <v>913</v>
      </c>
      <c r="W225" s="1">
        <v>1</v>
      </c>
      <c r="X225" s="28">
        <v>0.99</v>
      </c>
      <c r="Y225" s="29">
        <v>0.16719999999999999</v>
      </c>
      <c r="Z225" s="29">
        <v>0.1472</v>
      </c>
      <c r="AA225" s="29">
        <v>0.55559999999999998</v>
      </c>
      <c r="AB225" s="29">
        <v>0.13</v>
      </c>
      <c r="AC225" s="27" t="s">
        <v>974</v>
      </c>
      <c r="AD225" t="s">
        <v>719</v>
      </c>
      <c r="AE225">
        <v>1</v>
      </c>
      <c r="AF225" t="s">
        <v>280</v>
      </c>
      <c r="AG225" t="s">
        <v>902</v>
      </c>
      <c r="AH225" t="s">
        <v>903</v>
      </c>
      <c r="AJ225" s="15"/>
      <c r="AK225" t="s">
        <v>908</v>
      </c>
    </row>
    <row r="226" spans="1:37" ht="15" hidden="1" customHeight="1" x14ac:dyDescent="0.25">
      <c r="A226" s="8">
        <v>225</v>
      </c>
      <c r="B226" s="21">
        <v>34336</v>
      </c>
      <c r="C226" s="22"/>
      <c r="D226" s="21">
        <v>467</v>
      </c>
      <c r="E226" s="21">
        <v>46713</v>
      </c>
      <c r="F226" s="21">
        <v>46713</v>
      </c>
      <c r="G226" s="23" t="s">
        <v>721</v>
      </c>
      <c r="H226" s="23" t="s">
        <v>720</v>
      </c>
      <c r="I226" s="23" t="s">
        <v>894</v>
      </c>
      <c r="J226" s="23" t="s">
        <v>280</v>
      </c>
      <c r="K226" s="23" t="s">
        <v>280</v>
      </c>
      <c r="L226" s="23" t="s">
        <v>901</v>
      </c>
      <c r="M226" s="23" t="s">
        <v>280</v>
      </c>
      <c r="N226" s="23" t="s">
        <v>901</v>
      </c>
      <c r="O226" s="23" t="s">
        <v>305</v>
      </c>
      <c r="P226" s="23" t="s">
        <v>896</v>
      </c>
      <c r="Q226" s="23" t="s">
        <v>897</v>
      </c>
      <c r="R226" s="21">
        <v>37108</v>
      </c>
      <c r="S226" s="23" t="s">
        <v>1055</v>
      </c>
      <c r="T226" s="23" t="s">
        <v>1042</v>
      </c>
      <c r="U226" s="21">
        <v>55</v>
      </c>
      <c r="V226" s="23" t="s">
        <v>913</v>
      </c>
      <c r="W226" s="21">
        <v>1</v>
      </c>
      <c r="X226" s="24">
        <v>1.49</v>
      </c>
      <c r="Y226" s="25">
        <v>0.17660000000000001</v>
      </c>
      <c r="Z226" s="25">
        <v>0.15659999999999999</v>
      </c>
      <c r="AA226" s="25">
        <v>0.53689999999999993</v>
      </c>
      <c r="AB226" s="25">
        <v>0.13</v>
      </c>
      <c r="AC226" s="23" t="s">
        <v>972</v>
      </c>
      <c r="AD226" s="17" t="s">
        <v>722</v>
      </c>
      <c r="AE226" s="17">
        <v>1</v>
      </c>
      <c r="AF226" s="17" t="s">
        <v>280</v>
      </c>
      <c r="AG226" s="17" t="s">
        <v>902</v>
      </c>
      <c r="AH226" t="s">
        <v>903</v>
      </c>
      <c r="AJ226" s="15"/>
      <c r="AK226" t="s">
        <v>908</v>
      </c>
    </row>
    <row r="227" spans="1:37" ht="15" hidden="1" customHeight="1" x14ac:dyDescent="0.25">
      <c r="A227" s="1">
        <v>226</v>
      </c>
      <c r="B227" s="1">
        <v>34338</v>
      </c>
      <c r="C227" s="26"/>
      <c r="D227" s="1">
        <v>463</v>
      </c>
      <c r="E227" s="1">
        <v>46304</v>
      </c>
      <c r="F227" s="1">
        <v>46304</v>
      </c>
      <c r="G227" s="27" t="s">
        <v>724</v>
      </c>
      <c r="H227" s="27" t="s">
        <v>723</v>
      </c>
      <c r="I227" s="27" t="s">
        <v>894</v>
      </c>
      <c r="J227" s="27" t="s">
        <v>280</v>
      </c>
      <c r="K227" s="27" t="s">
        <v>280</v>
      </c>
      <c r="L227" s="27" t="s">
        <v>901</v>
      </c>
      <c r="M227" s="27" t="s">
        <v>280</v>
      </c>
      <c r="N227" s="27" t="s">
        <v>901</v>
      </c>
      <c r="O227" s="27" t="s">
        <v>305</v>
      </c>
      <c r="P227" s="27" t="s">
        <v>896</v>
      </c>
      <c r="Q227" s="27" t="s">
        <v>897</v>
      </c>
      <c r="R227" s="1">
        <v>37109</v>
      </c>
      <c r="S227" s="27" t="s">
        <v>1056</v>
      </c>
      <c r="T227" s="27" t="s">
        <v>917</v>
      </c>
      <c r="U227" s="1">
        <v>54</v>
      </c>
      <c r="V227" s="27" t="s">
        <v>913</v>
      </c>
      <c r="W227" s="1">
        <v>1</v>
      </c>
      <c r="X227" s="28">
        <v>0.99</v>
      </c>
      <c r="Y227" s="29">
        <v>0.16719999999999999</v>
      </c>
      <c r="Z227" s="29">
        <v>0.1472</v>
      </c>
      <c r="AA227" s="29">
        <v>0.55559999999999998</v>
      </c>
      <c r="AB227" s="29">
        <v>0.13</v>
      </c>
      <c r="AC227" s="27" t="s">
        <v>972</v>
      </c>
      <c r="AD227" t="s">
        <v>725</v>
      </c>
      <c r="AE227">
        <v>1</v>
      </c>
      <c r="AF227" t="s">
        <v>280</v>
      </c>
      <c r="AG227" t="s">
        <v>902</v>
      </c>
      <c r="AH227" t="s">
        <v>903</v>
      </c>
      <c r="AJ227" s="15"/>
      <c r="AK227" t="s">
        <v>908</v>
      </c>
    </row>
    <row r="228" spans="1:37" ht="15" hidden="1" customHeight="1" x14ac:dyDescent="0.25">
      <c r="A228" s="1">
        <v>227</v>
      </c>
      <c r="B228" s="21">
        <v>34344</v>
      </c>
      <c r="C228" s="22"/>
      <c r="D228" s="21">
        <v>467</v>
      </c>
      <c r="E228" s="21">
        <v>46711</v>
      </c>
      <c r="F228" s="21">
        <v>46711</v>
      </c>
      <c r="G228" s="23" t="s">
        <v>709</v>
      </c>
      <c r="H228" s="23" t="s">
        <v>708</v>
      </c>
      <c r="I228" s="23" t="s">
        <v>894</v>
      </c>
      <c r="J228" s="23" t="s">
        <v>280</v>
      </c>
      <c r="K228" s="23" t="s">
        <v>280</v>
      </c>
      <c r="L228" s="23" t="s">
        <v>901</v>
      </c>
      <c r="M228" s="23" t="s">
        <v>280</v>
      </c>
      <c r="N228" s="23" t="s">
        <v>901</v>
      </c>
      <c r="O228" s="23" t="s">
        <v>305</v>
      </c>
      <c r="P228" s="23" t="s">
        <v>896</v>
      </c>
      <c r="Q228" s="23" t="s">
        <v>897</v>
      </c>
      <c r="R228" s="21">
        <v>37112</v>
      </c>
      <c r="S228" s="23" t="s">
        <v>1057</v>
      </c>
      <c r="T228" s="23" t="s">
        <v>1042</v>
      </c>
      <c r="U228" s="21">
        <v>55</v>
      </c>
      <c r="V228" s="23" t="s">
        <v>913</v>
      </c>
      <c r="W228" s="21">
        <v>1</v>
      </c>
      <c r="X228" s="24">
        <v>1.49</v>
      </c>
      <c r="Y228" s="25">
        <v>0.19500000000000001</v>
      </c>
      <c r="Z228" s="25">
        <v>0.17499999999999999</v>
      </c>
      <c r="AA228" s="25">
        <v>0.5</v>
      </c>
      <c r="AB228" s="25">
        <v>0.13</v>
      </c>
      <c r="AC228" s="23" t="s">
        <v>1051</v>
      </c>
      <c r="AD228" s="17" t="s">
        <v>710</v>
      </c>
      <c r="AE228" s="17">
        <v>1</v>
      </c>
      <c r="AF228" s="17" t="s">
        <v>280</v>
      </c>
      <c r="AG228" s="17" t="s">
        <v>902</v>
      </c>
      <c r="AH228" t="s">
        <v>903</v>
      </c>
      <c r="AJ228" s="15"/>
      <c r="AK228" t="s">
        <v>908</v>
      </c>
    </row>
    <row r="229" spans="1:37" ht="15" hidden="1" customHeight="1" x14ac:dyDescent="0.25">
      <c r="A229" s="8">
        <v>228</v>
      </c>
      <c r="B229" s="1">
        <v>34346</v>
      </c>
      <c r="C229" s="26"/>
      <c r="D229" s="1">
        <v>463</v>
      </c>
      <c r="E229" s="1">
        <v>46305</v>
      </c>
      <c r="F229" s="1">
        <v>46305</v>
      </c>
      <c r="G229" s="27" t="s">
        <v>712</v>
      </c>
      <c r="H229" s="27" t="s">
        <v>711</v>
      </c>
      <c r="I229" s="27" t="s">
        <v>894</v>
      </c>
      <c r="J229" s="27" t="s">
        <v>280</v>
      </c>
      <c r="K229" s="27" t="s">
        <v>280</v>
      </c>
      <c r="L229" s="27" t="s">
        <v>901</v>
      </c>
      <c r="M229" s="27" t="s">
        <v>280</v>
      </c>
      <c r="N229" s="27" t="s">
        <v>901</v>
      </c>
      <c r="O229" s="27" t="s">
        <v>305</v>
      </c>
      <c r="P229" s="27" t="s">
        <v>896</v>
      </c>
      <c r="Q229" s="27" t="s">
        <v>897</v>
      </c>
      <c r="R229" s="1">
        <v>37113</v>
      </c>
      <c r="S229" s="27" t="s">
        <v>1058</v>
      </c>
      <c r="T229" s="27" t="s">
        <v>917</v>
      </c>
      <c r="U229" s="1">
        <v>54</v>
      </c>
      <c r="V229" s="27" t="s">
        <v>913</v>
      </c>
      <c r="W229" s="1">
        <v>1</v>
      </c>
      <c r="X229" s="28">
        <v>0.99</v>
      </c>
      <c r="Y229" s="29">
        <v>0.14499999999999999</v>
      </c>
      <c r="Z229" s="29">
        <v>0.22500000000000001</v>
      </c>
      <c r="AA229" s="29">
        <v>0.5</v>
      </c>
      <c r="AB229" s="29">
        <v>0.13</v>
      </c>
      <c r="AC229" s="27" t="s">
        <v>1051</v>
      </c>
      <c r="AD229" t="s">
        <v>713</v>
      </c>
      <c r="AE229">
        <v>1</v>
      </c>
      <c r="AF229" t="s">
        <v>280</v>
      </c>
      <c r="AG229" t="s">
        <v>902</v>
      </c>
      <c r="AH229" t="s">
        <v>903</v>
      </c>
      <c r="AJ229" s="15"/>
      <c r="AK229" t="s">
        <v>908</v>
      </c>
    </row>
    <row r="230" spans="1:37" ht="15" hidden="1" customHeight="1" x14ac:dyDescent="0.25">
      <c r="A230" s="1">
        <v>229</v>
      </c>
      <c r="B230" s="21">
        <v>34348</v>
      </c>
      <c r="C230" s="22"/>
      <c r="D230" s="21">
        <v>467</v>
      </c>
      <c r="E230" s="21">
        <v>46709</v>
      </c>
      <c r="F230" s="21">
        <v>46709</v>
      </c>
      <c r="G230" s="23" t="s">
        <v>697</v>
      </c>
      <c r="H230" s="23" t="s">
        <v>696</v>
      </c>
      <c r="I230" s="23" t="s">
        <v>894</v>
      </c>
      <c r="J230" s="23" t="s">
        <v>280</v>
      </c>
      <c r="K230" s="23" t="s">
        <v>280</v>
      </c>
      <c r="L230" s="23" t="s">
        <v>901</v>
      </c>
      <c r="M230" s="23" t="s">
        <v>280</v>
      </c>
      <c r="N230" s="23" t="s">
        <v>901</v>
      </c>
      <c r="O230" s="23" t="s">
        <v>305</v>
      </c>
      <c r="P230" s="23" t="s">
        <v>896</v>
      </c>
      <c r="Q230" s="23" t="s">
        <v>897</v>
      </c>
      <c r="R230" s="21">
        <v>37114</v>
      </c>
      <c r="S230" s="23" t="s">
        <v>1059</v>
      </c>
      <c r="T230" s="23" t="s">
        <v>1042</v>
      </c>
      <c r="U230" s="21">
        <v>55</v>
      </c>
      <c r="V230" s="23" t="s">
        <v>913</v>
      </c>
      <c r="W230" s="21">
        <v>1</v>
      </c>
      <c r="X230" s="24">
        <v>1.49</v>
      </c>
      <c r="Y230" s="25">
        <v>0.19500000000000001</v>
      </c>
      <c r="Z230" s="25">
        <v>0.17499999999999999</v>
      </c>
      <c r="AA230" s="25">
        <v>0.5</v>
      </c>
      <c r="AB230" s="25">
        <v>0.13</v>
      </c>
      <c r="AC230" s="23" t="s">
        <v>1049</v>
      </c>
      <c r="AD230" s="17" t="s">
        <v>698</v>
      </c>
      <c r="AE230" s="17">
        <v>1</v>
      </c>
      <c r="AF230" s="17" t="s">
        <v>280</v>
      </c>
      <c r="AG230" s="17" t="s">
        <v>902</v>
      </c>
      <c r="AH230" t="s">
        <v>903</v>
      </c>
      <c r="AJ230" s="15"/>
      <c r="AK230" t="s">
        <v>908</v>
      </c>
    </row>
    <row r="231" spans="1:37" ht="15" hidden="1" customHeight="1" x14ac:dyDescent="0.25">
      <c r="A231" s="1">
        <v>230</v>
      </c>
      <c r="B231" s="1">
        <v>34350</v>
      </c>
      <c r="C231" s="26"/>
      <c r="D231" s="1">
        <v>463</v>
      </c>
      <c r="E231" s="1">
        <v>46301</v>
      </c>
      <c r="F231" s="1">
        <v>46301</v>
      </c>
      <c r="G231" s="27" t="s">
        <v>700</v>
      </c>
      <c r="H231" s="27" t="s">
        <v>699</v>
      </c>
      <c r="I231" s="27" t="s">
        <v>894</v>
      </c>
      <c r="J231" s="27" t="s">
        <v>280</v>
      </c>
      <c r="K231" s="27" t="s">
        <v>280</v>
      </c>
      <c r="L231" s="27" t="s">
        <v>901</v>
      </c>
      <c r="M231" s="27" t="s">
        <v>280</v>
      </c>
      <c r="N231" s="27" t="s">
        <v>901</v>
      </c>
      <c r="O231" s="27" t="s">
        <v>305</v>
      </c>
      <c r="P231" s="27" t="s">
        <v>896</v>
      </c>
      <c r="Q231" s="27" t="s">
        <v>897</v>
      </c>
      <c r="R231" s="1">
        <v>37115</v>
      </c>
      <c r="S231" s="27" t="s">
        <v>1060</v>
      </c>
      <c r="T231" s="27" t="s">
        <v>917</v>
      </c>
      <c r="U231" s="1">
        <v>54</v>
      </c>
      <c r="V231" s="27" t="s">
        <v>913</v>
      </c>
      <c r="W231" s="1">
        <v>1</v>
      </c>
      <c r="X231" s="28">
        <v>0.99</v>
      </c>
      <c r="Y231" s="29">
        <v>0.19500000000000001</v>
      </c>
      <c r="Z231" s="29">
        <v>0.17499999999999999</v>
      </c>
      <c r="AA231" s="29">
        <v>0.5</v>
      </c>
      <c r="AB231" s="29">
        <v>0.13</v>
      </c>
      <c r="AC231" s="27" t="s">
        <v>1049</v>
      </c>
      <c r="AD231" t="s">
        <v>701</v>
      </c>
      <c r="AE231">
        <v>1</v>
      </c>
      <c r="AF231" t="s">
        <v>280</v>
      </c>
      <c r="AG231" t="s">
        <v>902</v>
      </c>
      <c r="AH231" t="s">
        <v>903</v>
      </c>
      <c r="AJ231" s="15"/>
      <c r="AK231" t="s">
        <v>908</v>
      </c>
    </row>
    <row r="232" spans="1:37" ht="15" hidden="1" customHeight="1" x14ac:dyDescent="0.25">
      <c r="A232" s="8">
        <v>231</v>
      </c>
      <c r="B232" s="21">
        <v>34352</v>
      </c>
      <c r="C232" s="22"/>
      <c r="D232" s="21">
        <v>467</v>
      </c>
      <c r="E232" s="21">
        <v>46710</v>
      </c>
      <c r="F232" s="21">
        <v>46710</v>
      </c>
      <c r="G232" s="23" t="s">
        <v>703</v>
      </c>
      <c r="H232" s="23" t="s">
        <v>702</v>
      </c>
      <c r="I232" s="23" t="s">
        <v>894</v>
      </c>
      <c r="J232" s="23" t="s">
        <v>280</v>
      </c>
      <c r="K232" s="23" t="s">
        <v>280</v>
      </c>
      <c r="L232" s="23" t="s">
        <v>901</v>
      </c>
      <c r="M232" s="23" t="s">
        <v>280</v>
      </c>
      <c r="N232" s="23" t="s">
        <v>901</v>
      </c>
      <c r="O232" s="23" t="s">
        <v>305</v>
      </c>
      <c r="P232" s="23" t="s">
        <v>896</v>
      </c>
      <c r="Q232" s="23" t="s">
        <v>897</v>
      </c>
      <c r="R232" s="21">
        <v>37116</v>
      </c>
      <c r="S232" s="23" t="s">
        <v>1061</v>
      </c>
      <c r="T232" s="23" t="s">
        <v>1042</v>
      </c>
      <c r="U232" s="21">
        <v>55</v>
      </c>
      <c r="V232" s="23" t="s">
        <v>913</v>
      </c>
      <c r="W232" s="21">
        <v>1</v>
      </c>
      <c r="X232" s="24">
        <v>1.49</v>
      </c>
      <c r="Y232" s="25">
        <v>0.245</v>
      </c>
      <c r="Z232" s="25">
        <v>0.22500000000000001</v>
      </c>
      <c r="AA232" s="25">
        <v>0.4</v>
      </c>
      <c r="AB232" s="25">
        <v>0.13</v>
      </c>
      <c r="AC232" s="23" t="s">
        <v>978</v>
      </c>
      <c r="AD232" s="17" t="s">
        <v>704</v>
      </c>
      <c r="AE232" s="17">
        <v>1</v>
      </c>
      <c r="AF232" s="17" t="s">
        <v>280</v>
      </c>
      <c r="AG232" s="17" t="s">
        <v>902</v>
      </c>
      <c r="AH232" t="s">
        <v>903</v>
      </c>
      <c r="AJ232" s="15"/>
      <c r="AK232" t="s">
        <v>908</v>
      </c>
    </row>
    <row r="233" spans="1:37" ht="15" hidden="1" customHeight="1" x14ac:dyDescent="0.25">
      <c r="A233" s="1">
        <v>232</v>
      </c>
      <c r="B233" s="1">
        <v>34354</v>
      </c>
      <c r="C233" s="26"/>
      <c r="D233" s="1">
        <v>463</v>
      </c>
      <c r="E233" s="1">
        <v>46302</v>
      </c>
      <c r="F233" s="1">
        <v>46302</v>
      </c>
      <c r="G233" s="27" t="s">
        <v>706</v>
      </c>
      <c r="H233" s="27" t="s">
        <v>705</v>
      </c>
      <c r="I233" s="27" t="s">
        <v>894</v>
      </c>
      <c r="J233" s="27" t="s">
        <v>280</v>
      </c>
      <c r="K233" s="27" t="s">
        <v>280</v>
      </c>
      <c r="L233" s="27" t="s">
        <v>901</v>
      </c>
      <c r="M233" s="27" t="s">
        <v>280</v>
      </c>
      <c r="N233" s="27" t="s">
        <v>901</v>
      </c>
      <c r="O233" s="27" t="s">
        <v>305</v>
      </c>
      <c r="P233" s="27" t="s">
        <v>896</v>
      </c>
      <c r="Q233" s="27" t="s">
        <v>897</v>
      </c>
      <c r="R233" s="1">
        <v>37117</v>
      </c>
      <c r="S233" s="27" t="s">
        <v>1062</v>
      </c>
      <c r="T233" s="27" t="s">
        <v>917</v>
      </c>
      <c r="U233" s="1">
        <v>54</v>
      </c>
      <c r="V233" s="27" t="s">
        <v>913</v>
      </c>
      <c r="W233" s="1">
        <v>1</v>
      </c>
      <c r="X233" s="28">
        <v>0.99</v>
      </c>
      <c r="Y233" s="29">
        <v>0.245</v>
      </c>
      <c r="Z233" s="29">
        <v>0.22500000000000001</v>
      </c>
      <c r="AA233" s="29">
        <v>0.4</v>
      </c>
      <c r="AB233" s="29">
        <v>0.13</v>
      </c>
      <c r="AC233" s="27" t="s">
        <v>978</v>
      </c>
      <c r="AD233" t="s">
        <v>707</v>
      </c>
      <c r="AE233">
        <v>1</v>
      </c>
      <c r="AF233" t="s">
        <v>280</v>
      </c>
      <c r="AG233" t="s">
        <v>902</v>
      </c>
      <c r="AH233" t="s">
        <v>903</v>
      </c>
      <c r="AJ233" s="15"/>
      <c r="AK233" t="s">
        <v>908</v>
      </c>
    </row>
    <row r="234" spans="1:37" ht="15" hidden="1" customHeight="1" x14ac:dyDescent="0.25">
      <c r="A234" s="1">
        <v>233</v>
      </c>
      <c r="B234" s="21">
        <v>34356</v>
      </c>
      <c r="C234" s="22"/>
      <c r="D234" s="21">
        <v>465</v>
      </c>
      <c r="E234" s="21">
        <v>46504</v>
      </c>
      <c r="F234" s="21">
        <v>46504</v>
      </c>
      <c r="G234" s="23" t="s">
        <v>694</v>
      </c>
      <c r="H234" s="23" t="s">
        <v>693</v>
      </c>
      <c r="I234" s="23" t="s">
        <v>894</v>
      </c>
      <c r="J234" s="23" t="s">
        <v>280</v>
      </c>
      <c r="K234" s="23" t="s">
        <v>280</v>
      </c>
      <c r="L234" s="23" t="s">
        <v>901</v>
      </c>
      <c r="M234" s="23" t="s">
        <v>280</v>
      </c>
      <c r="N234" s="23" t="s">
        <v>901</v>
      </c>
      <c r="O234" s="23" t="s">
        <v>305</v>
      </c>
      <c r="P234" s="23" t="s">
        <v>896</v>
      </c>
      <c r="Q234" s="23" t="s">
        <v>897</v>
      </c>
      <c r="R234" s="21">
        <v>37118</v>
      </c>
      <c r="S234" s="23" t="s">
        <v>1063</v>
      </c>
      <c r="T234" s="23" t="s">
        <v>971</v>
      </c>
      <c r="U234" s="21">
        <v>56</v>
      </c>
      <c r="V234" s="23" t="s">
        <v>913</v>
      </c>
      <c r="W234" s="21">
        <v>1</v>
      </c>
      <c r="X234" s="24">
        <v>1.99</v>
      </c>
      <c r="Y234" s="25">
        <v>0.24399999999999999</v>
      </c>
      <c r="Z234" s="25">
        <v>0.22399999999999998</v>
      </c>
      <c r="AA234" s="25">
        <v>0.40200000000000002</v>
      </c>
      <c r="AB234" s="25">
        <v>0.13</v>
      </c>
      <c r="AC234" s="23" t="s">
        <v>976</v>
      </c>
      <c r="AD234" s="17" t="s">
        <v>695</v>
      </c>
      <c r="AE234" s="17">
        <v>1</v>
      </c>
      <c r="AF234" s="17" t="s">
        <v>280</v>
      </c>
      <c r="AG234" s="17" t="s">
        <v>902</v>
      </c>
      <c r="AH234" t="s">
        <v>903</v>
      </c>
      <c r="AJ234" s="15"/>
      <c r="AK234" t="s">
        <v>908</v>
      </c>
    </row>
    <row r="235" spans="1:37" ht="15" hidden="1" customHeight="1" x14ac:dyDescent="0.25">
      <c r="A235" s="8">
        <v>234</v>
      </c>
      <c r="B235" s="1">
        <v>34358</v>
      </c>
      <c r="C235" s="26"/>
      <c r="D235" s="1">
        <v>465</v>
      </c>
      <c r="E235" s="1">
        <v>46502</v>
      </c>
      <c r="F235" s="1">
        <v>46502</v>
      </c>
      <c r="G235" s="27" t="s">
        <v>688</v>
      </c>
      <c r="H235" s="27" t="s">
        <v>687</v>
      </c>
      <c r="I235" s="27" t="s">
        <v>894</v>
      </c>
      <c r="J235" s="27" t="s">
        <v>280</v>
      </c>
      <c r="K235" s="27" t="s">
        <v>280</v>
      </c>
      <c r="L235" s="27" t="s">
        <v>901</v>
      </c>
      <c r="M235" s="27" t="s">
        <v>280</v>
      </c>
      <c r="N235" s="27" t="s">
        <v>901</v>
      </c>
      <c r="O235" s="27" t="s">
        <v>305</v>
      </c>
      <c r="P235" s="27" t="s">
        <v>896</v>
      </c>
      <c r="Q235" s="27" t="s">
        <v>897</v>
      </c>
      <c r="R235" s="1">
        <v>37119</v>
      </c>
      <c r="S235" s="27" t="s">
        <v>1064</v>
      </c>
      <c r="T235" s="27" t="s">
        <v>971</v>
      </c>
      <c r="U235" s="1">
        <v>56</v>
      </c>
      <c r="V235" s="27" t="s">
        <v>913</v>
      </c>
      <c r="W235" s="1">
        <v>1</v>
      </c>
      <c r="X235" s="28">
        <v>1.99</v>
      </c>
      <c r="Y235" s="29">
        <v>0.24399999999999999</v>
      </c>
      <c r="Z235" s="29">
        <v>0.22399999999999998</v>
      </c>
      <c r="AA235" s="29">
        <v>0.40200000000000002</v>
      </c>
      <c r="AB235" s="29">
        <v>0.13</v>
      </c>
      <c r="AC235" s="27" t="s">
        <v>974</v>
      </c>
      <c r="AD235" t="s">
        <v>689</v>
      </c>
      <c r="AE235">
        <v>1</v>
      </c>
      <c r="AF235" t="s">
        <v>280</v>
      </c>
      <c r="AG235" t="s">
        <v>902</v>
      </c>
      <c r="AH235" t="s">
        <v>903</v>
      </c>
      <c r="AJ235" s="15"/>
      <c r="AK235" t="s">
        <v>908</v>
      </c>
    </row>
    <row r="236" spans="1:37" ht="15" hidden="1" customHeight="1" x14ac:dyDescent="0.25">
      <c r="A236" s="1">
        <v>235</v>
      </c>
      <c r="B236" s="21">
        <v>34361</v>
      </c>
      <c r="C236" s="22"/>
      <c r="D236" s="21">
        <v>465</v>
      </c>
      <c r="E236" s="21">
        <v>46503</v>
      </c>
      <c r="F236" s="21">
        <v>46503</v>
      </c>
      <c r="G236" s="23" t="s">
        <v>691</v>
      </c>
      <c r="H236" s="23" t="s">
        <v>690</v>
      </c>
      <c r="I236" s="23" t="s">
        <v>894</v>
      </c>
      <c r="J236" s="23" t="s">
        <v>280</v>
      </c>
      <c r="K236" s="23" t="s">
        <v>280</v>
      </c>
      <c r="L236" s="23" t="s">
        <v>901</v>
      </c>
      <c r="M236" s="23" t="s">
        <v>280</v>
      </c>
      <c r="N236" s="23" t="s">
        <v>901</v>
      </c>
      <c r="O236" s="23" t="s">
        <v>305</v>
      </c>
      <c r="P236" s="23" t="s">
        <v>896</v>
      </c>
      <c r="Q236" s="23" t="s">
        <v>897</v>
      </c>
      <c r="R236" s="21">
        <v>37120</v>
      </c>
      <c r="S236" s="23" t="s">
        <v>1065</v>
      </c>
      <c r="T236" s="23" t="s">
        <v>971</v>
      </c>
      <c r="U236" s="21">
        <v>56</v>
      </c>
      <c r="V236" s="23" t="s">
        <v>913</v>
      </c>
      <c r="W236" s="21">
        <v>1</v>
      </c>
      <c r="X236" s="24">
        <v>1.99</v>
      </c>
      <c r="Y236" s="25">
        <v>0.20379999999999998</v>
      </c>
      <c r="Z236" s="25">
        <v>0.18379999999999999</v>
      </c>
      <c r="AA236" s="25">
        <v>0.4824</v>
      </c>
      <c r="AB236" s="25">
        <v>0.13</v>
      </c>
      <c r="AC236" s="23" t="s">
        <v>972</v>
      </c>
      <c r="AD236" s="17" t="s">
        <v>692</v>
      </c>
      <c r="AE236" s="17">
        <v>1</v>
      </c>
      <c r="AF236" s="17" t="s">
        <v>280</v>
      </c>
      <c r="AG236" s="17" t="s">
        <v>902</v>
      </c>
      <c r="AH236" t="s">
        <v>903</v>
      </c>
      <c r="AJ236" s="15"/>
      <c r="AK236" t="s">
        <v>908</v>
      </c>
    </row>
    <row r="237" spans="1:37" ht="15" hidden="1" customHeight="1" x14ac:dyDescent="0.25">
      <c r="A237" s="1">
        <v>236</v>
      </c>
      <c r="B237" s="1">
        <v>34365</v>
      </c>
      <c r="C237" s="26"/>
      <c r="D237" s="1">
        <v>465</v>
      </c>
      <c r="E237" s="1">
        <v>46505</v>
      </c>
      <c r="F237" s="1">
        <v>46505</v>
      </c>
      <c r="G237" s="27" t="s">
        <v>685</v>
      </c>
      <c r="H237" s="27" t="s">
        <v>684</v>
      </c>
      <c r="I237" s="27" t="s">
        <v>894</v>
      </c>
      <c r="J237" s="27" t="s">
        <v>280</v>
      </c>
      <c r="K237" s="27" t="s">
        <v>280</v>
      </c>
      <c r="L237" s="27" t="s">
        <v>901</v>
      </c>
      <c r="M237" s="27" t="s">
        <v>280</v>
      </c>
      <c r="N237" s="27" t="s">
        <v>901</v>
      </c>
      <c r="O237" s="27" t="s">
        <v>305</v>
      </c>
      <c r="P237" s="27" t="s">
        <v>896</v>
      </c>
      <c r="Q237" s="27" t="s">
        <v>897</v>
      </c>
      <c r="R237" s="1">
        <v>37122</v>
      </c>
      <c r="S237" s="27" t="s">
        <v>1066</v>
      </c>
      <c r="T237" s="27" t="s">
        <v>971</v>
      </c>
      <c r="U237" s="1">
        <v>56</v>
      </c>
      <c r="V237" s="27" t="s">
        <v>913</v>
      </c>
      <c r="W237" s="1">
        <v>1</v>
      </c>
      <c r="X237" s="28">
        <v>1.99</v>
      </c>
      <c r="Y237" s="29">
        <v>0.29499999999999998</v>
      </c>
      <c r="Z237" s="29">
        <v>0.17499999999999999</v>
      </c>
      <c r="AA237" s="29">
        <v>0.4</v>
      </c>
      <c r="AB237" s="29">
        <v>0.13</v>
      </c>
      <c r="AC237" s="27" t="s">
        <v>1051</v>
      </c>
      <c r="AD237" t="s">
        <v>686</v>
      </c>
      <c r="AE237">
        <v>1</v>
      </c>
      <c r="AF237" t="s">
        <v>280</v>
      </c>
      <c r="AG237" t="s">
        <v>902</v>
      </c>
      <c r="AH237" t="s">
        <v>903</v>
      </c>
      <c r="AJ237" s="15"/>
      <c r="AK237" t="s">
        <v>908</v>
      </c>
    </row>
    <row r="238" spans="1:37" ht="15" hidden="1" customHeight="1" x14ac:dyDescent="0.25">
      <c r="A238" s="8">
        <v>237</v>
      </c>
      <c r="B238" s="21">
        <v>34367</v>
      </c>
      <c r="C238" s="22"/>
      <c r="D238" s="21">
        <v>465</v>
      </c>
      <c r="E238" s="21">
        <v>46506</v>
      </c>
      <c r="F238" s="21">
        <v>46506</v>
      </c>
      <c r="G238" s="23" t="s">
        <v>679</v>
      </c>
      <c r="H238" s="23" t="s">
        <v>678</v>
      </c>
      <c r="I238" s="23" t="s">
        <v>894</v>
      </c>
      <c r="J238" s="23" t="s">
        <v>280</v>
      </c>
      <c r="K238" s="23" t="s">
        <v>280</v>
      </c>
      <c r="L238" s="23" t="s">
        <v>901</v>
      </c>
      <c r="M238" s="23" t="s">
        <v>280</v>
      </c>
      <c r="N238" s="23" t="s">
        <v>901</v>
      </c>
      <c r="O238" s="23" t="s">
        <v>305</v>
      </c>
      <c r="P238" s="23" t="s">
        <v>896</v>
      </c>
      <c r="Q238" s="23" t="s">
        <v>897</v>
      </c>
      <c r="R238" s="21">
        <v>37123</v>
      </c>
      <c r="S238" s="23" t="s">
        <v>1067</v>
      </c>
      <c r="T238" s="23" t="s">
        <v>971</v>
      </c>
      <c r="U238" s="21">
        <v>56</v>
      </c>
      <c r="V238" s="23" t="s">
        <v>913</v>
      </c>
      <c r="W238" s="21">
        <v>1</v>
      </c>
      <c r="X238" s="24">
        <v>1.99</v>
      </c>
      <c r="Y238" s="25">
        <v>0.29499999999999998</v>
      </c>
      <c r="Z238" s="25">
        <v>0.17499999999999999</v>
      </c>
      <c r="AA238" s="25">
        <v>0.4</v>
      </c>
      <c r="AB238" s="25">
        <v>0.13</v>
      </c>
      <c r="AC238" s="23" t="s">
        <v>1049</v>
      </c>
      <c r="AD238" s="17" t="s">
        <v>680</v>
      </c>
      <c r="AE238" s="17">
        <v>1</v>
      </c>
      <c r="AF238" s="17" t="s">
        <v>280</v>
      </c>
      <c r="AG238" s="17" t="s">
        <v>902</v>
      </c>
      <c r="AH238" t="s">
        <v>903</v>
      </c>
      <c r="AJ238" s="15"/>
      <c r="AK238" t="s">
        <v>908</v>
      </c>
    </row>
    <row r="239" spans="1:37" ht="15" hidden="1" customHeight="1" x14ac:dyDescent="0.25">
      <c r="A239" s="1">
        <v>238</v>
      </c>
      <c r="B239" s="1">
        <v>34369</v>
      </c>
      <c r="C239" s="26"/>
      <c r="D239" s="1">
        <v>465</v>
      </c>
      <c r="E239" s="1">
        <v>46501</v>
      </c>
      <c r="F239" s="1">
        <v>46501</v>
      </c>
      <c r="G239" s="27" t="s">
        <v>682</v>
      </c>
      <c r="H239" s="27" t="s">
        <v>681</v>
      </c>
      <c r="I239" s="27" t="s">
        <v>894</v>
      </c>
      <c r="J239" s="27" t="s">
        <v>280</v>
      </c>
      <c r="K239" s="27" t="s">
        <v>280</v>
      </c>
      <c r="L239" s="27" t="s">
        <v>901</v>
      </c>
      <c r="M239" s="27" t="s">
        <v>280</v>
      </c>
      <c r="N239" s="27" t="s">
        <v>901</v>
      </c>
      <c r="O239" s="27" t="s">
        <v>305</v>
      </c>
      <c r="P239" s="27" t="s">
        <v>896</v>
      </c>
      <c r="Q239" s="27" t="s">
        <v>897</v>
      </c>
      <c r="R239" s="1">
        <v>37124</v>
      </c>
      <c r="S239" s="27" t="s">
        <v>1068</v>
      </c>
      <c r="T239" s="27" t="s">
        <v>971</v>
      </c>
      <c r="U239" s="1">
        <v>56</v>
      </c>
      <c r="V239" s="27" t="s">
        <v>913</v>
      </c>
      <c r="W239" s="1">
        <v>1</v>
      </c>
      <c r="X239" s="28">
        <v>1.99</v>
      </c>
      <c r="Y239" s="29">
        <v>0.19500000000000001</v>
      </c>
      <c r="Z239" s="29">
        <v>0.17499999999999999</v>
      </c>
      <c r="AA239" s="29">
        <v>0.5</v>
      </c>
      <c r="AB239" s="29">
        <v>0.13</v>
      </c>
      <c r="AC239" s="27" t="s">
        <v>978</v>
      </c>
      <c r="AD239" t="s">
        <v>683</v>
      </c>
      <c r="AE239">
        <v>1</v>
      </c>
      <c r="AF239" t="s">
        <v>280</v>
      </c>
      <c r="AG239" t="s">
        <v>902</v>
      </c>
      <c r="AH239" t="s">
        <v>903</v>
      </c>
      <c r="AJ239" s="15"/>
      <c r="AK239" t="s">
        <v>908</v>
      </c>
    </row>
    <row r="240" spans="1:37" ht="15" hidden="1" customHeight="1" x14ac:dyDescent="0.25">
      <c r="A240" s="1">
        <v>239</v>
      </c>
      <c r="B240" s="21">
        <v>34371</v>
      </c>
      <c r="C240" s="22"/>
      <c r="D240" s="21">
        <v>467</v>
      </c>
      <c r="E240" s="21">
        <v>46707</v>
      </c>
      <c r="F240" s="21">
        <v>46707</v>
      </c>
      <c r="G240" s="23" t="s">
        <v>752</v>
      </c>
      <c r="H240" s="23" t="s">
        <v>751</v>
      </c>
      <c r="I240" s="23" t="s">
        <v>894</v>
      </c>
      <c r="J240" s="23" t="s">
        <v>280</v>
      </c>
      <c r="K240" s="23" t="s">
        <v>280</v>
      </c>
      <c r="L240" s="23" t="s">
        <v>901</v>
      </c>
      <c r="M240" s="23" t="s">
        <v>280</v>
      </c>
      <c r="N240" s="23" t="s">
        <v>901</v>
      </c>
      <c r="O240" s="23" t="s">
        <v>305</v>
      </c>
      <c r="P240" s="23" t="s">
        <v>896</v>
      </c>
      <c r="Q240" s="23" t="s">
        <v>897</v>
      </c>
      <c r="R240" s="21">
        <v>37125</v>
      </c>
      <c r="S240" s="23" t="s">
        <v>1069</v>
      </c>
      <c r="T240" s="23" t="s">
        <v>971</v>
      </c>
      <c r="U240" s="21">
        <v>56</v>
      </c>
      <c r="V240" s="23" t="s">
        <v>913</v>
      </c>
      <c r="W240" s="21">
        <v>1</v>
      </c>
      <c r="X240" s="24">
        <v>1.99</v>
      </c>
      <c r="Y240" s="25">
        <v>0.25659999999999999</v>
      </c>
      <c r="Z240" s="25">
        <v>0.2366</v>
      </c>
      <c r="AA240" s="33">
        <v>0.37689999999999996</v>
      </c>
      <c r="AB240" s="33">
        <v>0.13</v>
      </c>
      <c r="AC240" s="23" t="s">
        <v>976</v>
      </c>
      <c r="AD240" s="17" t="s">
        <v>753</v>
      </c>
      <c r="AE240" s="17">
        <v>1</v>
      </c>
      <c r="AF240" s="17" t="s">
        <v>280</v>
      </c>
      <c r="AG240" s="17" t="s">
        <v>902</v>
      </c>
      <c r="AH240" t="s">
        <v>903</v>
      </c>
      <c r="AJ240" s="15"/>
      <c r="AK240" t="s">
        <v>908</v>
      </c>
    </row>
    <row r="241" spans="1:37" ht="15" hidden="1" customHeight="1" x14ac:dyDescent="0.25">
      <c r="A241" s="8">
        <v>240</v>
      </c>
      <c r="B241" s="1">
        <v>34373</v>
      </c>
      <c r="C241" s="26"/>
      <c r="D241" s="1">
        <v>467</v>
      </c>
      <c r="E241" s="1">
        <v>46705</v>
      </c>
      <c r="F241" s="1">
        <v>46705</v>
      </c>
      <c r="G241" s="27" t="s">
        <v>744</v>
      </c>
      <c r="H241" s="27" t="s">
        <v>743</v>
      </c>
      <c r="I241" s="27" t="s">
        <v>894</v>
      </c>
      <c r="J241" s="27" t="s">
        <v>280</v>
      </c>
      <c r="K241" s="27" t="s">
        <v>280</v>
      </c>
      <c r="L241" s="27" t="s">
        <v>901</v>
      </c>
      <c r="M241" s="27" t="s">
        <v>280</v>
      </c>
      <c r="N241" s="27" t="s">
        <v>901</v>
      </c>
      <c r="O241" s="27" t="s">
        <v>305</v>
      </c>
      <c r="P241" s="27" t="s">
        <v>896</v>
      </c>
      <c r="Q241" s="27" t="s">
        <v>897</v>
      </c>
      <c r="R241" s="1">
        <v>37126</v>
      </c>
      <c r="S241" s="27" t="s">
        <v>1070</v>
      </c>
      <c r="T241" s="27" t="s">
        <v>971</v>
      </c>
      <c r="U241" s="1">
        <v>56</v>
      </c>
      <c r="V241" s="27" t="s">
        <v>913</v>
      </c>
      <c r="W241" s="1">
        <v>1</v>
      </c>
      <c r="X241" s="28">
        <v>1.99</v>
      </c>
      <c r="Y241" s="29">
        <v>0.24399999999999999</v>
      </c>
      <c r="Z241" s="29">
        <v>0.22399999999999998</v>
      </c>
      <c r="AA241" s="29">
        <v>0.40200000000000002</v>
      </c>
      <c r="AB241" s="29">
        <v>0.13</v>
      </c>
      <c r="AC241" s="27" t="s">
        <v>974</v>
      </c>
      <c r="AD241" t="s">
        <v>745</v>
      </c>
      <c r="AE241">
        <v>1</v>
      </c>
      <c r="AF241" t="s">
        <v>280</v>
      </c>
      <c r="AG241" t="s">
        <v>902</v>
      </c>
      <c r="AH241" t="s">
        <v>903</v>
      </c>
      <c r="AJ241" s="15"/>
      <c r="AK241" t="s">
        <v>908</v>
      </c>
    </row>
    <row r="242" spans="1:37" ht="15" hidden="1" customHeight="1" x14ac:dyDescent="0.25">
      <c r="A242" s="1">
        <v>241</v>
      </c>
      <c r="B242" s="21">
        <v>34375</v>
      </c>
      <c r="C242" s="31"/>
      <c r="D242" s="21">
        <v>467</v>
      </c>
      <c r="E242" s="21">
        <v>46706</v>
      </c>
      <c r="F242" s="21">
        <v>46706</v>
      </c>
      <c r="G242" s="23" t="s">
        <v>748</v>
      </c>
      <c r="H242" s="23" t="s">
        <v>747</v>
      </c>
      <c r="I242" s="23" t="s">
        <v>894</v>
      </c>
      <c r="J242" s="23" t="s">
        <v>280</v>
      </c>
      <c r="K242" s="23" t="s">
        <v>280</v>
      </c>
      <c r="L242" s="23" t="s">
        <v>901</v>
      </c>
      <c r="M242" s="23" t="s">
        <v>280</v>
      </c>
      <c r="N242" s="23" t="s">
        <v>901</v>
      </c>
      <c r="O242" s="23" t="s">
        <v>305</v>
      </c>
      <c r="P242" s="23" t="s">
        <v>896</v>
      </c>
      <c r="Q242" s="23" t="s">
        <v>897</v>
      </c>
      <c r="R242" s="21">
        <v>37127</v>
      </c>
      <c r="S242" s="23" t="s">
        <v>1071</v>
      </c>
      <c r="T242" s="23" t="s">
        <v>971</v>
      </c>
      <c r="U242" s="21">
        <v>56</v>
      </c>
      <c r="V242" s="23" t="s">
        <v>913</v>
      </c>
      <c r="W242" s="21">
        <v>1</v>
      </c>
      <c r="X242" s="24">
        <v>1.99</v>
      </c>
      <c r="Y242" s="33">
        <v>0.26910000000000001</v>
      </c>
      <c r="Z242" s="33">
        <v>0.24909999999999999</v>
      </c>
      <c r="AA242" s="33">
        <v>0.3518</v>
      </c>
      <c r="AB242" s="33">
        <v>0.13</v>
      </c>
      <c r="AC242" s="23" t="s">
        <v>972</v>
      </c>
      <c r="AD242" s="17" t="s">
        <v>749</v>
      </c>
      <c r="AE242" s="17">
        <v>1</v>
      </c>
      <c r="AF242" s="17" t="s">
        <v>280</v>
      </c>
      <c r="AG242" s="17" t="s">
        <v>902</v>
      </c>
      <c r="AH242" t="s">
        <v>903</v>
      </c>
      <c r="AJ242" s="15"/>
      <c r="AK242" t="s">
        <v>908</v>
      </c>
    </row>
    <row r="243" spans="1:37" ht="15" hidden="1" customHeight="1" x14ac:dyDescent="0.25">
      <c r="A243" s="1">
        <v>242</v>
      </c>
      <c r="B243" s="1">
        <v>34379</v>
      </c>
      <c r="C243" s="26"/>
      <c r="D243" s="1">
        <v>467</v>
      </c>
      <c r="E243" s="1">
        <v>46704</v>
      </c>
      <c r="F243" s="1">
        <v>46704</v>
      </c>
      <c r="G243" s="27" t="s">
        <v>740</v>
      </c>
      <c r="H243" s="27" t="s">
        <v>739</v>
      </c>
      <c r="I243" s="27" t="s">
        <v>894</v>
      </c>
      <c r="J243" s="27" t="s">
        <v>280</v>
      </c>
      <c r="K243" s="27" t="s">
        <v>280</v>
      </c>
      <c r="L243" s="27" t="s">
        <v>901</v>
      </c>
      <c r="M243" s="27" t="s">
        <v>280</v>
      </c>
      <c r="N243" s="27" t="s">
        <v>901</v>
      </c>
      <c r="O243" s="27" t="s">
        <v>305</v>
      </c>
      <c r="P243" s="27" t="s">
        <v>896</v>
      </c>
      <c r="Q243" s="27" t="s">
        <v>897</v>
      </c>
      <c r="R243" s="1">
        <v>37129</v>
      </c>
      <c r="S243" s="27" t="s">
        <v>1072</v>
      </c>
      <c r="T243" s="27" t="s">
        <v>971</v>
      </c>
      <c r="U243" s="1">
        <v>56</v>
      </c>
      <c r="V243" s="27" t="s">
        <v>913</v>
      </c>
      <c r="W243" s="1">
        <v>1</v>
      </c>
      <c r="X243" s="28">
        <v>1.99</v>
      </c>
      <c r="Y243" s="29">
        <v>0.245</v>
      </c>
      <c r="Z243" s="29">
        <v>0.22500000000000001</v>
      </c>
      <c r="AA243" s="32">
        <v>0.4</v>
      </c>
      <c r="AB243" s="32">
        <v>0.13</v>
      </c>
      <c r="AC243" s="27" t="s">
        <v>1051</v>
      </c>
      <c r="AD243" t="s">
        <v>741</v>
      </c>
      <c r="AE243">
        <v>1</v>
      </c>
      <c r="AF243" t="s">
        <v>280</v>
      </c>
      <c r="AG243" t="s">
        <v>902</v>
      </c>
      <c r="AH243" t="s">
        <v>903</v>
      </c>
      <c r="AJ243" s="15"/>
      <c r="AK243" t="s">
        <v>908</v>
      </c>
    </row>
    <row r="244" spans="1:37" ht="15" hidden="1" customHeight="1" x14ac:dyDescent="0.25">
      <c r="A244" s="8">
        <v>243</v>
      </c>
      <c r="B244" s="21">
        <v>34381</v>
      </c>
      <c r="C244" s="22"/>
      <c r="D244" s="21">
        <v>467</v>
      </c>
      <c r="E244" s="21">
        <v>46702</v>
      </c>
      <c r="F244" s="21">
        <v>46702</v>
      </c>
      <c r="G244" s="23" t="s">
        <v>733</v>
      </c>
      <c r="H244" s="23" t="s">
        <v>732</v>
      </c>
      <c r="I244" s="23" t="s">
        <v>894</v>
      </c>
      <c r="J244" s="23" t="s">
        <v>280</v>
      </c>
      <c r="K244" s="23" t="s">
        <v>280</v>
      </c>
      <c r="L244" s="23" t="s">
        <v>901</v>
      </c>
      <c r="M244" s="23" t="s">
        <v>280</v>
      </c>
      <c r="N244" s="23" t="s">
        <v>901</v>
      </c>
      <c r="O244" s="23" t="s">
        <v>305</v>
      </c>
      <c r="P244" s="23" t="s">
        <v>896</v>
      </c>
      <c r="Q244" s="23" t="s">
        <v>897</v>
      </c>
      <c r="R244" s="21">
        <v>37130</v>
      </c>
      <c r="S244" s="23" t="s">
        <v>1048</v>
      </c>
      <c r="T244" s="23" t="s">
        <v>971</v>
      </c>
      <c r="U244" s="21">
        <v>56</v>
      </c>
      <c r="V244" s="23" t="s">
        <v>913</v>
      </c>
      <c r="W244" s="21">
        <v>1</v>
      </c>
      <c r="X244" s="24">
        <v>1.99</v>
      </c>
      <c r="Y244" s="25">
        <v>0.245</v>
      </c>
      <c r="Z244" s="25">
        <v>0.22500000000000001</v>
      </c>
      <c r="AA244" s="33">
        <v>0.4</v>
      </c>
      <c r="AB244" s="33">
        <v>0.13</v>
      </c>
      <c r="AC244" s="23" t="s">
        <v>1049</v>
      </c>
      <c r="AD244" s="17" t="s">
        <v>734</v>
      </c>
      <c r="AE244" s="17">
        <v>1</v>
      </c>
      <c r="AF244" s="17" t="s">
        <v>280</v>
      </c>
      <c r="AG244" s="17" t="s">
        <v>902</v>
      </c>
      <c r="AH244" t="s">
        <v>903</v>
      </c>
      <c r="AJ244" s="15"/>
      <c r="AK244" t="s">
        <v>908</v>
      </c>
    </row>
    <row r="245" spans="1:37" ht="15" hidden="1" customHeight="1" x14ac:dyDescent="0.25">
      <c r="A245" s="1">
        <v>244</v>
      </c>
      <c r="B245" s="1">
        <v>34383</v>
      </c>
      <c r="C245" s="26"/>
      <c r="D245" s="1">
        <v>467</v>
      </c>
      <c r="E245" s="1">
        <v>46703</v>
      </c>
      <c r="F245" s="1">
        <v>46703</v>
      </c>
      <c r="G245" s="27" t="s">
        <v>736</v>
      </c>
      <c r="H245" s="27" t="s">
        <v>735</v>
      </c>
      <c r="I245" s="27" t="s">
        <v>894</v>
      </c>
      <c r="J245" s="27" t="s">
        <v>280</v>
      </c>
      <c r="K245" s="27" t="s">
        <v>280</v>
      </c>
      <c r="L245" s="27" t="s">
        <v>901</v>
      </c>
      <c r="M245" s="27" t="s">
        <v>280</v>
      </c>
      <c r="N245" s="27" t="s">
        <v>901</v>
      </c>
      <c r="O245" s="27" t="s">
        <v>305</v>
      </c>
      <c r="P245" s="27" t="s">
        <v>896</v>
      </c>
      <c r="Q245" s="27" t="s">
        <v>897</v>
      </c>
      <c r="R245" s="1">
        <v>37131</v>
      </c>
      <c r="S245" s="27" t="s">
        <v>1073</v>
      </c>
      <c r="T245" s="27" t="s">
        <v>971</v>
      </c>
      <c r="U245" s="1">
        <v>56</v>
      </c>
      <c r="V245" s="27" t="s">
        <v>913</v>
      </c>
      <c r="W245" s="1">
        <v>1</v>
      </c>
      <c r="X245" s="28">
        <v>1.99</v>
      </c>
      <c r="Y245" s="29">
        <v>0.245</v>
      </c>
      <c r="Z245" s="29">
        <v>0.22500000000000001</v>
      </c>
      <c r="AA245" s="32">
        <v>0.4</v>
      </c>
      <c r="AB245" s="32">
        <v>0.13</v>
      </c>
      <c r="AC245" s="27" t="s">
        <v>978</v>
      </c>
      <c r="AD245" t="s">
        <v>737</v>
      </c>
      <c r="AE245">
        <v>1</v>
      </c>
      <c r="AF245" t="s">
        <v>280</v>
      </c>
      <c r="AG245" t="s">
        <v>902</v>
      </c>
      <c r="AH245" t="s">
        <v>903</v>
      </c>
      <c r="AJ245" s="15"/>
      <c r="AK245" t="s">
        <v>908</v>
      </c>
    </row>
    <row r="246" spans="1:37" ht="15" hidden="1" customHeight="1" x14ac:dyDescent="0.25">
      <c r="A246" s="1">
        <v>245</v>
      </c>
      <c r="B246" s="21">
        <v>34394</v>
      </c>
      <c r="C246" s="22"/>
      <c r="D246" s="21">
        <v>440</v>
      </c>
      <c r="E246" s="21">
        <v>44001</v>
      </c>
      <c r="F246" s="21">
        <v>44001</v>
      </c>
      <c r="G246" s="23" t="s">
        <v>849</v>
      </c>
      <c r="H246" s="23" t="s">
        <v>845</v>
      </c>
      <c r="I246" s="23" t="s">
        <v>894</v>
      </c>
      <c r="J246" s="23" t="s">
        <v>285</v>
      </c>
      <c r="K246" s="23" t="s">
        <v>285</v>
      </c>
      <c r="L246" s="23" t="s">
        <v>901</v>
      </c>
      <c r="M246" s="23" t="s">
        <v>905</v>
      </c>
      <c r="N246" s="23" t="s">
        <v>285</v>
      </c>
      <c r="O246" s="23" t="s">
        <v>86</v>
      </c>
      <c r="P246" s="23" t="s">
        <v>896</v>
      </c>
      <c r="Q246" s="23" t="s">
        <v>897</v>
      </c>
      <c r="R246" s="21">
        <v>37139</v>
      </c>
      <c r="S246" s="23" t="s">
        <v>1074</v>
      </c>
      <c r="T246" s="23" t="s">
        <v>917</v>
      </c>
      <c r="U246" s="21">
        <v>54</v>
      </c>
      <c r="V246" s="23" t="s">
        <v>900</v>
      </c>
      <c r="W246" s="21">
        <v>908</v>
      </c>
      <c r="X246" s="24">
        <v>0.99</v>
      </c>
      <c r="Y246" s="25">
        <v>0.5</v>
      </c>
      <c r="Z246" s="25">
        <v>0.5</v>
      </c>
      <c r="AA246" s="22"/>
      <c r="AB246" s="22"/>
      <c r="AC246" s="23" t="s">
        <v>901</v>
      </c>
      <c r="AD246" s="17" t="s">
        <v>847</v>
      </c>
      <c r="AE246" s="17">
        <v>4.25</v>
      </c>
      <c r="AF246" s="17" t="s">
        <v>861</v>
      </c>
      <c r="AG246" s="17" t="s">
        <v>1075</v>
      </c>
      <c r="AH246" t="s">
        <v>903</v>
      </c>
      <c r="AI246" t="s">
        <v>1076</v>
      </c>
      <c r="AJ246" s="15"/>
      <c r="AK246" t="s">
        <v>908</v>
      </c>
    </row>
    <row r="247" spans="1:37" ht="15" hidden="1" customHeight="1" x14ac:dyDescent="0.25">
      <c r="A247" s="8">
        <v>246</v>
      </c>
      <c r="B247" s="1">
        <v>34409</v>
      </c>
      <c r="C247" s="26"/>
      <c r="D247" s="1">
        <v>464</v>
      </c>
      <c r="E247" s="1">
        <v>46402</v>
      </c>
      <c r="F247" s="1">
        <v>46402</v>
      </c>
      <c r="G247" s="27" t="s">
        <v>758</v>
      </c>
      <c r="H247" s="27" t="s">
        <v>755</v>
      </c>
      <c r="I247" s="27" t="s">
        <v>894</v>
      </c>
      <c r="J247" s="27" t="s">
        <v>280</v>
      </c>
      <c r="K247" s="27" t="s">
        <v>280</v>
      </c>
      <c r="L247" s="27" t="s">
        <v>901</v>
      </c>
      <c r="M247" s="27" t="s">
        <v>280</v>
      </c>
      <c r="N247" s="27" t="s">
        <v>901</v>
      </c>
      <c r="O247" s="27" t="s">
        <v>305</v>
      </c>
      <c r="P247" s="27" t="s">
        <v>896</v>
      </c>
      <c r="Q247" s="27" t="s">
        <v>897</v>
      </c>
      <c r="R247" s="1">
        <v>37144</v>
      </c>
      <c r="S247" s="27" t="s">
        <v>1077</v>
      </c>
      <c r="T247" s="27" t="s">
        <v>1078</v>
      </c>
      <c r="U247" s="1">
        <v>105</v>
      </c>
      <c r="V247" s="27" t="s">
        <v>900</v>
      </c>
      <c r="W247" s="1">
        <v>908</v>
      </c>
      <c r="X247" s="28">
        <v>1.48</v>
      </c>
      <c r="Y247" s="29">
        <v>0.22500000000000001</v>
      </c>
      <c r="Z247" s="29">
        <v>0.14499999999999999</v>
      </c>
      <c r="AA247" s="32">
        <v>0.5</v>
      </c>
      <c r="AB247" s="32">
        <v>0.13</v>
      </c>
      <c r="AC247" s="27" t="s">
        <v>987</v>
      </c>
      <c r="AD247" t="s">
        <v>757</v>
      </c>
      <c r="AE247">
        <v>4.25</v>
      </c>
      <c r="AF247" t="s">
        <v>280</v>
      </c>
      <c r="AG247" t="s">
        <v>988</v>
      </c>
      <c r="AH247" t="s">
        <v>903</v>
      </c>
      <c r="AJ247" s="15">
        <f>VLOOKUP(Tabla1[[#This Row],[CPC]],[1]Sheet3!$A:$D,4,0)</f>
        <v>0.19662156219116428</v>
      </c>
      <c r="AK247" t="s">
        <v>908</v>
      </c>
    </row>
    <row r="248" spans="1:37" ht="15" hidden="1" customHeight="1" x14ac:dyDescent="0.25">
      <c r="A248" s="1">
        <v>247</v>
      </c>
      <c r="B248" s="21">
        <v>34410</v>
      </c>
      <c r="C248" s="34">
        <v>34409</v>
      </c>
      <c r="D248" s="21">
        <v>464</v>
      </c>
      <c r="E248" s="21">
        <v>46401</v>
      </c>
      <c r="F248" s="21">
        <v>46401</v>
      </c>
      <c r="G248" s="23" t="s">
        <v>756</v>
      </c>
      <c r="H248" s="23" t="s">
        <v>755</v>
      </c>
      <c r="I248" s="23" t="s">
        <v>894</v>
      </c>
      <c r="J248" s="23" t="s">
        <v>280</v>
      </c>
      <c r="K248" s="23" t="s">
        <v>280</v>
      </c>
      <c r="L248" s="23" t="s">
        <v>901</v>
      </c>
      <c r="M248" s="23" t="s">
        <v>280</v>
      </c>
      <c r="N248" s="23" t="s">
        <v>901</v>
      </c>
      <c r="O248" s="23" t="s">
        <v>305</v>
      </c>
      <c r="P248" s="23" t="s">
        <v>896</v>
      </c>
      <c r="Q248" s="23" t="s">
        <v>897</v>
      </c>
      <c r="R248" s="21">
        <v>37144</v>
      </c>
      <c r="S248" s="23" t="s">
        <v>1077</v>
      </c>
      <c r="T248" s="23" t="s">
        <v>1079</v>
      </c>
      <c r="U248" s="21">
        <v>0</v>
      </c>
      <c r="V248" s="23" t="s">
        <v>900</v>
      </c>
      <c r="W248" s="21">
        <v>641</v>
      </c>
      <c r="X248" s="24">
        <v>0</v>
      </c>
      <c r="Y248" s="31"/>
      <c r="Z248" s="31"/>
      <c r="AA248" s="22"/>
      <c r="AB248" s="22"/>
      <c r="AC248" s="23" t="s">
        <v>901</v>
      </c>
      <c r="AD248" s="17" t="s">
        <v>757</v>
      </c>
      <c r="AE248" s="17">
        <v>4.25</v>
      </c>
      <c r="AF248" s="17" t="s">
        <v>280</v>
      </c>
      <c r="AG248" s="17" t="s">
        <v>988</v>
      </c>
      <c r="AH248" t="s">
        <v>903</v>
      </c>
      <c r="AJ248" s="15"/>
      <c r="AK248" t="s">
        <v>908</v>
      </c>
    </row>
    <row r="249" spans="1:37" ht="15" hidden="1" customHeight="1" x14ac:dyDescent="0.25">
      <c r="A249" s="1">
        <v>248</v>
      </c>
      <c r="B249" s="1">
        <v>34668</v>
      </c>
      <c r="C249" s="26"/>
      <c r="D249" s="1">
        <v>429</v>
      </c>
      <c r="E249" s="1">
        <v>42901</v>
      </c>
      <c r="F249" s="1">
        <v>42901</v>
      </c>
      <c r="G249" s="27" t="s">
        <v>778</v>
      </c>
      <c r="H249" s="27" t="s">
        <v>777</v>
      </c>
      <c r="I249" s="27" t="s">
        <v>894</v>
      </c>
      <c r="J249" s="27" t="s">
        <v>280</v>
      </c>
      <c r="K249" s="27" t="s">
        <v>280</v>
      </c>
      <c r="L249" s="27" t="s">
        <v>901</v>
      </c>
      <c r="M249" s="27" t="s">
        <v>280</v>
      </c>
      <c r="N249" s="27" t="s">
        <v>901</v>
      </c>
      <c r="O249" s="27" t="s">
        <v>119</v>
      </c>
      <c r="P249" s="27" t="s">
        <v>909</v>
      </c>
      <c r="Q249" s="27" t="s">
        <v>897</v>
      </c>
      <c r="R249" s="1">
        <v>37344</v>
      </c>
      <c r="S249" s="27" t="s">
        <v>1080</v>
      </c>
      <c r="T249" s="27" t="s">
        <v>1042</v>
      </c>
      <c r="U249" s="1">
        <v>55</v>
      </c>
      <c r="V249" s="27" t="s">
        <v>900</v>
      </c>
      <c r="W249" s="1">
        <v>908</v>
      </c>
      <c r="X249" s="28">
        <v>1.49</v>
      </c>
      <c r="Y249" s="29">
        <v>0.6</v>
      </c>
      <c r="Z249" s="29">
        <v>0.4</v>
      </c>
      <c r="AA249" s="26"/>
      <c r="AB249" s="26"/>
      <c r="AC249" s="27" t="s">
        <v>901</v>
      </c>
      <c r="AD249" t="s">
        <v>779</v>
      </c>
      <c r="AE249">
        <v>4.25</v>
      </c>
      <c r="AF249" t="s">
        <v>280</v>
      </c>
      <c r="AH249" t="s">
        <v>903</v>
      </c>
      <c r="AJ249" s="15"/>
      <c r="AK249" t="s">
        <v>908</v>
      </c>
    </row>
    <row r="250" spans="1:37" ht="15" hidden="1" customHeight="1" x14ac:dyDescent="0.25">
      <c r="A250" s="8">
        <v>249</v>
      </c>
      <c r="B250" s="21">
        <v>34828</v>
      </c>
      <c r="C250" s="22"/>
      <c r="D250" s="21">
        <v>590</v>
      </c>
      <c r="E250" s="21">
        <v>59001</v>
      </c>
      <c r="F250" s="21">
        <v>59001</v>
      </c>
      <c r="G250" s="23" t="s">
        <v>568</v>
      </c>
      <c r="H250" s="23" t="s">
        <v>61</v>
      </c>
      <c r="I250" s="23" t="s">
        <v>894</v>
      </c>
      <c r="J250" s="23" t="s">
        <v>279</v>
      </c>
      <c r="K250" s="23" t="s">
        <v>279</v>
      </c>
      <c r="L250" s="23" t="s">
        <v>922</v>
      </c>
      <c r="M250" s="23" t="s">
        <v>279</v>
      </c>
      <c r="N250" s="23" t="s">
        <v>922</v>
      </c>
      <c r="O250" s="23" t="s">
        <v>290</v>
      </c>
      <c r="P250" s="23" t="s">
        <v>896</v>
      </c>
      <c r="Q250" s="23" t="s">
        <v>897</v>
      </c>
      <c r="R250" s="21">
        <v>37484</v>
      </c>
      <c r="S250" s="23" t="s">
        <v>1081</v>
      </c>
      <c r="T250" s="23" t="s">
        <v>899</v>
      </c>
      <c r="U250" s="21">
        <v>58</v>
      </c>
      <c r="V250" s="23" t="s">
        <v>900</v>
      </c>
      <c r="W250" s="21">
        <v>908</v>
      </c>
      <c r="X250" s="24">
        <v>2.99</v>
      </c>
      <c r="Y250" s="25">
        <v>0.35</v>
      </c>
      <c r="Z250" s="25">
        <v>0.65</v>
      </c>
      <c r="AA250" s="22"/>
      <c r="AB250" s="22"/>
      <c r="AC250" s="23" t="s">
        <v>901</v>
      </c>
      <c r="AD250" s="17" t="s">
        <v>569</v>
      </c>
      <c r="AE250" s="17">
        <v>4.25</v>
      </c>
      <c r="AF250" s="17" t="s">
        <v>279</v>
      </c>
      <c r="AG250" s="17" t="s">
        <v>902</v>
      </c>
      <c r="AH250" t="s">
        <v>903</v>
      </c>
      <c r="AJ250" s="15">
        <f>VLOOKUP(Tabla1[[#This Row],[CPC]],[1]Sheet3!$A:$D,4,0)</f>
        <v>0.40000031806767511</v>
      </c>
      <c r="AK250" t="s">
        <v>904</v>
      </c>
    </row>
    <row r="251" spans="1:37" ht="15" hidden="1" customHeight="1" x14ac:dyDescent="0.25">
      <c r="A251" s="1">
        <v>250</v>
      </c>
      <c r="B251" s="1">
        <v>35008</v>
      </c>
      <c r="C251" s="26"/>
      <c r="D251" s="1">
        <v>469</v>
      </c>
      <c r="E251" s="1">
        <v>46901</v>
      </c>
      <c r="F251" s="1">
        <v>46901</v>
      </c>
      <c r="G251" s="27" t="s">
        <v>661</v>
      </c>
      <c r="H251" s="27" t="s">
        <v>658</v>
      </c>
      <c r="I251" s="27" t="s">
        <v>894</v>
      </c>
      <c r="J251" s="27" t="s">
        <v>280</v>
      </c>
      <c r="K251" s="27" t="s">
        <v>280</v>
      </c>
      <c r="L251" s="27" t="s">
        <v>901</v>
      </c>
      <c r="M251" s="27" t="s">
        <v>280</v>
      </c>
      <c r="N251" s="27" t="s">
        <v>901</v>
      </c>
      <c r="O251" s="27" t="s">
        <v>305</v>
      </c>
      <c r="P251" s="27" t="s">
        <v>896</v>
      </c>
      <c r="Q251" s="27" t="s">
        <v>897</v>
      </c>
      <c r="R251" s="1">
        <v>37604</v>
      </c>
      <c r="S251" s="27" t="s">
        <v>658</v>
      </c>
      <c r="T251" s="27" t="s">
        <v>917</v>
      </c>
      <c r="U251" s="1">
        <v>54</v>
      </c>
      <c r="V251" s="27" t="s">
        <v>900</v>
      </c>
      <c r="W251" s="1">
        <v>908</v>
      </c>
      <c r="X251" s="28">
        <v>0.99</v>
      </c>
      <c r="Y251" s="29">
        <v>0.8</v>
      </c>
      <c r="Z251" s="29">
        <v>0.2</v>
      </c>
      <c r="AA251" s="26"/>
      <c r="AB251" s="26"/>
      <c r="AC251" s="27" t="s">
        <v>901</v>
      </c>
      <c r="AD251" t="s">
        <v>660</v>
      </c>
      <c r="AE251">
        <v>4.25</v>
      </c>
      <c r="AF251" t="s">
        <v>280</v>
      </c>
      <c r="AG251" t="s">
        <v>1075</v>
      </c>
      <c r="AH251" t="s">
        <v>903</v>
      </c>
      <c r="AJ251" s="15">
        <f>VLOOKUP(Tabla1[[#This Row],[CPC]],[1]Sheet3!$A:$D,4,0)</f>
        <v>0.79988989815579281</v>
      </c>
      <c r="AK251" t="s">
        <v>908</v>
      </c>
    </row>
    <row r="252" spans="1:37" ht="15" hidden="1" customHeight="1" x14ac:dyDescent="0.25">
      <c r="A252" s="1">
        <v>251</v>
      </c>
      <c r="B252" s="21">
        <v>35014</v>
      </c>
      <c r="C252" s="22"/>
      <c r="D252" s="21">
        <v>471</v>
      </c>
      <c r="E252" s="21">
        <v>47101</v>
      </c>
      <c r="F252" s="21">
        <v>47101</v>
      </c>
      <c r="G252" s="23" t="s">
        <v>669</v>
      </c>
      <c r="H252" s="23" t="s">
        <v>666</v>
      </c>
      <c r="I252" s="23" t="s">
        <v>894</v>
      </c>
      <c r="J252" s="23" t="s">
        <v>280</v>
      </c>
      <c r="K252" s="23" t="s">
        <v>280</v>
      </c>
      <c r="L252" s="23" t="s">
        <v>901</v>
      </c>
      <c r="M252" s="23" t="s">
        <v>280</v>
      </c>
      <c r="N252" s="23" t="s">
        <v>901</v>
      </c>
      <c r="O252" s="23" t="s">
        <v>305</v>
      </c>
      <c r="P252" s="23" t="s">
        <v>896</v>
      </c>
      <c r="Q252" s="23" t="s">
        <v>897</v>
      </c>
      <c r="R252" s="21">
        <v>37607</v>
      </c>
      <c r="S252" s="23" t="s">
        <v>1082</v>
      </c>
      <c r="T252" s="23" t="s">
        <v>917</v>
      </c>
      <c r="U252" s="21">
        <v>54</v>
      </c>
      <c r="V252" s="23" t="s">
        <v>900</v>
      </c>
      <c r="W252" s="21">
        <v>908</v>
      </c>
      <c r="X252" s="24">
        <v>0.99</v>
      </c>
      <c r="Y252" s="25">
        <v>0.8</v>
      </c>
      <c r="Z252" s="25">
        <v>0.2</v>
      </c>
      <c r="AA252" s="22"/>
      <c r="AB252" s="22"/>
      <c r="AC252" s="23" t="s">
        <v>901</v>
      </c>
      <c r="AD252" s="17" t="s">
        <v>668</v>
      </c>
      <c r="AE252" s="17">
        <v>4.25</v>
      </c>
      <c r="AF252" s="17" t="s">
        <v>280</v>
      </c>
      <c r="AG252" s="17" t="s">
        <v>1075</v>
      </c>
      <c r="AH252" t="s">
        <v>903</v>
      </c>
      <c r="AJ252" s="15">
        <f>VLOOKUP(Tabla1[[#This Row],[CPC]],[1]Sheet3!$A:$D,4,0)</f>
        <v>0.79983029580884657</v>
      </c>
      <c r="AK252" t="s">
        <v>908</v>
      </c>
    </row>
    <row r="253" spans="1:37" ht="15" hidden="1" customHeight="1" x14ac:dyDescent="0.25">
      <c r="A253" s="8">
        <v>252</v>
      </c>
      <c r="B253" s="1">
        <v>35020</v>
      </c>
      <c r="C253" s="26"/>
      <c r="D253" s="1">
        <v>470</v>
      </c>
      <c r="E253" s="1">
        <v>47001</v>
      </c>
      <c r="F253" s="1">
        <v>47001</v>
      </c>
      <c r="G253" s="27" t="s">
        <v>665</v>
      </c>
      <c r="H253" s="27" t="s">
        <v>662</v>
      </c>
      <c r="I253" s="27" t="s">
        <v>894</v>
      </c>
      <c r="J253" s="27" t="s">
        <v>280</v>
      </c>
      <c r="K253" s="27" t="s">
        <v>280</v>
      </c>
      <c r="L253" s="27" t="s">
        <v>901</v>
      </c>
      <c r="M253" s="27" t="s">
        <v>280</v>
      </c>
      <c r="N253" s="27" t="s">
        <v>901</v>
      </c>
      <c r="O253" s="27" t="s">
        <v>305</v>
      </c>
      <c r="P253" s="27" t="s">
        <v>896</v>
      </c>
      <c r="Q253" s="27" t="s">
        <v>897</v>
      </c>
      <c r="R253" s="1">
        <v>37610</v>
      </c>
      <c r="S253" s="27" t="s">
        <v>1083</v>
      </c>
      <c r="T253" s="27" t="s">
        <v>917</v>
      </c>
      <c r="U253" s="1">
        <v>54</v>
      </c>
      <c r="V253" s="27" t="s">
        <v>900</v>
      </c>
      <c r="W253" s="1">
        <v>908</v>
      </c>
      <c r="X253" s="28">
        <v>0.99</v>
      </c>
      <c r="Y253" s="29">
        <v>0.8</v>
      </c>
      <c r="Z253" s="29">
        <v>0.2</v>
      </c>
      <c r="AA253" s="26"/>
      <c r="AB253" s="26"/>
      <c r="AC253" s="27" t="s">
        <v>901</v>
      </c>
      <c r="AD253" t="s">
        <v>664</v>
      </c>
      <c r="AE253">
        <v>4.25</v>
      </c>
      <c r="AF253" t="s">
        <v>280</v>
      </c>
      <c r="AG253" t="s">
        <v>1075</v>
      </c>
      <c r="AH253" t="s">
        <v>903</v>
      </c>
      <c r="AJ253" s="15">
        <f>VLOOKUP(Tabla1[[#This Row],[CPC]],[1]Sheet3!$A:$D,4,0)</f>
        <v>0.79997316619707404</v>
      </c>
      <c r="AK253" t="s">
        <v>908</v>
      </c>
    </row>
    <row r="254" spans="1:37" ht="15" hidden="1" customHeight="1" x14ac:dyDescent="0.25">
      <c r="A254" s="1">
        <v>253</v>
      </c>
      <c r="B254" s="21">
        <v>35031</v>
      </c>
      <c r="C254" s="22"/>
      <c r="D254" s="21">
        <v>591</v>
      </c>
      <c r="E254" s="21">
        <v>59101</v>
      </c>
      <c r="F254" s="21">
        <v>59101</v>
      </c>
      <c r="G254" s="23" t="s">
        <v>62</v>
      </c>
      <c r="H254" s="23" t="s">
        <v>61</v>
      </c>
      <c r="I254" s="23" t="s">
        <v>894</v>
      </c>
      <c r="J254" s="23" t="s">
        <v>279</v>
      </c>
      <c r="K254" s="23" t="s">
        <v>279</v>
      </c>
      <c r="L254" s="23" t="s">
        <v>922</v>
      </c>
      <c r="M254" s="23" t="s">
        <v>279</v>
      </c>
      <c r="N254" s="23" t="s">
        <v>922</v>
      </c>
      <c r="O254" s="23" t="s">
        <v>290</v>
      </c>
      <c r="P254" s="23" t="s">
        <v>909</v>
      </c>
      <c r="Q254" s="23" t="s">
        <v>897</v>
      </c>
      <c r="R254" s="21">
        <v>37627</v>
      </c>
      <c r="S254" s="23" t="s">
        <v>1084</v>
      </c>
      <c r="T254" s="23" t="s">
        <v>899</v>
      </c>
      <c r="U254" s="21">
        <v>58</v>
      </c>
      <c r="V254" s="23" t="s">
        <v>900</v>
      </c>
      <c r="W254" s="21">
        <v>908</v>
      </c>
      <c r="X254" s="24">
        <v>2.99</v>
      </c>
      <c r="Y254" s="33">
        <v>0.3</v>
      </c>
      <c r="Z254" s="33">
        <v>0.7</v>
      </c>
      <c r="AA254" s="22"/>
      <c r="AB254" s="22"/>
      <c r="AC254" s="23" t="s">
        <v>901</v>
      </c>
      <c r="AD254" s="17" t="s">
        <v>569</v>
      </c>
      <c r="AE254" s="17">
        <v>4.25</v>
      </c>
      <c r="AF254" s="17" t="s">
        <v>279</v>
      </c>
      <c r="AG254" s="17"/>
      <c r="AH254" t="s">
        <v>903</v>
      </c>
      <c r="AJ254" s="15"/>
      <c r="AK254" t="s">
        <v>904</v>
      </c>
    </row>
    <row r="255" spans="1:37" ht="15" hidden="1" customHeight="1" x14ac:dyDescent="0.25">
      <c r="A255" s="1">
        <v>254</v>
      </c>
      <c r="B255" s="1">
        <v>35035</v>
      </c>
      <c r="C255" s="30"/>
      <c r="D255" s="1">
        <v>593</v>
      </c>
      <c r="E255" s="1">
        <v>59301</v>
      </c>
      <c r="F255" s="1">
        <v>59301</v>
      </c>
      <c r="G255" s="27" t="s">
        <v>62</v>
      </c>
      <c r="H255" s="27" t="s">
        <v>61</v>
      </c>
      <c r="I255" s="27" t="s">
        <v>894</v>
      </c>
      <c r="J255" s="27" t="s">
        <v>279</v>
      </c>
      <c r="K255" s="27" t="s">
        <v>279</v>
      </c>
      <c r="L255" s="27" t="s">
        <v>922</v>
      </c>
      <c r="M255" s="27" t="s">
        <v>279</v>
      </c>
      <c r="N255" s="27" t="s">
        <v>922</v>
      </c>
      <c r="O255" s="27" t="s">
        <v>290</v>
      </c>
      <c r="P255" s="27" t="s">
        <v>909</v>
      </c>
      <c r="Q255" s="27" t="s">
        <v>897</v>
      </c>
      <c r="R255" s="1">
        <v>37629</v>
      </c>
      <c r="S255" s="27" t="s">
        <v>1085</v>
      </c>
      <c r="T255" s="27" t="s">
        <v>899</v>
      </c>
      <c r="U255" s="1">
        <v>58</v>
      </c>
      <c r="V255" s="27" t="s">
        <v>900</v>
      </c>
      <c r="W255" s="1">
        <v>908</v>
      </c>
      <c r="X255" s="28">
        <v>2.99</v>
      </c>
      <c r="Y255" s="32">
        <v>0.3</v>
      </c>
      <c r="Z255" s="32">
        <v>0.7</v>
      </c>
      <c r="AA255" s="26"/>
      <c r="AB255" s="26"/>
      <c r="AC255" s="27" t="s">
        <v>901</v>
      </c>
      <c r="AD255" t="s">
        <v>569</v>
      </c>
      <c r="AE255">
        <v>4.25</v>
      </c>
      <c r="AF255" t="s">
        <v>279</v>
      </c>
      <c r="AH255" t="s">
        <v>903</v>
      </c>
      <c r="AJ255" s="15"/>
      <c r="AK255" t="s">
        <v>904</v>
      </c>
    </row>
    <row r="256" spans="1:37" ht="15" hidden="1" customHeight="1" x14ac:dyDescent="0.25">
      <c r="A256" s="8">
        <v>255</v>
      </c>
      <c r="B256" s="21">
        <v>35037</v>
      </c>
      <c r="C256" s="22"/>
      <c r="D256" s="21">
        <v>594</v>
      </c>
      <c r="E256" s="21">
        <v>59401</v>
      </c>
      <c r="F256" s="21">
        <v>59401</v>
      </c>
      <c r="G256" s="23" t="s">
        <v>62</v>
      </c>
      <c r="H256" s="23" t="s">
        <v>61</v>
      </c>
      <c r="I256" s="23" t="s">
        <v>894</v>
      </c>
      <c r="J256" s="23" t="s">
        <v>279</v>
      </c>
      <c r="K256" s="23" t="s">
        <v>279</v>
      </c>
      <c r="L256" s="23" t="s">
        <v>922</v>
      </c>
      <c r="M256" s="23" t="s">
        <v>279</v>
      </c>
      <c r="N256" s="23" t="s">
        <v>922</v>
      </c>
      <c r="O256" s="23" t="s">
        <v>290</v>
      </c>
      <c r="P256" s="23" t="s">
        <v>909</v>
      </c>
      <c r="Q256" s="23" t="s">
        <v>897</v>
      </c>
      <c r="R256" s="21">
        <v>37630</v>
      </c>
      <c r="S256" s="23" t="s">
        <v>1086</v>
      </c>
      <c r="T256" s="23" t="s">
        <v>899</v>
      </c>
      <c r="U256" s="21">
        <v>58</v>
      </c>
      <c r="V256" s="23" t="s">
        <v>900</v>
      </c>
      <c r="W256" s="21">
        <v>908</v>
      </c>
      <c r="X256" s="24">
        <v>2.99</v>
      </c>
      <c r="Y256" s="33">
        <v>0.3</v>
      </c>
      <c r="Z256" s="33">
        <v>0.7</v>
      </c>
      <c r="AA256" s="22"/>
      <c r="AB256" s="22"/>
      <c r="AC256" s="23" t="s">
        <v>901</v>
      </c>
      <c r="AD256" s="17" t="s">
        <v>569</v>
      </c>
      <c r="AE256" s="17">
        <v>4.25</v>
      </c>
      <c r="AF256" s="17" t="s">
        <v>279</v>
      </c>
      <c r="AG256" s="17"/>
      <c r="AH256" t="s">
        <v>903</v>
      </c>
      <c r="AJ256" s="15"/>
      <c r="AK256" t="s">
        <v>904</v>
      </c>
    </row>
    <row r="257" spans="1:37" ht="15" hidden="1" customHeight="1" x14ac:dyDescent="0.25">
      <c r="A257" s="1">
        <v>256</v>
      </c>
      <c r="B257" s="1">
        <v>35039</v>
      </c>
      <c r="C257" s="26"/>
      <c r="D257" s="1">
        <v>595</v>
      </c>
      <c r="E257" s="1">
        <v>59501</v>
      </c>
      <c r="F257" s="1">
        <v>59501</v>
      </c>
      <c r="G257" s="27" t="s">
        <v>62</v>
      </c>
      <c r="H257" s="27" t="s">
        <v>61</v>
      </c>
      <c r="I257" s="27" t="s">
        <v>894</v>
      </c>
      <c r="J257" s="27" t="s">
        <v>279</v>
      </c>
      <c r="K257" s="27" t="s">
        <v>279</v>
      </c>
      <c r="L257" s="27" t="s">
        <v>922</v>
      </c>
      <c r="M257" s="27" t="s">
        <v>279</v>
      </c>
      <c r="N257" s="27" t="s">
        <v>922</v>
      </c>
      <c r="O257" s="27" t="s">
        <v>290</v>
      </c>
      <c r="P257" s="27" t="s">
        <v>909</v>
      </c>
      <c r="Q257" s="27" t="s">
        <v>897</v>
      </c>
      <c r="R257" s="1">
        <v>37631</v>
      </c>
      <c r="S257" s="27" t="s">
        <v>1087</v>
      </c>
      <c r="T257" s="27" t="s">
        <v>899</v>
      </c>
      <c r="U257" s="1">
        <v>58</v>
      </c>
      <c r="V257" s="27" t="s">
        <v>900</v>
      </c>
      <c r="W257" s="1">
        <v>908</v>
      </c>
      <c r="X257" s="28">
        <v>2.99</v>
      </c>
      <c r="Y257" s="29">
        <v>0.3</v>
      </c>
      <c r="Z257" s="29">
        <v>0.7</v>
      </c>
      <c r="AA257" s="26"/>
      <c r="AB257" s="26"/>
      <c r="AC257" s="27" t="s">
        <v>901</v>
      </c>
      <c r="AD257" t="s">
        <v>569</v>
      </c>
      <c r="AE257">
        <v>4.25</v>
      </c>
      <c r="AF257" t="s">
        <v>279</v>
      </c>
      <c r="AH257" t="s">
        <v>903</v>
      </c>
      <c r="AJ257" s="15"/>
      <c r="AK257" t="s">
        <v>904</v>
      </c>
    </row>
    <row r="258" spans="1:37" ht="15" hidden="1" customHeight="1" x14ac:dyDescent="0.25">
      <c r="A258" s="1">
        <v>257</v>
      </c>
      <c r="B258" s="21">
        <v>35041</v>
      </c>
      <c r="C258" s="22"/>
      <c r="D258" s="21">
        <v>596</v>
      </c>
      <c r="E258" s="21">
        <v>59601</v>
      </c>
      <c r="F258" s="21">
        <v>59601</v>
      </c>
      <c r="G258" s="23" t="s">
        <v>62</v>
      </c>
      <c r="H258" s="23" t="s">
        <v>61</v>
      </c>
      <c r="I258" s="23" t="s">
        <v>894</v>
      </c>
      <c r="J258" s="23" t="s">
        <v>279</v>
      </c>
      <c r="K258" s="23" t="s">
        <v>279</v>
      </c>
      <c r="L258" s="23" t="s">
        <v>922</v>
      </c>
      <c r="M258" s="23" t="s">
        <v>279</v>
      </c>
      <c r="N258" s="23" t="s">
        <v>922</v>
      </c>
      <c r="O258" s="23" t="s">
        <v>290</v>
      </c>
      <c r="P258" s="23" t="s">
        <v>909</v>
      </c>
      <c r="Q258" s="23" t="s">
        <v>897</v>
      </c>
      <c r="R258" s="21">
        <v>37632</v>
      </c>
      <c r="S258" s="23" t="s">
        <v>1088</v>
      </c>
      <c r="T258" s="23" t="s">
        <v>899</v>
      </c>
      <c r="U258" s="21">
        <v>58</v>
      </c>
      <c r="V258" s="23" t="s">
        <v>900</v>
      </c>
      <c r="W258" s="21">
        <v>908</v>
      </c>
      <c r="X258" s="24">
        <v>2.99</v>
      </c>
      <c r="Y258" s="25">
        <v>0.3</v>
      </c>
      <c r="Z258" s="25">
        <v>0.7</v>
      </c>
      <c r="AA258" s="22"/>
      <c r="AB258" s="22"/>
      <c r="AC258" s="23" t="s">
        <v>901</v>
      </c>
      <c r="AD258" s="17" t="s">
        <v>569</v>
      </c>
      <c r="AE258" s="17">
        <v>4.25</v>
      </c>
      <c r="AF258" s="17" t="s">
        <v>279</v>
      </c>
      <c r="AG258" s="17"/>
      <c r="AH258" t="s">
        <v>903</v>
      </c>
      <c r="AJ258" s="15"/>
      <c r="AK258" t="s">
        <v>904</v>
      </c>
    </row>
    <row r="259" spans="1:37" ht="15" hidden="1" customHeight="1" x14ac:dyDescent="0.25">
      <c r="A259" s="8">
        <v>258</v>
      </c>
      <c r="B259" s="1">
        <v>35043</v>
      </c>
      <c r="C259" s="26"/>
      <c r="D259" s="1">
        <v>592</v>
      </c>
      <c r="E259" s="1">
        <v>59201</v>
      </c>
      <c r="F259" s="1">
        <v>59201</v>
      </c>
      <c r="G259" s="27" t="s">
        <v>62</v>
      </c>
      <c r="H259" s="27" t="s">
        <v>61</v>
      </c>
      <c r="I259" s="27" t="s">
        <v>894</v>
      </c>
      <c r="J259" s="27" t="s">
        <v>279</v>
      </c>
      <c r="K259" s="27" t="s">
        <v>279</v>
      </c>
      <c r="L259" s="27" t="s">
        <v>922</v>
      </c>
      <c r="M259" s="27" t="s">
        <v>279</v>
      </c>
      <c r="N259" s="27" t="s">
        <v>922</v>
      </c>
      <c r="O259" s="27" t="s">
        <v>290</v>
      </c>
      <c r="P259" s="27" t="s">
        <v>909</v>
      </c>
      <c r="Q259" s="27" t="s">
        <v>897</v>
      </c>
      <c r="R259" s="1">
        <v>37633</v>
      </c>
      <c r="S259" s="27" t="s">
        <v>1089</v>
      </c>
      <c r="T259" s="27" t="s">
        <v>899</v>
      </c>
      <c r="U259" s="1">
        <v>58</v>
      </c>
      <c r="V259" s="27" t="s">
        <v>900</v>
      </c>
      <c r="W259" s="1">
        <v>908</v>
      </c>
      <c r="X259" s="28">
        <v>2.99</v>
      </c>
      <c r="Y259" s="29">
        <v>0.3</v>
      </c>
      <c r="Z259" s="29">
        <v>0.7</v>
      </c>
      <c r="AA259" s="26"/>
      <c r="AB259" s="26"/>
      <c r="AC259" s="27" t="s">
        <v>901</v>
      </c>
      <c r="AD259" t="s">
        <v>569</v>
      </c>
      <c r="AE259">
        <v>4.25</v>
      </c>
      <c r="AF259" t="s">
        <v>279</v>
      </c>
      <c r="AH259" t="s">
        <v>903</v>
      </c>
      <c r="AJ259" s="15"/>
      <c r="AK259" t="s">
        <v>904</v>
      </c>
    </row>
    <row r="260" spans="1:37" ht="15" hidden="1" customHeight="1" x14ac:dyDescent="0.25">
      <c r="A260" s="1">
        <v>259</v>
      </c>
      <c r="B260" s="21">
        <v>35293</v>
      </c>
      <c r="C260" s="22"/>
      <c r="D260" s="21">
        <v>294</v>
      </c>
      <c r="E260" s="21">
        <v>29401</v>
      </c>
      <c r="F260" s="21">
        <v>29401</v>
      </c>
      <c r="G260" s="23" t="s">
        <v>238</v>
      </c>
      <c r="H260" s="23" t="s">
        <v>237</v>
      </c>
      <c r="I260" s="23" t="s">
        <v>894</v>
      </c>
      <c r="J260" s="23" t="s">
        <v>123</v>
      </c>
      <c r="K260" s="23" t="s">
        <v>123</v>
      </c>
      <c r="L260" s="23" t="s">
        <v>901</v>
      </c>
      <c r="M260" s="23" t="s">
        <v>123</v>
      </c>
      <c r="N260" s="23" t="s">
        <v>901</v>
      </c>
      <c r="O260" s="23" t="s">
        <v>325</v>
      </c>
      <c r="P260" s="23" t="s">
        <v>896</v>
      </c>
      <c r="Q260" s="23" t="s">
        <v>897</v>
      </c>
      <c r="R260" s="21">
        <v>34085</v>
      </c>
      <c r="S260" s="23" t="s">
        <v>237</v>
      </c>
      <c r="T260" s="23" t="s">
        <v>1079</v>
      </c>
      <c r="U260" s="21">
        <v>0</v>
      </c>
      <c r="V260" s="27" t="s">
        <v>907</v>
      </c>
      <c r="W260" s="21">
        <v>424</v>
      </c>
      <c r="X260" s="24">
        <v>0</v>
      </c>
      <c r="Y260" s="31"/>
      <c r="Z260" s="31"/>
      <c r="AA260" s="22"/>
      <c r="AB260" s="22"/>
      <c r="AC260" s="23" t="s">
        <v>901</v>
      </c>
      <c r="AD260" s="17" t="s">
        <v>375</v>
      </c>
      <c r="AE260" s="17">
        <v>1</v>
      </c>
      <c r="AF260" s="17" t="s">
        <v>123</v>
      </c>
      <c r="AG260" s="17" t="s">
        <v>902</v>
      </c>
      <c r="AH260" t="s">
        <v>903</v>
      </c>
      <c r="AJ260" s="15"/>
      <c r="AK260" t="s">
        <v>908</v>
      </c>
    </row>
    <row r="261" spans="1:37" ht="15" hidden="1" customHeight="1" x14ac:dyDescent="0.25">
      <c r="A261" s="1">
        <v>260</v>
      </c>
      <c r="B261" s="1">
        <v>35298</v>
      </c>
      <c r="C261" s="35">
        <v>32680</v>
      </c>
      <c r="D261" s="1">
        <v>477</v>
      </c>
      <c r="E261" s="1">
        <v>47701</v>
      </c>
      <c r="F261" s="1">
        <v>47701</v>
      </c>
      <c r="G261" s="27" t="s">
        <v>247</v>
      </c>
      <c r="H261" s="27" t="s">
        <v>246</v>
      </c>
      <c r="I261" s="27" t="s">
        <v>894</v>
      </c>
      <c r="J261" s="27" t="s">
        <v>123</v>
      </c>
      <c r="K261" s="27" t="s">
        <v>123</v>
      </c>
      <c r="L261" s="27" t="s">
        <v>901</v>
      </c>
      <c r="M261" s="27" t="s">
        <v>123</v>
      </c>
      <c r="N261" s="27" t="s">
        <v>901</v>
      </c>
      <c r="O261" s="27" t="s">
        <v>360</v>
      </c>
      <c r="P261" s="27" t="s">
        <v>896</v>
      </c>
      <c r="Q261" s="27" t="s">
        <v>897</v>
      </c>
      <c r="R261" s="1">
        <v>35710</v>
      </c>
      <c r="S261" s="27" t="s">
        <v>124</v>
      </c>
      <c r="T261" s="27" t="s">
        <v>1090</v>
      </c>
      <c r="U261" s="1">
        <v>0</v>
      </c>
      <c r="V261" s="27" t="s">
        <v>900</v>
      </c>
      <c r="W261" s="1">
        <v>641</v>
      </c>
      <c r="X261" s="28">
        <v>0</v>
      </c>
      <c r="Y261" s="30"/>
      <c r="Z261" s="30"/>
      <c r="AA261" s="26"/>
      <c r="AB261" s="26"/>
      <c r="AC261" s="27" t="s">
        <v>901</v>
      </c>
      <c r="AD261" t="s">
        <v>362</v>
      </c>
      <c r="AE261">
        <v>4.25</v>
      </c>
      <c r="AF261" t="s">
        <v>123</v>
      </c>
      <c r="AG261" t="s">
        <v>902</v>
      </c>
      <c r="AH261" t="s">
        <v>903</v>
      </c>
      <c r="AJ261" s="15"/>
      <c r="AK261" t="s">
        <v>908</v>
      </c>
    </row>
    <row r="262" spans="1:37" ht="15" hidden="1" customHeight="1" x14ac:dyDescent="0.25">
      <c r="A262" s="8">
        <v>261</v>
      </c>
      <c r="B262" s="21">
        <v>35299</v>
      </c>
      <c r="C262" s="22"/>
      <c r="D262" s="21">
        <v>293</v>
      </c>
      <c r="E262" s="21">
        <v>29301</v>
      </c>
      <c r="F262" s="21">
        <v>29301</v>
      </c>
      <c r="G262" s="23" t="s">
        <v>235</v>
      </c>
      <c r="H262" s="23" t="s">
        <v>234</v>
      </c>
      <c r="I262" s="23" t="s">
        <v>894</v>
      </c>
      <c r="J262" s="23" t="s">
        <v>123</v>
      </c>
      <c r="K262" s="23" t="s">
        <v>123</v>
      </c>
      <c r="L262" s="23" t="s">
        <v>901</v>
      </c>
      <c r="M262" s="23" t="s">
        <v>123</v>
      </c>
      <c r="N262" s="23" t="s">
        <v>901</v>
      </c>
      <c r="O262" s="23" t="s">
        <v>325</v>
      </c>
      <c r="P262" s="23" t="s">
        <v>896</v>
      </c>
      <c r="Q262" s="23" t="s">
        <v>897</v>
      </c>
      <c r="R262" s="21">
        <v>35824</v>
      </c>
      <c r="S262" s="23" t="s">
        <v>234</v>
      </c>
      <c r="T262" s="23" t="s">
        <v>1090</v>
      </c>
      <c r="U262" s="21">
        <v>0</v>
      </c>
      <c r="V262" s="23" t="s">
        <v>900</v>
      </c>
      <c r="W262" s="21">
        <v>641</v>
      </c>
      <c r="X262" s="24">
        <v>0</v>
      </c>
      <c r="Y262" s="31"/>
      <c r="Z262" s="31"/>
      <c r="AA262" s="22"/>
      <c r="AB262" s="22"/>
      <c r="AC262" s="23" t="s">
        <v>901</v>
      </c>
      <c r="AD262" s="17" t="s">
        <v>374</v>
      </c>
      <c r="AE262" s="17">
        <v>4.25</v>
      </c>
      <c r="AF262" s="17" t="s">
        <v>123</v>
      </c>
      <c r="AG262" s="17" t="s">
        <v>902</v>
      </c>
      <c r="AH262" t="s">
        <v>903</v>
      </c>
      <c r="AJ262" s="15"/>
      <c r="AK262" t="s">
        <v>908</v>
      </c>
    </row>
    <row r="263" spans="1:37" ht="15" hidden="1" customHeight="1" x14ac:dyDescent="0.25">
      <c r="A263" s="1">
        <v>262</v>
      </c>
      <c r="B263" s="1">
        <v>35308</v>
      </c>
      <c r="C263" s="30"/>
      <c r="D263" s="1">
        <v>258</v>
      </c>
      <c r="E263" s="1">
        <v>25801</v>
      </c>
      <c r="F263" s="1">
        <v>25801</v>
      </c>
      <c r="G263" s="27" t="s">
        <v>171</v>
      </c>
      <c r="H263" s="27" t="s">
        <v>170</v>
      </c>
      <c r="I263" s="27" t="s">
        <v>894</v>
      </c>
      <c r="J263" s="27" t="s">
        <v>123</v>
      </c>
      <c r="K263" s="27" t="s">
        <v>123</v>
      </c>
      <c r="L263" s="27" t="s">
        <v>901</v>
      </c>
      <c r="M263" s="27" t="s">
        <v>123</v>
      </c>
      <c r="N263" s="27" t="s">
        <v>901</v>
      </c>
      <c r="O263" s="27" t="s">
        <v>364</v>
      </c>
      <c r="P263" s="27" t="s">
        <v>896</v>
      </c>
      <c r="Q263" s="27" t="s">
        <v>897</v>
      </c>
      <c r="R263" s="1">
        <v>37824</v>
      </c>
      <c r="S263" s="27" t="s">
        <v>170</v>
      </c>
      <c r="T263" s="27" t="s">
        <v>917</v>
      </c>
      <c r="U263" s="1">
        <v>54</v>
      </c>
      <c r="V263" s="27" t="s">
        <v>913</v>
      </c>
      <c r="W263" s="1">
        <v>1</v>
      </c>
      <c r="X263" s="28">
        <v>0.99</v>
      </c>
      <c r="Y263" s="32">
        <v>0.5</v>
      </c>
      <c r="Z263" s="32">
        <v>0.5</v>
      </c>
      <c r="AA263" s="26"/>
      <c r="AB263" s="26"/>
      <c r="AC263" s="27" t="s">
        <v>901</v>
      </c>
      <c r="AD263" t="s">
        <v>365</v>
      </c>
      <c r="AE263">
        <v>1</v>
      </c>
      <c r="AF263" t="s">
        <v>123</v>
      </c>
      <c r="AG263" t="s">
        <v>902</v>
      </c>
      <c r="AH263" t="s">
        <v>903</v>
      </c>
      <c r="AJ263" s="15">
        <f>VLOOKUP(Tabla1[[#This Row],[CPC]],[1]Sheet3!$A:$D,4,0)</f>
        <v>0.5031265031265032</v>
      </c>
      <c r="AK263" t="s">
        <v>908</v>
      </c>
    </row>
    <row r="264" spans="1:37" ht="15" hidden="1" customHeight="1" x14ac:dyDescent="0.25">
      <c r="A264" s="1">
        <v>263</v>
      </c>
      <c r="B264" s="21">
        <v>35313</v>
      </c>
      <c r="C264" s="31"/>
      <c r="D264" s="21">
        <v>258</v>
      </c>
      <c r="E264" s="21">
        <v>25802</v>
      </c>
      <c r="F264" s="21">
        <v>25802</v>
      </c>
      <c r="G264" s="23" t="s">
        <v>173</v>
      </c>
      <c r="H264" s="23" t="s">
        <v>170</v>
      </c>
      <c r="I264" s="23" t="s">
        <v>894</v>
      </c>
      <c r="J264" s="23" t="s">
        <v>123</v>
      </c>
      <c r="K264" s="23" t="s">
        <v>123</v>
      </c>
      <c r="L264" s="23" t="s">
        <v>901</v>
      </c>
      <c r="M264" s="23" t="s">
        <v>123</v>
      </c>
      <c r="N264" s="23" t="s">
        <v>901</v>
      </c>
      <c r="O264" s="23" t="s">
        <v>364</v>
      </c>
      <c r="P264" s="23" t="s">
        <v>896</v>
      </c>
      <c r="Q264" s="23" t="s">
        <v>897</v>
      </c>
      <c r="R264" s="21">
        <v>37825</v>
      </c>
      <c r="S264" s="23" t="s">
        <v>170</v>
      </c>
      <c r="T264" s="23" t="s">
        <v>971</v>
      </c>
      <c r="U264" s="21">
        <v>56</v>
      </c>
      <c r="V264" s="23" t="s">
        <v>913</v>
      </c>
      <c r="W264" s="21">
        <v>1</v>
      </c>
      <c r="X264" s="24">
        <v>1.99</v>
      </c>
      <c r="Y264" s="33">
        <v>0.5</v>
      </c>
      <c r="Z264" s="33">
        <v>0.5</v>
      </c>
      <c r="AA264" s="22"/>
      <c r="AB264" s="22"/>
      <c r="AC264" s="23" t="s">
        <v>901</v>
      </c>
      <c r="AD264" s="17" t="s">
        <v>365</v>
      </c>
      <c r="AE264" s="17">
        <v>1</v>
      </c>
      <c r="AF264" s="17" t="s">
        <v>123</v>
      </c>
      <c r="AG264" s="17" t="s">
        <v>902</v>
      </c>
      <c r="AH264" t="s">
        <v>903</v>
      </c>
      <c r="AJ264" s="15">
        <f>VLOOKUP(Tabla1[[#This Row],[CPC]],[1]Sheet3!$A:$D,4,0)</f>
        <v>0.50150753768844225</v>
      </c>
      <c r="AK264" t="s">
        <v>908</v>
      </c>
    </row>
    <row r="265" spans="1:37" ht="15" hidden="1" customHeight="1" x14ac:dyDescent="0.25">
      <c r="A265" s="8">
        <v>264</v>
      </c>
      <c r="B265" s="1">
        <v>35315</v>
      </c>
      <c r="C265" s="30"/>
      <c r="D265" s="1">
        <v>258</v>
      </c>
      <c r="E265" s="1">
        <v>25803</v>
      </c>
      <c r="F265" s="1">
        <v>25803</v>
      </c>
      <c r="G265" s="27" t="s">
        <v>173</v>
      </c>
      <c r="H265" s="27" t="s">
        <v>170</v>
      </c>
      <c r="I265" s="27" t="s">
        <v>894</v>
      </c>
      <c r="J265" s="27" t="s">
        <v>123</v>
      </c>
      <c r="K265" s="27" t="s">
        <v>123</v>
      </c>
      <c r="L265" s="27" t="s">
        <v>901</v>
      </c>
      <c r="M265" s="27" t="s">
        <v>123</v>
      </c>
      <c r="N265" s="27" t="s">
        <v>901</v>
      </c>
      <c r="O265" s="27" t="s">
        <v>364</v>
      </c>
      <c r="P265" s="27" t="s">
        <v>896</v>
      </c>
      <c r="Q265" s="27" t="s">
        <v>897</v>
      </c>
      <c r="R265" s="1">
        <v>37826</v>
      </c>
      <c r="S265" s="27" t="s">
        <v>170</v>
      </c>
      <c r="T265" s="27" t="s">
        <v>899</v>
      </c>
      <c r="U265" s="1">
        <v>58</v>
      </c>
      <c r="V265" s="27" t="s">
        <v>913</v>
      </c>
      <c r="W265" s="1">
        <v>1</v>
      </c>
      <c r="X265" s="28">
        <v>2.99</v>
      </c>
      <c r="Y265" s="32">
        <v>0.5</v>
      </c>
      <c r="Z265" s="32">
        <v>0.5</v>
      </c>
      <c r="AA265" s="26"/>
      <c r="AB265" s="26"/>
      <c r="AC265" s="27" t="s">
        <v>901</v>
      </c>
      <c r="AD265" t="s">
        <v>365</v>
      </c>
      <c r="AE265">
        <v>1</v>
      </c>
      <c r="AF265" t="s">
        <v>123</v>
      </c>
      <c r="AG265" t="s">
        <v>902</v>
      </c>
      <c r="AH265" t="s">
        <v>903</v>
      </c>
      <c r="AJ265" s="15">
        <f>VLOOKUP(Tabla1[[#This Row],[CPC]],[1]Sheet3!$A:$D,4,0)</f>
        <v>0.50167224080267547</v>
      </c>
      <c r="AK265" t="s">
        <v>908</v>
      </c>
    </row>
    <row r="266" spans="1:37" ht="15" hidden="1" customHeight="1" x14ac:dyDescent="0.25">
      <c r="A266" s="1">
        <v>265</v>
      </c>
      <c r="B266" s="21">
        <v>35317</v>
      </c>
      <c r="C266" s="31"/>
      <c r="D266" s="21">
        <v>258</v>
      </c>
      <c r="E266" s="21">
        <v>25804</v>
      </c>
      <c r="F266" s="21">
        <v>25804</v>
      </c>
      <c r="G266" s="23" t="s">
        <v>173</v>
      </c>
      <c r="H266" s="23" t="s">
        <v>170</v>
      </c>
      <c r="I266" s="23" t="s">
        <v>894</v>
      </c>
      <c r="J266" s="23" t="s">
        <v>123</v>
      </c>
      <c r="K266" s="23" t="s">
        <v>123</v>
      </c>
      <c r="L266" s="23" t="s">
        <v>901</v>
      </c>
      <c r="M266" s="23" t="s">
        <v>123</v>
      </c>
      <c r="N266" s="23" t="s">
        <v>901</v>
      </c>
      <c r="O266" s="23" t="s">
        <v>364</v>
      </c>
      <c r="P266" s="23" t="s">
        <v>896</v>
      </c>
      <c r="Q266" s="23" t="s">
        <v>897</v>
      </c>
      <c r="R266" s="21">
        <v>37827</v>
      </c>
      <c r="S266" s="23" t="s">
        <v>170</v>
      </c>
      <c r="T266" s="23" t="s">
        <v>1045</v>
      </c>
      <c r="U266" s="21">
        <v>62</v>
      </c>
      <c r="V266" s="23" t="s">
        <v>913</v>
      </c>
      <c r="W266" s="21">
        <v>1</v>
      </c>
      <c r="X266" s="24">
        <v>4.99</v>
      </c>
      <c r="Y266" s="33">
        <v>0.5</v>
      </c>
      <c r="Z266" s="33">
        <v>0.5</v>
      </c>
      <c r="AA266" s="22"/>
      <c r="AB266" s="22"/>
      <c r="AC266" s="23" t="s">
        <v>901</v>
      </c>
      <c r="AD266" s="17" t="s">
        <v>365</v>
      </c>
      <c r="AE266" s="17">
        <v>1</v>
      </c>
      <c r="AF266" s="17" t="s">
        <v>123</v>
      </c>
      <c r="AG266" s="17" t="s">
        <v>902</v>
      </c>
      <c r="AH266" t="s">
        <v>903</v>
      </c>
      <c r="AJ266" s="15">
        <f>VLOOKUP(Tabla1[[#This Row],[CPC]],[1]Sheet3!$A:$D,4,0)</f>
        <v>0.50100200400801598</v>
      </c>
      <c r="AK266" t="s">
        <v>908</v>
      </c>
    </row>
    <row r="267" spans="1:37" ht="15" hidden="1" customHeight="1" x14ac:dyDescent="0.25">
      <c r="A267" s="1">
        <v>266</v>
      </c>
      <c r="B267" s="1">
        <v>35357</v>
      </c>
      <c r="C267" s="26"/>
      <c r="D267" s="1">
        <v>253</v>
      </c>
      <c r="E267" s="1">
        <v>25302</v>
      </c>
      <c r="F267" s="1">
        <v>25302</v>
      </c>
      <c r="G267" s="27" t="s">
        <v>673</v>
      </c>
      <c r="H267" s="27" t="s">
        <v>670</v>
      </c>
      <c r="I267" s="27" t="s">
        <v>894</v>
      </c>
      <c r="J267" s="27" t="s">
        <v>280</v>
      </c>
      <c r="K267" s="27" t="s">
        <v>280</v>
      </c>
      <c r="L267" s="27" t="s">
        <v>901</v>
      </c>
      <c r="M267" s="27" t="s">
        <v>280</v>
      </c>
      <c r="N267" s="27" t="s">
        <v>901</v>
      </c>
      <c r="O267" s="27" t="s">
        <v>305</v>
      </c>
      <c r="P267" s="27" t="s">
        <v>896</v>
      </c>
      <c r="Q267" s="27" t="s">
        <v>897</v>
      </c>
      <c r="R267" s="1">
        <v>37869</v>
      </c>
      <c r="S267" s="27" t="s">
        <v>670</v>
      </c>
      <c r="T267" s="27" t="s">
        <v>917</v>
      </c>
      <c r="U267" s="1">
        <v>54</v>
      </c>
      <c r="V267" s="27" t="s">
        <v>900</v>
      </c>
      <c r="W267" s="1">
        <v>908</v>
      </c>
      <c r="X267" s="28">
        <v>0.99</v>
      </c>
      <c r="Y267" s="29">
        <v>0.8</v>
      </c>
      <c r="Z267" s="29">
        <v>0.2</v>
      </c>
      <c r="AA267" s="26"/>
      <c r="AB267" s="26"/>
      <c r="AC267" s="27" t="s">
        <v>901</v>
      </c>
      <c r="AD267" t="s">
        <v>672</v>
      </c>
      <c r="AE267">
        <v>4.25</v>
      </c>
      <c r="AF267" t="s">
        <v>280</v>
      </c>
      <c r="AG267" t="s">
        <v>1075</v>
      </c>
      <c r="AH267" t="s">
        <v>903</v>
      </c>
      <c r="AJ267" s="15">
        <f>VLOOKUP(Tabla1[[#This Row],[CPC]],[1]Sheet3!$A:$D,4,0)</f>
        <v>0.79977702813097507</v>
      </c>
      <c r="AK267" t="s">
        <v>908</v>
      </c>
    </row>
    <row r="268" spans="1:37" ht="15" hidden="1" customHeight="1" x14ac:dyDescent="0.25">
      <c r="A268" s="8">
        <v>267</v>
      </c>
      <c r="B268" s="21">
        <v>35551</v>
      </c>
      <c r="C268" s="22"/>
      <c r="D268" s="21">
        <v>351</v>
      </c>
      <c r="E268" s="21">
        <v>35101</v>
      </c>
      <c r="F268" s="21">
        <v>35101</v>
      </c>
      <c r="G268" s="23" t="s">
        <v>62</v>
      </c>
      <c r="H268" s="23" t="s">
        <v>61</v>
      </c>
      <c r="I268" s="23" t="s">
        <v>894</v>
      </c>
      <c r="J268" s="23" t="s">
        <v>279</v>
      </c>
      <c r="K268" s="23" t="s">
        <v>279</v>
      </c>
      <c r="L268" s="23" t="s">
        <v>895</v>
      </c>
      <c r="M268" s="23" t="s">
        <v>279</v>
      </c>
      <c r="N268" s="23" t="s">
        <v>895</v>
      </c>
      <c r="O268" s="23" t="s">
        <v>346</v>
      </c>
      <c r="P268" s="23" t="s">
        <v>896</v>
      </c>
      <c r="Q268" s="23" t="s">
        <v>897</v>
      </c>
      <c r="R268" s="21">
        <v>38024</v>
      </c>
      <c r="S268" s="23" t="s">
        <v>1091</v>
      </c>
      <c r="T268" s="23" t="s">
        <v>899</v>
      </c>
      <c r="U268" s="21">
        <v>58</v>
      </c>
      <c r="V268" s="23" t="s">
        <v>900</v>
      </c>
      <c r="W268" s="21">
        <v>908</v>
      </c>
      <c r="X268" s="24">
        <v>2.99</v>
      </c>
      <c r="Y268" s="25">
        <v>0.3</v>
      </c>
      <c r="Z268" s="25">
        <v>0.7</v>
      </c>
      <c r="AA268" s="22"/>
      <c r="AB268" s="22"/>
      <c r="AC268" s="23" t="s">
        <v>901</v>
      </c>
      <c r="AD268" s="17" t="s">
        <v>583</v>
      </c>
      <c r="AE268" s="17">
        <v>4.25</v>
      </c>
      <c r="AF268" s="17" t="s">
        <v>279</v>
      </c>
      <c r="AG268" s="17"/>
      <c r="AH268" t="s">
        <v>903</v>
      </c>
      <c r="AJ268" s="15"/>
      <c r="AK268" t="s">
        <v>904</v>
      </c>
    </row>
    <row r="269" spans="1:37" ht="15" hidden="1" customHeight="1" x14ac:dyDescent="0.25">
      <c r="A269" s="1">
        <v>268</v>
      </c>
      <c r="B269" s="1">
        <v>35869</v>
      </c>
      <c r="C269" s="35">
        <v>35008</v>
      </c>
      <c r="D269" s="1">
        <v>469</v>
      </c>
      <c r="E269" s="1">
        <v>46902</v>
      </c>
      <c r="F269" s="1">
        <v>46902</v>
      </c>
      <c r="G269" s="27" t="s">
        <v>659</v>
      </c>
      <c r="H269" s="27" t="s">
        <v>658</v>
      </c>
      <c r="I269" s="27" t="s">
        <v>894</v>
      </c>
      <c r="J269" s="27" t="s">
        <v>280</v>
      </c>
      <c r="K269" s="27" t="s">
        <v>280</v>
      </c>
      <c r="L269" s="27" t="s">
        <v>901</v>
      </c>
      <c r="M269" s="27" t="s">
        <v>280</v>
      </c>
      <c r="N269" s="27" t="s">
        <v>901</v>
      </c>
      <c r="O269" s="27" t="s">
        <v>305</v>
      </c>
      <c r="P269" s="27" t="s">
        <v>896</v>
      </c>
      <c r="Q269" s="27" t="s">
        <v>897</v>
      </c>
      <c r="R269" s="1">
        <v>37604</v>
      </c>
      <c r="S269" s="27" t="s">
        <v>658</v>
      </c>
      <c r="T269" s="27" t="s">
        <v>1079</v>
      </c>
      <c r="U269" s="1">
        <v>0</v>
      </c>
      <c r="V269" s="27" t="s">
        <v>900</v>
      </c>
      <c r="W269" s="1">
        <v>641</v>
      </c>
      <c r="X269" s="28">
        <v>0</v>
      </c>
      <c r="Y269" s="30"/>
      <c r="Z269" s="30"/>
      <c r="AA269" s="26"/>
      <c r="AB269" s="26"/>
      <c r="AC269" s="27" t="s">
        <v>901</v>
      </c>
      <c r="AD269" t="s">
        <v>660</v>
      </c>
      <c r="AE269">
        <v>4.25</v>
      </c>
      <c r="AF269" t="s">
        <v>280</v>
      </c>
      <c r="AG269" t="s">
        <v>1075</v>
      </c>
      <c r="AH269" t="s">
        <v>903</v>
      </c>
      <c r="AJ269" s="15"/>
      <c r="AK269" t="s">
        <v>908</v>
      </c>
    </row>
    <row r="270" spans="1:37" ht="15" hidden="1" customHeight="1" x14ac:dyDescent="0.25">
      <c r="A270" s="1">
        <v>269</v>
      </c>
      <c r="B270" s="21">
        <v>35870</v>
      </c>
      <c r="C270" s="34">
        <v>35014</v>
      </c>
      <c r="D270" s="21">
        <v>471</v>
      </c>
      <c r="E270" s="21">
        <v>47102</v>
      </c>
      <c r="F270" s="21">
        <v>47102</v>
      </c>
      <c r="G270" s="23" t="s">
        <v>667</v>
      </c>
      <c r="H270" s="23" t="s">
        <v>666</v>
      </c>
      <c r="I270" s="23" t="s">
        <v>894</v>
      </c>
      <c r="J270" s="23" t="s">
        <v>280</v>
      </c>
      <c r="K270" s="23" t="s">
        <v>280</v>
      </c>
      <c r="L270" s="23" t="s">
        <v>901</v>
      </c>
      <c r="M270" s="23" t="s">
        <v>280</v>
      </c>
      <c r="N270" s="23" t="s">
        <v>901</v>
      </c>
      <c r="O270" s="23" t="s">
        <v>305</v>
      </c>
      <c r="P270" s="23" t="s">
        <v>896</v>
      </c>
      <c r="Q270" s="23" t="s">
        <v>897</v>
      </c>
      <c r="R270" s="21">
        <v>37607</v>
      </c>
      <c r="S270" s="23" t="s">
        <v>1082</v>
      </c>
      <c r="T270" s="23" t="s">
        <v>1079</v>
      </c>
      <c r="U270" s="21">
        <v>0</v>
      </c>
      <c r="V270" s="23" t="s">
        <v>900</v>
      </c>
      <c r="W270" s="21">
        <v>641</v>
      </c>
      <c r="X270" s="24">
        <v>0</v>
      </c>
      <c r="Y270" s="31"/>
      <c r="Z270" s="31"/>
      <c r="AA270" s="22"/>
      <c r="AB270" s="22"/>
      <c r="AC270" s="23" t="s">
        <v>901</v>
      </c>
      <c r="AD270" s="17" t="s">
        <v>668</v>
      </c>
      <c r="AE270" s="17">
        <v>4.25</v>
      </c>
      <c r="AF270" s="17" t="s">
        <v>280</v>
      </c>
      <c r="AG270" s="17" t="s">
        <v>1075</v>
      </c>
      <c r="AH270" t="s">
        <v>903</v>
      </c>
      <c r="AJ270" s="15"/>
      <c r="AK270" t="s">
        <v>908</v>
      </c>
    </row>
    <row r="271" spans="1:37" ht="15" hidden="1" customHeight="1" x14ac:dyDescent="0.25">
      <c r="A271" s="8">
        <v>270</v>
      </c>
      <c r="B271" s="1">
        <v>35871</v>
      </c>
      <c r="C271" s="35">
        <v>35020</v>
      </c>
      <c r="D271" s="1">
        <v>470</v>
      </c>
      <c r="E271" s="1">
        <v>47002</v>
      </c>
      <c r="F271" s="1">
        <v>47002</v>
      </c>
      <c r="G271" s="27" t="s">
        <v>663</v>
      </c>
      <c r="H271" s="27" t="s">
        <v>662</v>
      </c>
      <c r="I271" s="27" t="s">
        <v>894</v>
      </c>
      <c r="J271" s="27" t="s">
        <v>280</v>
      </c>
      <c r="K271" s="27" t="s">
        <v>280</v>
      </c>
      <c r="L271" s="27" t="s">
        <v>901</v>
      </c>
      <c r="M271" s="27" t="s">
        <v>280</v>
      </c>
      <c r="N271" s="27" t="s">
        <v>901</v>
      </c>
      <c r="O271" s="27" t="s">
        <v>305</v>
      </c>
      <c r="P271" s="27" t="s">
        <v>896</v>
      </c>
      <c r="Q271" s="27" t="s">
        <v>897</v>
      </c>
      <c r="R271" s="1">
        <v>37610</v>
      </c>
      <c r="S271" s="27" t="s">
        <v>1083</v>
      </c>
      <c r="T271" s="27" t="s">
        <v>1079</v>
      </c>
      <c r="U271" s="1">
        <v>0</v>
      </c>
      <c r="V271" s="27" t="s">
        <v>900</v>
      </c>
      <c r="W271" s="1">
        <v>641</v>
      </c>
      <c r="X271" s="28">
        <v>0</v>
      </c>
      <c r="Y271" s="30"/>
      <c r="Z271" s="30"/>
      <c r="AA271" s="26"/>
      <c r="AB271" s="26"/>
      <c r="AC271" s="27" t="s">
        <v>901</v>
      </c>
      <c r="AD271" t="s">
        <v>664</v>
      </c>
      <c r="AE271">
        <v>4.25</v>
      </c>
      <c r="AF271" t="s">
        <v>280</v>
      </c>
      <c r="AG271" t="s">
        <v>1075</v>
      </c>
      <c r="AH271" t="s">
        <v>903</v>
      </c>
      <c r="AJ271" s="15"/>
      <c r="AK271" t="s">
        <v>908</v>
      </c>
    </row>
    <row r="272" spans="1:37" ht="15" hidden="1" customHeight="1" x14ac:dyDescent="0.25">
      <c r="A272" s="1">
        <v>271</v>
      </c>
      <c r="B272" s="21">
        <v>35872</v>
      </c>
      <c r="C272" s="34">
        <v>35357</v>
      </c>
      <c r="D272" s="21">
        <v>253</v>
      </c>
      <c r="E272" s="21">
        <v>25301</v>
      </c>
      <c r="F272" s="21">
        <v>25301</v>
      </c>
      <c r="G272" s="23" t="s">
        <v>671</v>
      </c>
      <c r="H272" s="23" t="s">
        <v>670</v>
      </c>
      <c r="I272" s="23" t="s">
        <v>894</v>
      </c>
      <c r="J272" s="23" t="s">
        <v>280</v>
      </c>
      <c r="K272" s="23" t="s">
        <v>280</v>
      </c>
      <c r="L272" s="23" t="s">
        <v>901</v>
      </c>
      <c r="M272" s="23" t="s">
        <v>280</v>
      </c>
      <c r="N272" s="23" t="s">
        <v>901</v>
      </c>
      <c r="O272" s="23" t="s">
        <v>305</v>
      </c>
      <c r="P272" s="23" t="s">
        <v>896</v>
      </c>
      <c r="Q272" s="23" t="s">
        <v>897</v>
      </c>
      <c r="R272" s="21">
        <v>37869</v>
      </c>
      <c r="S272" s="23" t="s">
        <v>670</v>
      </c>
      <c r="T272" s="23" t="s">
        <v>1079</v>
      </c>
      <c r="U272" s="21">
        <v>0</v>
      </c>
      <c r="V272" s="23" t="s">
        <v>900</v>
      </c>
      <c r="W272" s="21">
        <v>641</v>
      </c>
      <c r="X272" s="24">
        <v>0</v>
      </c>
      <c r="Y272" s="31"/>
      <c r="Z272" s="31"/>
      <c r="AA272" s="22"/>
      <c r="AB272" s="22"/>
      <c r="AC272" s="23" t="s">
        <v>901</v>
      </c>
      <c r="AD272" s="17" t="s">
        <v>672</v>
      </c>
      <c r="AE272" s="17">
        <v>4.25</v>
      </c>
      <c r="AF272" s="17" t="s">
        <v>280</v>
      </c>
      <c r="AG272" s="17" t="s">
        <v>1075</v>
      </c>
      <c r="AH272" t="s">
        <v>903</v>
      </c>
      <c r="AJ272" s="15"/>
      <c r="AK272" t="s">
        <v>908</v>
      </c>
    </row>
    <row r="273" spans="1:37" ht="15" hidden="1" customHeight="1" x14ac:dyDescent="0.25">
      <c r="A273" s="1">
        <v>272</v>
      </c>
      <c r="B273" s="1">
        <v>35887</v>
      </c>
      <c r="C273" s="26"/>
      <c r="D273" s="1">
        <v>588</v>
      </c>
      <c r="E273" s="1">
        <v>58801</v>
      </c>
      <c r="F273" s="1">
        <v>58801</v>
      </c>
      <c r="G273" s="27" t="s">
        <v>62</v>
      </c>
      <c r="H273" s="27" t="s">
        <v>61</v>
      </c>
      <c r="I273" s="27" t="s">
        <v>894</v>
      </c>
      <c r="J273" s="27" t="s">
        <v>279</v>
      </c>
      <c r="K273" s="27" t="s">
        <v>279</v>
      </c>
      <c r="L273" s="27" t="s">
        <v>922</v>
      </c>
      <c r="M273" s="27" t="s">
        <v>279</v>
      </c>
      <c r="N273" s="27" t="s">
        <v>922</v>
      </c>
      <c r="O273" s="27" t="s">
        <v>346</v>
      </c>
      <c r="P273" s="27" t="s">
        <v>896</v>
      </c>
      <c r="Q273" s="27" t="s">
        <v>897</v>
      </c>
      <c r="R273" s="1">
        <v>38184</v>
      </c>
      <c r="S273" s="27" t="s">
        <v>1092</v>
      </c>
      <c r="T273" s="27" t="s">
        <v>924</v>
      </c>
      <c r="U273" s="1">
        <v>12</v>
      </c>
      <c r="V273" s="27" t="s">
        <v>900</v>
      </c>
      <c r="W273" s="1">
        <v>908</v>
      </c>
      <c r="X273" s="28">
        <v>2.99</v>
      </c>
      <c r="Y273" s="29">
        <v>0.4</v>
      </c>
      <c r="Z273" s="29">
        <v>0.6</v>
      </c>
      <c r="AA273" s="26"/>
      <c r="AB273" s="26"/>
      <c r="AC273" s="27" t="s">
        <v>901</v>
      </c>
      <c r="AD273" t="s">
        <v>584</v>
      </c>
      <c r="AE273">
        <v>4.25</v>
      </c>
      <c r="AF273" t="s">
        <v>279</v>
      </c>
      <c r="AG273" t="s">
        <v>902</v>
      </c>
      <c r="AH273" t="s">
        <v>903</v>
      </c>
      <c r="AJ273" s="15">
        <f>VLOOKUP(Tabla1[[#This Row],[CPC]],[1]Sheet3!$A:$D,4,0)</f>
        <v>0.3999999949334479</v>
      </c>
      <c r="AK273" t="s">
        <v>904</v>
      </c>
    </row>
    <row r="274" spans="1:37" ht="15" hidden="1" customHeight="1" x14ac:dyDescent="0.25">
      <c r="A274" s="8">
        <v>273</v>
      </c>
      <c r="B274" s="21">
        <v>36211</v>
      </c>
      <c r="C274" s="22"/>
      <c r="D274" s="21">
        <v>342</v>
      </c>
      <c r="E274" s="21">
        <v>34201</v>
      </c>
      <c r="F274" s="21">
        <v>34201</v>
      </c>
      <c r="G274" s="23" t="s">
        <v>243</v>
      </c>
      <c r="H274" s="23" t="s">
        <v>242</v>
      </c>
      <c r="I274" s="23" t="s">
        <v>894</v>
      </c>
      <c r="J274" s="23" t="s">
        <v>123</v>
      </c>
      <c r="K274" s="23" t="s">
        <v>123</v>
      </c>
      <c r="L274" s="23" t="s">
        <v>901</v>
      </c>
      <c r="M274" s="23" t="s">
        <v>123</v>
      </c>
      <c r="N274" s="23" t="s">
        <v>901</v>
      </c>
      <c r="O274" s="23" t="s">
        <v>325</v>
      </c>
      <c r="P274" s="23" t="s">
        <v>896</v>
      </c>
      <c r="Q274" s="23" t="s">
        <v>897</v>
      </c>
      <c r="R274" s="21">
        <v>38548</v>
      </c>
      <c r="S274" s="23" t="s">
        <v>242</v>
      </c>
      <c r="T274" s="23" t="s">
        <v>899</v>
      </c>
      <c r="U274" s="21">
        <v>58</v>
      </c>
      <c r="V274" s="23" t="s">
        <v>900</v>
      </c>
      <c r="W274" s="21">
        <v>908</v>
      </c>
      <c r="X274" s="24">
        <v>2.99</v>
      </c>
      <c r="Y274" s="25">
        <v>0.5</v>
      </c>
      <c r="Z274" s="25">
        <v>0.5</v>
      </c>
      <c r="AA274" s="22"/>
      <c r="AB274" s="22"/>
      <c r="AC274" s="23" t="s">
        <v>901</v>
      </c>
      <c r="AD274" s="17" t="s">
        <v>370</v>
      </c>
      <c r="AE274" s="17">
        <v>4.25</v>
      </c>
      <c r="AF274" s="17" t="s">
        <v>123</v>
      </c>
      <c r="AG274" s="17" t="s">
        <v>902</v>
      </c>
      <c r="AH274" t="s">
        <v>903</v>
      </c>
      <c r="AJ274" s="15">
        <f>VLOOKUP(Tabla1[[#This Row],[CPC]],[1]Sheet3!$A:$D,4,0)</f>
        <v>0.50000143064126035</v>
      </c>
      <c r="AK274" t="s">
        <v>908</v>
      </c>
    </row>
    <row r="275" spans="1:37" ht="15" hidden="1" customHeight="1" x14ac:dyDescent="0.25">
      <c r="A275" s="1">
        <v>274</v>
      </c>
      <c r="B275" s="1">
        <v>36251</v>
      </c>
      <c r="C275" s="26"/>
      <c r="D275" s="1">
        <v>437</v>
      </c>
      <c r="E275" s="1">
        <v>43701</v>
      </c>
      <c r="F275" s="1">
        <v>43701</v>
      </c>
      <c r="G275" s="27" t="s">
        <v>768</v>
      </c>
      <c r="H275" s="27" t="s">
        <v>767</v>
      </c>
      <c r="I275" s="27" t="s">
        <v>894</v>
      </c>
      <c r="J275" s="27" t="s">
        <v>280</v>
      </c>
      <c r="K275" s="27" t="s">
        <v>280</v>
      </c>
      <c r="L275" s="27" t="s">
        <v>901</v>
      </c>
      <c r="M275" s="27" t="s">
        <v>280</v>
      </c>
      <c r="N275" s="27" t="s">
        <v>901</v>
      </c>
      <c r="O275" s="27" t="s">
        <v>762</v>
      </c>
      <c r="P275" s="27" t="s">
        <v>896</v>
      </c>
      <c r="Q275" s="27" t="s">
        <v>897</v>
      </c>
      <c r="R275" s="1">
        <v>38586</v>
      </c>
      <c r="S275" s="27" t="s">
        <v>1093</v>
      </c>
      <c r="T275" s="27" t="s">
        <v>1042</v>
      </c>
      <c r="U275" s="1">
        <v>55</v>
      </c>
      <c r="V275" s="27" t="s">
        <v>900</v>
      </c>
      <c r="W275" s="1">
        <v>908</v>
      </c>
      <c r="X275" s="28">
        <v>1.49</v>
      </c>
      <c r="Y275" s="29">
        <v>0.7</v>
      </c>
      <c r="Z275" s="29">
        <v>0.3</v>
      </c>
      <c r="AA275" s="30"/>
      <c r="AB275" s="30"/>
      <c r="AC275" s="27" t="s">
        <v>901</v>
      </c>
      <c r="AD275" t="s">
        <v>769</v>
      </c>
      <c r="AE275">
        <v>4.25</v>
      </c>
      <c r="AF275" t="s">
        <v>280</v>
      </c>
      <c r="AG275" t="s">
        <v>902</v>
      </c>
      <c r="AH275" t="s">
        <v>903</v>
      </c>
      <c r="AJ275" s="15"/>
      <c r="AK275" t="s">
        <v>908</v>
      </c>
    </row>
    <row r="276" spans="1:37" ht="15" hidden="1" customHeight="1" x14ac:dyDescent="0.25">
      <c r="A276" s="1">
        <v>275</v>
      </c>
      <c r="B276" s="21">
        <v>36268</v>
      </c>
      <c r="C276" s="22"/>
      <c r="D276" s="21">
        <v>384</v>
      </c>
      <c r="E276" s="21">
        <v>38401</v>
      </c>
      <c r="F276" s="21">
        <v>38401</v>
      </c>
      <c r="G276" s="23" t="s">
        <v>62</v>
      </c>
      <c r="H276" s="23" t="s">
        <v>61</v>
      </c>
      <c r="I276" s="23" t="s">
        <v>894</v>
      </c>
      <c r="J276" s="23" t="s">
        <v>279</v>
      </c>
      <c r="K276" s="23" t="s">
        <v>279</v>
      </c>
      <c r="L276" s="23" t="s">
        <v>895</v>
      </c>
      <c r="M276" s="23" t="s">
        <v>279</v>
      </c>
      <c r="N276" s="23" t="s">
        <v>895</v>
      </c>
      <c r="O276" s="23" t="s">
        <v>346</v>
      </c>
      <c r="P276" s="23" t="s">
        <v>896</v>
      </c>
      <c r="Q276" s="23" t="s">
        <v>897</v>
      </c>
      <c r="R276" s="21">
        <v>38604</v>
      </c>
      <c r="S276" s="23" t="s">
        <v>1094</v>
      </c>
      <c r="T276" s="23" t="s">
        <v>899</v>
      </c>
      <c r="U276" s="21">
        <v>58</v>
      </c>
      <c r="V276" s="23" t="s">
        <v>900</v>
      </c>
      <c r="W276" s="21">
        <v>908</v>
      </c>
      <c r="X276" s="24">
        <v>2.99</v>
      </c>
      <c r="Y276" s="25">
        <v>0.4</v>
      </c>
      <c r="Z276" s="25">
        <v>0.6</v>
      </c>
      <c r="AA276" s="22"/>
      <c r="AB276" s="22"/>
      <c r="AC276" s="23" t="s">
        <v>901</v>
      </c>
      <c r="AD276" s="17" t="s">
        <v>582</v>
      </c>
      <c r="AE276" s="17">
        <v>4.25</v>
      </c>
      <c r="AF276" s="17" t="s">
        <v>279</v>
      </c>
      <c r="AG276" s="17" t="s">
        <v>902</v>
      </c>
      <c r="AH276" t="s">
        <v>903</v>
      </c>
      <c r="AJ276" s="15"/>
      <c r="AK276" t="s">
        <v>904</v>
      </c>
    </row>
    <row r="277" spans="1:37" ht="15" hidden="1" customHeight="1" x14ac:dyDescent="0.25">
      <c r="A277" s="8">
        <v>276</v>
      </c>
      <c r="B277" s="1">
        <v>36308</v>
      </c>
      <c r="C277" s="26"/>
      <c r="D277" s="1">
        <v>449</v>
      </c>
      <c r="E277" s="1">
        <v>44901</v>
      </c>
      <c r="F277" s="1">
        <v>44901</v>
      </c>
      <c r="G277" s="27" t="s">
        <v>487</v>
      </c>
      <c r="H277" s="27" t="s">
        <v>61</v>
      </c>
      <c r="I277" s="27" t="s">
        <v>894</v>
      </c>
      <c r="J277" s="27" t="s">
        <v>279</v>
      </c>
      <c r="K277" s="27" t="s">
        <v>279</v>
      </c>
      <c r="L277" s="27" t="s">
        <v>895</v>
      </c>
      <c r="M277" s="27" t="s">
        <v>279</v>
      </c>
      <c r="N277" s="27" t="s">
        <v>895</v>
      </c>
      <c r="O277" s="27" t="s">
        <v>474</v>
      </c>
      <c r="P277" s="27" t="s">
        <v>909</v>
      </c>
      <c r="Q277" s="27" t="s">
        <v>897</v>
      </c>
      <c r="R277" s="1">
        <v>38624</v>
      </c>
      <c r="S277" s="27" t="s">
        <v>1095</v>
      </c>
      <c r="T277" s="27" t="s">
        <v>899</v>
      </c>
      <c r="U277" s="1">
        <v>58</v>
      </c>
      <c r="V277" s="27" t="s">
        <v>900</v>
      </c>
      <c r="W277" s="1">
        <v>908</v>
      </c>
      <c r="X277" s="28">
        <v>2.99</v>
      </c>
      <c r="Y277" s="29">
        <v>0.3</v>
      </c>
      <c r="Z277" s="29">
        <v>0.7</v>
      </c>
      <c r="AA277" s="26"/>
      <c r="AB277" s="26"/>
      <c r="AC277" s="27" t="s">
        <v>901</v>
      </c>
      <c r="AD277" t="s">
        <v>482</v>
      </c>
      <c r="AE277">
        <v>4.25</v>
      </c>
      <c r="AF277" t="s">
        <v>279</v>
      </c>
      <c r="AH277" t="s">
        <v>903</v>
      </c>
      <c r="AJ277" s="15"/>
      <c r="AK277" t="s">
        <v>904</v>
      </c>
    </row>
    <row r="278" spans="1:37" ht="15" hidden="1" customHeight="1" x14ac:dyDescent="0.25">
      <c r="A278" s="1">
        <v>277</v>
      </c>
      <c r="B278" s="21">
        <v>36310</v>
      </c>
      <c r="C278" s="22"/>
      <c r="D278" s="21">
        <v>449</v>
      </c>
      <c r="E278" s="21">
        <v>44902</v>
      </c>
      <c r="F278" s="21">
        <v>44902</v>
      </c>
      <c r="G278" s="23" t="s">
        <v>481</v>
      </c>
      <c r="H278" s="23" t="s">
        <v>61</v>
      </c>
      <c r="I278" s="23" t="s">
        <v>894</v>
      </c>
      <c r="J278" s="23" t="s">
        <v>279</v>
      </c>
      <c r="K278" s="23" t="s">
        <v>279</v>
      </c>
      <c r="L278" s="23" t="s">
        <v>895</v>
      </c>
      <c r="M278" s="23" t="s">
        <v>279</v>
      </c>
      <c r="N278" s="23" t="s">
        <v>895</v>
      </c>
      <c r="O278" s="23" t="s">
        <v>474</v>
      </c>
      <c r="P278" s="23" t="s">
        <v>896</v>
      </c>
      <c r="Q278" s="23" t="s">
        <v>897</v>
      </c>
      <c r="R278" s="21">
        <v>38625</v>
      </c>
      <c r="S278" s="23" t="s">
        <v>1095</v>
      </c>
      <c r="T278" s="23" t="s">
        <v>915</v>
      </c>
      <c r="U278" s="21">
        <v>11</v>
      </c>
      <c r="V278" s="23" t="s">
        <v>913</v>
      </c>
      <c r="W278" s="21">
        <v>1</v>
      </c>
      <c r="X278" s="24">
        <v>3</v>
      </c>
      <c r="Y278" s="25">
        <v>0.3</v>
      </c>
      <c r="Z278" s="25">
        <v>0.7</v>
      </c>
      <c r="AA278" s="22"/>
      <c r="AB278" s="22"/>
      <c r="AC278" s="23" t="s">
        <v>901</v>
      </c>
      <c r="AD278" s="17" t="s">
        <v>482</v>
      </c>
      <c r="AE278" s="17">
        <v>1</v>
      </c>
      <c r="AF278" s="17" t="s">
        <v>279</v>
      </c>
      <c r="AG278" s="17" t="s">
        <v>902</v>
      </c>
      <c r="AH278" t="s">
        <v>903</v>
      </c>
      <c r="AJ278" s="15"/>
      <c r="AK278" t="s">
        <v>904</v>
      </c>
    </row>
    <row r="279" spans="1:37" ht="15" hidden="1" customHeight="1" x14ac:dyDescent="0.25">
      <c r="A279" s="1">
        <v>278</v>
      </c>
      <c r="B279" s="1">
        <v>36394</v>
      </c>
      <c r="C279" s="26"/>
      <c r="D279" s="1">
        <v>447</v>
      </c>
      <c r="E279" s="1">
        <v>44701</v>
      </c>
      <c r="F279" s="1">
        <v>44701</v>
      </c>
      <c r="G279" s="27" t="s">
        <v>62</v>
      </c>
      <c r="H279" s="27" t="s">
        <v>61</v>
      </c>
      <c r="I279" s="27" t="s">
        <v>894</v>
      </c>
      <c r="J279" s="27" t="s">
        <v>279</v>
      </c>
      <c r="K279" s="27" t="s">
        <v>279</v>
      </c>
      <c r="L279" s="27" t="s">
        <v>895</v>
      </c>
      <c r="M279" s="27" t="s">
        <v>279</v>
      </c>
      <c r="N279" s="27" t="s">
        <v>895</v>
      </c>
      <c r="O279" s="27" t="s">
        <v>474</v>
      </c>
      <c r="P279" s="27" t="s">
        <v>896</v>
      </c>
      <c r="Q279" s="27" t="s">
        <v>897</v>
      </c>
      <c r="R279" s="1">
        <v>38686</v>
      </c>
      <c r="S279" s="27" t="s">
        <v>1096</v>
      </c>
      <c r="T279" s="27" t="s">
        <v>899</v>
      </c>
      <c r="U279" s="1">
        <v>58</v>
      </c>
      <c r="V279" s="27" t="s">
        <v>900</v>
      </c>
      <c r="W279" s="1">
        <v>908</v>
      </c>
      <c r="X279" s="28">
        <v>2.99</v>
      </c>
      <c r="Y279" s="32">
        <v>0.3</v>
      </c>
      <c r="Z279" s="32">
        <v>0.7</v>
      </c>
      <c r="AA279" s="26"/>
      <c r="AB279" s="26"/>
      <c r="AC279" s="27" t="s">
        <v>901</v>
      </c>
      <c r="AD279" t="s">
        <v>483</v>
      </c>
      <c r="AE279">
        <v>4.25</v>
      </c>
      <c r="AF279" t="s">
        <v>279</v>
      </c>
      <c r="AG279" t="s">
        <v>902</v>
      </c>
      <c r="AH279" t="s">
        <v>903</v>
      </c>
      <c r="AJ279" s="15">
        <f>VLOOKUP(Tabla1[[#This Row],[CPC]],[1]Sheet3!$A:$D,4,0)</f>
        <v>0.29999925067626487</v>
      </c>
      <c r="AK279" t="s">
        <v>904</v>
      </c>
    </row>
    <row r="280" spans="1:37" ht="15" hidden="1" customHeight="1" x14ac:dyDescent="0.25">
      <c r="A280" s="8">
        <v>279</v>
      </c>
      <c r="B280" s="21">
        <v>36396</v>
      </c>
      <c r="C280" s="22"/>
      <c r="D280" s="21">
        <v>447</v>
      </c>
      <c r="E280" s="21">
        <v>44702</v>
      </c>
      <c r="F280" s="21">
        <v>44702</v>
      </c>
      <c r="G280" s="23" t="s">
        <v>481</v>
      </c>
      <c r="H280" s="23" t="s">
        <v>61</v>
      </c>
      <c r="I280" s="23" t="s">
        <v>894</v>
      </c>
      <c r="J280" s="23" t="s">
        <v>279</v>
      </c>
      <c r="K280" s="23" t="s">
        <v>279</v>
      </c>
      <c r="L280" s="23" t="s">
        <v>895</v>
      </c>
      <c r="M280" s="23" t="s">
        <v>279</v>
      </c>
      <c r="N280" s="23" t="s">
        <v>895</v>
      </c>
      <c r="O280" s="23" t="s">
        <v>474</v>
      </c>
      <c r="P280" s="23" t="s">
        <v>896</v>
      </c>
      <c r="Q280" s="23" t="s">
        <v>897</v>
      </c>
      <c r="R280" s="21">
        <v>38687</v>
      </c>
      <c r="S280" s="23" t="s">
        <v>1096</v>
      </c>
      <c r="T280" s="23" t="s">
        <v>915</v>
      </c>
      <c r="U280" s="21">
        <v>11</v>
      </c>
      <c r="V280" s="23" t="s">
        <v>913</v>
      </c>
      <c r="W280" s="21">
        <v>1</v>
      </c>
      <c r="X280" s="24">
        <v>3</v>
      </c>
      <c r="Y280" s="25">
        <v>0.3</v>
      </c>
      <c r="Z280" s="25">
        <v>0.7</v>
      </c>
      <c r="AA280" s="22"/>
      <c r="AB280" s="22"/>
      <c r="AC280" s="23" t="s">
        <v>901</v>
      </c>
      <c r="AD280" s="17" t="s">
        <v>483</v>
      </c>
      <c r="AE280" s="17">
        <v>1</v>
      </c>
      <c r="AF280" s="17" t="s">
        <v>279</v>
      </c>
      <c r="AG280" s="17" t="s">
        <v>902</v>
      </c>
      <c r="AH280" t="s">
        <v>903</v>
      </c>
      <c r="AJ280" s="15"/>
      <c r="AK280" t="s">
        <v>904</v>
      </c>
    </row>
    <row r="281" spans="1:37" ht="15" hidden="1" customHeight="1" x14ac:dyDescent="0.25">
      <c r="A281" s="1">
        <v>280</v>
      </c>
      <c r="B281" s="1">
        <v>36432</v>
      </c>
      <c r="C281" s="26"/>
      <c r="D281" s="1">
        <v>467</v>
      </c>
      <c r="E281" s="1">
        <v>46715</v>
      </c>
      <c r="F281" s="1">
        <v>46715</v>
      </c>
      <c r="G281" s="27" t="s">
        <v>650</v>
      </c>
      <c r="H281" s="27" t="s">
        <v>649</v>
      </c>
      <c r="I281" s="27" t="s">
        <v>894</v>
      </c>
      <c r="J281" s="27" t="s">
        <v>280</v>
      </c>
      <c r="K281" s="27" t="s">
        <v>280</v>
      </c>
      <c r="L281" s="27" t="s">
        <v>901</v>
      </c>
      <c r="M281" s="27" t="s">
        <v>280</v>
      </c>
      <c r="N281" s="27" t="s">
        <v>901</v>
      </c>
      <c r="O281" s="27" t="s">
        <v>305</v>
      </c>
      <c r="P281" s="27" t="s">
        <v>896</v>
      </c>
      <c r="Q281" s="27" t="s">
        <v>897</v>
      </c>
      <c r="R281" s="1">
        <v>38707</v>
      </c>
      <c r="S281" s="27" t="s">
        <v>649</v>
      </c>
      <c r="T281" s="27" t="s">
        <v>971</v>
      </c>
      <c r="U281" s="1">
        <v>56</v>
      </c>
      <c r="V281" s="27" t="s">
        <v>913</v>
      </c>
      <c r="W281" s="1">
        <v>1</v>
      </c>
      <c r="X281" s="28">
        <v>1.99</v>
      </c>
      <c r="Y281" s="29">
        <v>0.21390000000000001</v>
      </c>
      <c r="Z281" s="29">
        <v>0.19390000000000002</v>
      </c>
      <c r="AA281" s="32">
        <v>0.46229999999999999</v>
      </c>
      <c r="AB281" s="32">
        <v>0.13</v>
      </c>
      <c r="AC281" s="27" t="s">
        <v>976</v>
      </c>
      <c r="AD281" t="s">
        <v>651</v>
      </c>
      <c r="AE281">
        <v>1</v>
      </c>
      <c r="AF281" t="s">
        <v>280</v>
      </c>
      <c r="AG281" t="s">
        <v>902</v>
      </c>
      <c r="AH281" t="s">
        <v>903</v>
      </c>
      <c r="AJ281" s="15"/>
      <c r="AK281" t="s">
        <v>908</v>
      </c>
    </row>
    <row r="282" spans="1:37" ht="15" hidden="1" customHeight="1" x14ac:dyDescent="0.25">
      <c r="A282" s="1">
        <v>281</v>
      </c>
      <c r="B282" s="21">
        <v>36649</v>
      </c>
      <c r="C282" s="31"/>
      <c r="D282" s="21">
        <v>444</v>
      </c>
      <c r="E282" s="21">
        <v>44401</v>
      </c>
      <c r="F282" s="21">
        <v>44401</v>
      </c>
      <c r="G282" s="23" t="s">
        <v>283</v>
      </c>
      <c r="H282" s="23" t="s">
        <v>281</v>
      </c>
      <c r="I282" s="23" t="s">
        <v>894</v>
      </c>
      <c r="J282" s="23" t="s">
        <v>50</v>
      </c>
      <c r="K282" s="23" t="s">
        <v>50</v>
      </c>
      <c r="L282" s="23" t="s">
        <v>901</v>
      </c>
      <c r="M282" s="23" t="s">
        <v>905</v>
      </c>
      <c r="N282" s="23" t="s">
        <v>50</v>
      </c>
      <c r="O282" s="23" t="s">
        <v>86</v>
      </c>
      <c r="P282" s="23" t="s">
        <v>896</v>
      </c>
      <c r="Q282" s="23" t="s">
        <v>897</v>
      </c>
      <c r="R282" s="21">
        <v>38824</v>
      </c>
      <c r="S282" s="23" t="s">
        <v>281</v>
      </c>
      <c r="T282" s="23" t="s">
        <v>917</v>
      </c>
      <c r="U282" s="21">
        <v>54</v>
      </c>
      <c r="V282" s="23" t="s">
        <v>900</v>
      </c>
      <c r="W282" s="21">
        <v>908</v>
      </c>
      <c r="X282" s="24">
        <v>0.99</v>
      </c>
      <c r="Y282" s="33">
        <v>0.5</v>
      </c>
      <c r="Z282" s="33">
        <v>0.5</v>
      </c>
      <c r="AA282" s="22"/>
      <c r="AB282" s="22"/>
      <c r="AC282" s="23" t="s">
        <v>901</v>
      </c>
      <c r="AD282" s="17" t="s">
        <v>780</v>
      </c>
      <c r="AE282" s="17">
        <v>4.25</v>
      </c>
      <c r="AF282" s="17" t="s">
        <v>861</v>
      </c>
      <c r="AG282" s="17" t="s">
        <v>1075</v>
      </c>
      <c r="AH282" t="s">
        <v>903</v>
      </c>
      <c r="AI282" t="s">
        <v>1076</v>
      </c>
      <c r="AJ282" s="15"/>
      <c r="AK282" t="s">
        <v>908</v>
      </c>
    </row>
    <row r="283" spans="1:37" ht="15" hidden="1" customHeight="1" x14ac:dyDescent="0.25">
      <c r="A283" s="8">
        <v>282</v>
      </c>
      <c r="B283" s="1">
        <v>36827</v>
      </c>
      <c r="C283" s="30"/>
      <c r="D283" s="1">
        <v>292</v>
      </c>
      <c r="E283" s="1">
        <v>29201</v>
      </c>
      <c r="F283" s="1">
        <v>29201</v>
      </c>
      <c r="G283" s="27" t="s">
        <v>187</v>
      </c>
      <c r="H283" s="27" t="s">
        <v>185</v>
      </c>
      <c r="I283" s="27" t="s">
        <v>894</v>
      </c>
      <c r="J283" s="27" t="s">
        <v>123</v>
      </c>
      <c r="K283" s="27" t="s">
        <v>123</v>
      </c>
      <c r="L283" s="27" t="s">
        <v>901</v>
      </c>
      <c r="M283" s="27" t="s">
        <v>123</v>
      </c>
      <c r="N283" s="27" t="s">
        <v>901</v>
      </c>
      <c r="O283" s="27" t="s">
        <v>325</v>
      </c>
      <c r="P283" s="27" t="s">
        <v>896</v>
      </c>
      <c r="Q283" s="27" t="s">
        <v>897</v>
      </c>
      <c r="R283" s="1">
        <v>38904</v>
      </c>
      <c r="S283" s="27" t="s">
        <v>1097</v>
      </c>
      <c r="T283" s="27" t="s">
        <v>899</v>
      </c>
      <c r="U283" s="1">
        <v>58</v>
      </c>
      <c r="V283" s="27" t="s">
        <v>900</v>
      </c>
      <c r="W283" s="1">
        <v>908</v>
      </c>
      <c r="X283" s="28">
        <v>2.99</v>
      </c>
      <c r="Y283" s="32">
        <v>0.5</v>
      </c>
      <c r="Z283" s="32">
        <v>0.5</v>
      </c>
      <c r="AA283" s="26"/>
      <c r="AB283" s="26"/>
      <c r="AC283" s="27" t="s">
        <v>901</v>
      </c>
      <c r="AD283" t="s">
        <v>373</v>
      </c>
      <c r="AE283">
        <v>4.25</v>
      </c>
      <c r="AF283" t="s">
        <v>123</v>
      </c>
      <c r="AG283" t="s">
        <v>902</v>
      </c>
      <c r="AH283" t="s">
        <v>903</v>
      </c>
      <c r="AJ283" s="15">
        <f>VLOOKUP(Tabla1[[#This Row],[CPC]],[1]Sheet3!$A:$D,4,0)</f>
        <v>0.49999990207834144</v>
      </c>
      <c r="AK283" t="s">
        <v>908</v>
      </c>
    </row>
    <row r="284" spans="1:37" ht="15" hidden="1" customHeight="1" x14ac:dyDescent="0.25">
      <c r="A284" s="1">
        <v>283</v>
      </c>
      <c r="B284" s="21">
        <v>36894</v>
      </c>
      <c r="C284" s="22"/>
      <c r="D284" s="21">
        <v>473</v>
      </c>
      <c r="E284" s="21">
        <v>47301</v>
      </c>
      <c r="F284" s="21">
        <v>47301</v>
      </c>
      <c r="G284" s="23" t="s">
        <v>128</v>
      </c>
      <c r="H284" s="23" t="s">
        <v>127</v>
      </c>
      <c r="I284" s="23" t="s">
        <v>894</v>
      </c>
      <c r="J284" s="23" t="s">
        <v>123</v>
      </c>
      <c r="K284" s="23" t="s">
        <v>123</v>
      </c>
      <c r="L284" s="23" t="s">
        <v>901</v>
      </c>
      <c r="M284" s="23" t="s">
        <v>123</v>
      </c>
      <c r="N284" s="23" t="s">
        <v>901</v>
      </c>
      <c r="O284" s="23" t="s">
        <v>325</v>
      </c>
      <c r="P284" s="23" t="s">
        <v>896</v>
      </c>
      <c r="Q284" s="23" t="s">
        <v>897</v>
      </c>
      <c r="R284" s="21">
        <v>38927</v>
      </c>
      <c r="S284" s="23" t="s">
        <v>1098</v>
      </c>
      <c r="T284" s="23" t="s">
        <v>917</v>
      </c>
      <c r="U284" s="21">
        <v>54</v>
      </c>
      <c r="V284" s="23" t="s">
        <v>913</v>
      </c>
      <c r="W284" s="21">
        <v>1</v>
      </c>
      <c r="X284" s="24">
        <v>0.99</v>
      </c>
      <c r="Y284" s="25">
        <v>0.5</v>
      </c>
      <c r="Z284" s="25">
        <v>0.5</v>
      </c>
      <c r="AA284" s="22"/>
      <c r="AB284" s="22"/>
      <c r="AC284" s="23" t="s">
        <v>901</v>
      </c>
      <c r="AD284" s="17" t="s">
        <v>369</v>
      </c>
      <c r="AE284" s="17">
        <v>1</v>
      </c>
      <c r="AF284" s="17" t="s">
        <v>123</v>
      </c>
      <c r="AG284" s="17" t="s">
        <v>902</v>
      </c>
      <c r="AH284" t="s">
        <v>903</v>
      </c>
      <c r="AJ284" s="15"/>
      <c r="AK284" t="s">
        <v>908</v>
      </c>
    </row>
    <row r="285" spans="1:37" ht="15" hidden="1" customHeight="1" x14ac:dyDescent="0.25">
      <c r="A285" s="1">
        <v>284</v>
      </c>
      <c r="B285" s="1">
        <v>36896</v>
      </c>
      <c r="C285" s="26"/>
      <c r="D285" s="1">
        <v>473</v>
      </c>
      <c r="E285" s="1">
        <v>47302</v>
      </c>
      <c r="F285" s="1">
        <v>47302</v>
      </c>
      <c r="G285" s="27" t="s">
        <v>130</v>
      </c>
      <c r="H285" s="27" t="s">
        <v>129</v>
      </c>
      <c r="I285" s="27" t="s">
        <v>894</v>
      </c>
      <c r="J285" s="27" t="s">
        <v>123</v>
      </c>
      <c r="K285" s="27" t="s">
        <v>123</v>
      </c>
      <c r="L285" s="27" t="s">
        <v>901</v>
      </c>
      <c r="M285" s="27" t="s">
        <v>123</v>
      </c>
      <c r="N285" s="27" t="s">
        <v>901</v>
      </c>
      <c r="O285" s="27" t="s">
        <v>325</v>
      </c>
      <c r="P285" s="27" t="s">
        <v>896</v>
      </c>
      <c r="Q285" s="27" t="s">
        <v>897</v>
      </c>
      <c r="R285" s="1">
        <v>38928</v>
      </c>
      <c r="S285" s="27" t="s">
        <v>1099</v>
      </c>
      <c r="T285" s="27" t="s">
        <v>971</v>
      </c>
      <c r="U285" s="1">
        <v>56</v>
      </c>
      <c r="V285" s="27" t="s">
        <v>913</v>
      </c>
      <c r="W285" s="1">
        <v>1</v>
      </c>
      <c r="X285" s="28">
        <v>1.99</v>
      </c>
      <c r="Y285" s="30"/>
      <c r="Z285" s="30"/>
      <c r="AA285" s="26"/>
      <c r="AB285" s="26"/>
      <c r="AC285" s="27" t="s">
        <v>901</v>
      </c>
      <c r="AD285" t="s">
        <v>369</v>
      </c>
      <c r="AE285">
        <v>1</v>
      </c>
      <c r="AF285" t="s">
        <v>123</v>
      </c>
      <c r="AG285" t="s">
        <v>902</v>
      </c>
      <c r="AH285" t="s">
        <v>903</v>
      </c>
      <c r="AJ285" s="15"/>
      <c r="AK285" t="s">
        <v>908</v>
      </c>
    </row>
    <row r="286" spans="1:37" ht="15" hidden="1" customHeight="1" x14ac:dyDescent="0.25">
      <c r="A286" s="8">
        <v>285</v>
      </c>
      <c r="B286" s="21">
        <v>36898</v>
      </c>
      <c r="C286" s="22"/>
      <c r="D286" s="21">
        <v>473</v>
      </c>
      <c r="E286" s="21">
        <v>47303</v>
      </c>
      <c r="F286" s="21">
        <v>47303</v>
      </c>
      <c r="G286" s="23" t="s">
        <v>132</v>
      </c>
      <c r="H286" s="23" t="s">
        <v>131</v>
      </c>
      <c r="I286" s="23" t="s">
        <v>894</v>
      </c>
      <c r="J286" s="23" t="s">
        <v>123</v>
      </c>
      <c r="K286" s="23" t="s">
        <v>123</v>
      </c>
      <c r="L286" s="23" t="s">
        <v>901</v>
      </c>
      <c r="M286" s="23" t="s">
        <v>123</v>
      </c>
      <c r="N286" s="23" t="s">
        <v>901</v>
      </c>
      <c r="O286" s="23" t="s">
        <v>325</v>
      </c>
      <c r="P286" s="23" t="s">
        <v>896</v>
      </c>
      <c r="Q286" s="23" t="s">
        <v>897</v>
      </c>
      <c r="R286" s="21">
        <v>38929</v>
      </c>
      <c r="S286" s="23" t="s">
        <v>1100</v>
      </c>
      <c r="T286" s="23" t="s">
        <v>899</v>
      </c>
      <c r="U286" s="21">
        <v>58</v>
      </c>
      <c r="V286" s="23" t="s">
        <v>913</v>
      </c>
      <c r="W286" s="21">
        <v>1</v>
      </c>
      <c r="X286" s="24">
        <v>2.99</v>
      </c>
      <c r="Y286" s="25">
        <v>0.5</v>
      </c>
      <c r="Z286" s="25">
        <v>0.5</v>
      </c>
      <c r="AA286" s="22"/>
      <c r="AB286" s="22"/>
      <c r="AC286" s="23" t="s">
        <v>901</v>
      </c>
      <c r="AD286" s="17" t="s">
        <v>369</v>
      </c>
      <c r="AE286" s="17">
        <v>1</v>
      </c>
      <c r="AF286" s="17" t="s">
        <v>123</v>
      </c>
      <c r="AG286" s="17" t="s">
        <v>902</v>
      </c>
      <c r="AH286" t="s">
        <v>903</v>
      </c>
      <c r="AJ286" s="15"/>
      <c r="AK286" t="s">
        <v>908</v>
      </c>
    </row>
    <row r="287" spans="1:37" ht="15" hidden="1" customHeight="1" x14ac:dyDescent="0.25">
      <c r="A287" s="1">
        <v>286</v>
      </c>
      <c r="B287" s="1">
        <v>36900</v>
      </c>
      <c r="C287" s="30"/>
      <c r="D287" s="1">
        <v>473</v>
      </c>
      <c r="E287" s="1">
        <v>47304</v>
      </c>
      <c r="F287" s="1">
        <v>47304</v>
      </c>
      <c r="G287" s="27" t="s">
        <v>134</v>
      </c>
      <c r="H287" s="27" t="s">
        <v>133</v>
      </c>
      <c r="I287" s="27" t="s">
        <v>894</v>
      </c>
      <c r="J287" s="27" t="s">
        <v>123</v>
      </c>
      <c r="K287" s="27" t="s">
        <v>123</v>
      </c>
      <c r="L287" s="27" t="s">
        <v>901</v>
      </c>
      <c r="M287" s="27" t="s">
        <v>123</v>
      </c>
      <c r="N287" s="27" t="s">
        <v>901</v>
      </c>
      <c r="O287" s="27" t="s">
        <v>325</v>
      </c>
      <c r="P287" s="27" t="s">
        <v>896</v>
      </c>
      <c r="Q287" s="27" t="s">
        <v>897</v>
      </c>
      <c r="R287" s="1">
        <v>38930</v>
      </c>
      <c r="S287" s="27" t="s">
        <v>1099</v>
      </c>
      <c r="T287" s="27" t="s">
        <v>986</v>
      </c>
      <c r="U287" s="1">
        <v>60</v>
      </c>
      <c r="V287" s="27" t="s">
        <v>913</v>
      </c>
      <c r="W287" s="1">
        <v>1</v>
      </c>
      <c r="X287" s="36">
        <v>3.99</v>
      </c>
      <c r="Y287" s="32">
        <v>0.5</v>
      </c>
      <c r="Z287" s="32">
        <v>0.5</v>
      </c>
      <c r="AA287" s="26"/>
      <c r="AB287" s="26"/>
      <c r="AC287" s="27" t="s">
        <v>901</v>
      </c>
      <c r="AD287" t="s">
        <v>369</v>
      </c>
      <c r="AE287">
        <v>1</v>
      </c>
      <c r="AF287" t="s">
        <v>123</v>
      </c>
      <c r="AG287" t="s">
        <v>902</v>
      </c>
      <c r="AH287" t="s">
        <v>903</v>
      </c>
      <c r="AJ287" s="15"/>
      <c r="AK287" t="s">
        <v>908</v>
      </c>
    </row>
    <row r="288" spans="1:37" ht="15" hidden="1" customHeight="1" x14ac:dyDescent="0.25">
      <c r="A288" s="1">
        <v>287</v>
      </c>
      <c r="B288" s="21">
        <v>37195</v>
      </c>
      <c r="C288" s="34">
        <v>31876</v>
      </c>
      <c r="D288" s="21">
        <v>482</v>
      </c>
      <c r="E288" s="21">
        <v>48201</v>
      </c>
      <c r="F288" s="21">
        <v>48201</v>
      </c>
      <c r="G288" s="23" t="s">
        <v>633</v>
      </c>
      <c r="H288" s="23" t="s">
        <v>61</v>
      </c>
      <c r="I288" s="23" t="s">
        <v>894</v>
      </c>
      <c r="J288" s="23" t="s">
        <v>279</v>
      </c>
      <c r="K288" s="23" t="s">
        <v>279</v>
      </c>
      <c r="L288" s="23" t="s">
        <v>925</v>
      </c>
      <c r="M288" s="23" t="s">
        <v>279</v>
      </c>
      <c r="N288" s="23" t="s">
        <v>925</v>
      </c>
      <c r="O288" s="23" t="s">
        <v>601</v>
      </c>
      <c r="P288" s="23" t="s">
        <v>896</v>
      </c>
      <c r="Q288" s="23" t="s">
        <v>897</v>
      </c>
      <c r="R288" s="21">
        <v>35014</v>
      </c>
      <c r="S288" s="23" t="s">
        <v>1006</v>
      </c>
      <c r="T288" s="23" t="s">
        <v>1090</v>
      </c>
      <c r="U288" s="21">
        <v>0</v>
      </c>
      <c r="V288" s="23" t="s">
        <v>900</v>
      </c>
      <c r="W288" s="21">
        <v>641</v>
      </c>
      <c r="X288" s="24">
        <v>0</v>
      </c>
      <c r="Y288" s="31"/>
      <c r="Z288" s="31"/>
      <c r="AA288" s="22"/>
      <c r="AB288" s="22"/>
      <c r="AC288" s="23" t="s">
        <v>901</v>
      </c>
      <c r="AD288" s="17" t="s">
        <v>611</v>
      </c>
      <c r="AE288" s="17">
        <v>4.25</v>
      </c>
      <c r="AF288" s="17" t="s">
        <v>279</v>
      </c>
      <c r="AG288" s="17"/>
      <c r="AH288" t="s">
        <v>903</v>
      </c>
      <c r="AJ288" s="15"/>
      <c r="AK288" t="s">
        <v>904</v>
      </c>
    </row>
    <row r="289" spans="1:37" ht="15" hidden="1" customHeight="1" x14ac:dyDescent="0.25">
      <c r="A289" s="8">
        <v>288</v>
      </c>
      <c r="B289" s="1">
        <v>37212</v>
      </c>
      <c r="C289" s="35">
        <v>31568</v>
      </c>
      <c r="D289" s="1">
        <v>502</v>
      </c>
      <c r="E289" s="1">
        <v>50201</v>
      </c>
      <c r="F289" s="1">
        <v>50201</v>
      </c>
      <c r="G289" s="27" t="s">
        <v>628</v>
      </c>
      <c r="H289" s="27" t="s">
        <v>61</v>
      </c>
      <c r="I289" s="27" t="s">
        <v>894</v>
      </c>
      <c r="J289" s="27" t="s">
        <v>279</v>
      </c>
      <c r="K289" s="27" t="s">
        <v>279</v>
      </c>
      <c r="L289" s="27" t="s">
        <v>895</v>
      </c>
      <c r="M289" s="27" t="s">
        <v>279</v>
      </c>
      <c r="N289" s="27" t="s">
        <v>895</v>
      </c>
      <c r="O289" s="27" t="s">
        <v>601</v>
      </c>
      <c r="P289" s="27" t="s">
        <v>896</v>
      </c>
      <c r="Q289" s="27" t="s">
        <v>897</v>
      </c>
      <c r="R289" s="1">
        <v>34787</v>
      </c>
      <c r="S289" s="27" t="s">
        <v>1029</v>
      </c>
      <c r="T289" s="27" t="s">
        <v>1090</v>
      </c>
      <c r="U289" s="1">
        <v>0</v>
      </c>
      <c r="V289" s="27" t="s">
        <v>900</v>
      </c>
      <c r="W289" s="1">
        <v>641</v>
      </c>
      <c r="X289" s="28">
        <v>0</v>
      </c>
      <c r="Y289" s="30"/>
      <c r="Z289" s="30"/>
      <c r="AA289" s="26"/>
      <c r="AB289" s="26"/>
      <c r="AC289" s="27" t="s">
        <v>901</v>
      </c>
      <c r="AD289" t="s">
        <v>629</v>
      </c>
      <c r="AE289">
        <v>4.25</v>
      </c>
      <c r="AF289" t="s">
        <v>279</v>
      </c>
      <c r="AH289" t="s">
        <v>903</v>
      </c>
      <c r="AJ289" s="15"/>
      <c r="AK289" t="s">
        <v>904</v>
      </c>
    </row>
    <row r="290" spans="1:37" ht="15" hidden="1" customHeight="1" x14ac:dyDescent="0.25">
      <c r="A290" s="1">
        <v>289</v>
      </c>
      <c r="B290" s="21">
        <v>37288</v>
      </c>
      <c r="C290" s="22"/>
      <c r="D290" s="21">
        <v>258</v>
      </c>
      <c r="E290" s="21">
        <v>25805</v>
      </c>
      <c r="F290" s="21">
        <v>25805</v>
      </c>
      <c r="G290" s="23" t="s">
        <v>172</v>
      </c>
      <c r="H290" s="23" t="s">
        <v>170</v>
      </c>
      <c r="I290" s="23" t="s">
        <v>894</v>
      </c>
      <c r="J290" s="23" t="s">
        <v>123</v>
      </c>
      <c r="K290" s="23" t="s">
        <v>123</v>
      </c>
      <c r="L290" s="23" t="s">
        <v>901</v>
      </c>
      <c r="M290" s="23" t="s">
        <v>123</v>
      </c>
      <c r="N290" s="23" t="s">
        <v>901</v>
      </c>
      <c r="O290" s="23" t="s">
        <v>364</v>
      </c>
      <c r="P290" s="23" t="s">
        <v>896</v>
      </c>
      <c r="Q290" s="23" t="s">
        <v>897</v>
      </c>
      <c r="R290" s="21">
        <v>39024</v>
      </c>
      <c r="S290" s="23" t="s">
        <v>170</v>
      </c>
      <c r="T290" s="23" t="s">
        <v>1101</v>
      </c>
      <c r="U290" s="21">
        <v>72</v>
      </c>
      <c r="V290" s="23" t="s">
        <v>913</v>
      </c>
      <c r="W290" s="21">
        <v>1</v>
      </c>
      <c r="X290" s="24">
        <v>9.99</v>
      </c>
      <c r="Y290" s="25">
        <v>0.5</v>
      </c>
      <c r="Z290" s="25">
        <v>0.5</v>
      </c>
      <c r="AA290" s="22"/>
      <c r="AB290" s="22"/>
      <c r="AC290" s="23" t="s">
        <v>901</v>
      </c>
      <c r="AD290" s="17" t="s">
        <v>365</v>
      </c>
      <c r="AE290" s="17">
        <v>1</v>
      </c>
      <c r="AF290" s="17" t="s">
        <v>123</v>
      </c>
      <c r="AG290" s="17" t="s">
        <v>902</v>
      </c>
      <c r="AH290" t="s">
        <v>903</v>
      </c>
      <c r="AJ290" s="15">
        <f>VLOOKUP(Tabla1[[#This Row],[CPC]],[1]Sheet3!$A:$D,4,0)</f>
        <v>0.5002275002275004</v>
      </c>
      <c r="AK290" t="s">
        <v>908</v>
      </c>
    </row>
    <row r="291" spans="1:37" ht="15" hidden="1" customHeight="1" x14ac:dyDescent="0.25">
      <c r="A291" s="1">
        <v>290</v>
      </c>
      <c r="B291" s="1">
        <v>37290</v>
      </c>
      <c r="C291" s="26"/>
      <c r="D291" s="1">
        <v>258</v>
      </c>
      <c r="E291" s="1">
        <v>25806</v>
      </c>
      <c r="F291" s="1">
        <v>25806</v>
      </c>
      <c r="G291" s="27" t="s">
        <v>172</v>
      </c>
      <c r="H291" s="27" t="s">
        <v>170</v>
      </c>
      <c r="I291" s="27" t="s">
        <v>894</v>
      </c>
      <c r="J291" s="27" t="s">
        <v>123</v>
      </c>
      <c r="K291" s="27" t="s">
        <v>123</v>
      </c>
      <c r="L291" s="27" t="s">
        <v>901</v>
      </c>
      <c r="M291" s="27" t="s">
        <v>123</v>
      </c>
      <c r="N291" s="27" t="s">
        <v>901</v>
      </c>
      <c r="O291" s="27" t="s">
        <v>364</v>
      </c>
      <c r="P291" s="27" t="s">
        <v>896</v>
      </c>
      <c r="Q291" s="27" t="s">
        <v>897</v>
      </c>
      <c r="R291" s="1">
        <v>39025</v>
      </c>
      <c r="S291" s="27" t="s">
        <v>170</v>
      </c>
      <c r="T291" s="27" t="s">
        <v>1102</v>
      </c>
      <c r="U291" s="1">
        <v>82</v>
      </c>
      <c r="V291" s="27" t="s">
        <v>913</v>
      </c>
      <c r="W291" s="1">
        <v>1</v>
      </c>
      <c r="X291" s="28">
        <v>14.99</v>
      </c>
      <c r="Y291" s="29">
        <v>0.5</v>
      </c>
      <c r="Z291" s="29">
        <v>0.5</v>
      </c>
      <c r="AA291" s="26"/>
      <c r="AB291" s="26"/>
      <c r="AC291" s="27" t="s">
        <v>901</v>
      </c>
      <c r="AD291" t="s">
        <v>365</v>
      </c>
      <c r="AE291">
        <v>1</v>
      </c>
      <c r="AF291" t="s">
        <v>123</v>
      </c>
      <c r="AG291" t="s">
        <v>902</v>
      </c>
      <c r="AH291" t="s">
        <v>903</v>
      </c>
      <c r="AJ291" s="15">
        <f>VLOOKUP(Tabla1[[#This Row],[CPC]],[1]Sheet3!$A:$D,4,0)</f>
        <v>0.50033355570380256</v>
      </c>
      <c r="AK291" t="s">
        <v>908</v>
      </c>
    </row>
    <row r="292" spans="1:37" ht="15" hidden="1" customHeight="1" x14ac:dyDescent="0.25">
      <c r="A292" s="8">
        <v>291</v>
      </c>
      <c r="B292" s="21">
        <v>37448</v>
      </c>
      <c r="C292" s="22"/>
      <c r="D292" s="21">
        <v>213</v>
      </c>
      <c r="E292" s="21">
        <v>67</v>
      </c>
      <c r="F292" s="21">
        <v>21367</v>
      </c>
      <c r="G292" s="23" t="s">
        <v>205</v>
      </c>
      <c r="H292" s="23" t="s">
        <v>203</v>
      </c>
      <c r="I292" s="23" t="s">
        <v>894</v>
      </c>
      <c r="J292" s="23" t="s">
        <v>123</v>
      </c>
      <c r="K292" s="23" t="s">
        <v>123</v>
      </c>
      <c r="L292" s="23" t="s">
        <v>901</v>
      </c>
      <c r="M292" s="23" t="s">
        <v>123</v>
      </c>
      <c r="N292" s="23" t="s">
        <v>901</v>
      </c>
      <c r="O292" s="23" t="s">
        <v>364</v>
      </c>
      <c r="P292" s="23" t="s">
        <v>896</v>
      </c>
      <c r="Q292" s="23" t="s">
        <v>897</v>
      </c>
      <c r="R292" s="21">
        <v>39124</v>
      </c>
      <c r="S292" s="23" t="s">
        <v>203</v>
      </c>
      <c r="T292" s="23" t="s">
        <v>1042</v>
      </c>
      <c r="U292" s="21">
        <v>55</v>
      </c>
      <c r="V292" s="23" t="s">
        <v>900</v>
      </c>
      <c r="W292" s="21">
        <v>908</v>
      </c>
      <c r="X292" s="24">
        <v>1.49</v>
      </c>
      <c r="Y292" s="25">
        <v>0.5</v>
      </c>
      <c r="Z292" s="25">
        <v>0.5</v>
      </c>
      <c r="AA292" s="22"/>
      <c r="AB292" s="22"/>
      <c r="AC292" s="23" t="s">
        <v>901</v>
      </c>
      <c r="AD292" s="17" t="s">
        <v>367</v>
      </c>
      <c r="AE292" s="17">
        <v>4.25</v>
      </c>
      <c r="AF292" s="17" t="s">
        <v>123</v>
      </c>
      <c r="AG292" s="17" t="s">
        <v>902</v>
      </c>
      <c r="AH292" t="s">
        <v>903</v>
      </c>
      <c r="AJ292" s="15">
        <f>VLOOKUP(Tabla1[[#This Row],[CPC]],[1]Sheet3!$A:$D,4,0)</f>
        <v>0.50000348724352406</v>
      </c>
      <c r="AK292" t="s">
        <v>908</v>
      </c>
    </row>
    <row r="293" spans="1:37" ht="15" hidden="1" customHeight="1" x14ac:dyDescent="0.25">
      <c r="A293" s="1">
        <v>292</v>
      </c>
      <c r="B293" s="1">
        <v>37449</v>
      </c>
      <c r="C293" s="35">
        <v>37448</v>
      </c>
      <c r="D293" s="1">
        <v>213</v>
      </c>
      <c r="E293" s="1">
        <v>68</v>
      </c>
      <c r="F293" s="1">
        <v>21368</v>
      </c>
      <c r="G293" s="27" t="s">
        <v>204</v>
      </c>
      <c r="H293" s="27" t="s">
        <v>203</v>
      </c>
      <c r="I293" s="27" t="s">
        <v>894</v>
      </c>
      <c r="J293" s="27" t="s">
        <v>123</v>
      </c>
      <c r="K293" s="27" t="s">
        <v>123</v>
      </c>
      <c r="L293" s="27" t="s">
        <v>901</v>
      </c>
      <c r="M293" s="27" t="s">
        <v>123</v>
      </c>
      <c r="N293" s="27" t="s">
        <v>901</v>
      </c>
      <c r="O293" s="27" t="s">
        <v>364</v>
      </c>
      <c r="P293" s="27" t="s">
        <v>896</v>
      </c>
      <c r="Q293" s="27" t="s">
        <v>897</v>
      </c>
      <c r="R293" s="1">
        <v>39124</v>
      </c>
      <c r="S293" s="27" t="s">
        <v>203</v>
      </c>
      <c r="T293" s="27" t="s">
        <v>1090</v>
      </c>
      <c r="U293" s="1">
        <v>0</v>
      </c>
      <c r="V293" s="27" t="s">
        <v>900</v>
      </c>
      <c r="W293" s="1">
        <v>641</v>
      </c>
      <c r="X293" s="30"/>
      <c r="Y293" s="30"/>
      <c r="Z293" s="30"/>
      <c r="AA293" s="26"/>
      <c r="AB293" s="26"/>
      <c r="AC293" s="27" t="s">
        <v>901</v>
      </c>
      <c r="AD293" t="s">
        <v>367</v>
      </c>
      <c r="AE293">
        <v>4.25</v>
      </c>
      <c r="AF293" t="s">
        <v>123</v>
      </c>
      <c r="AG293" t="s">
        <v>902</v>
      </c>
      <c r="AH293" t="s">
        <v>903</v>
      </c>
      <c r="AJ293" s="15"/>
      <c r="AK293" t="s">
        <v>908</v>
      </c>
    </row>
    <row r="294" spans="1:37" ht="15" hidden="1" customHeight="1" x14ac:dyDescent="0.25">
      <c r="A294" s="1">
        <v>293</v>
      </c>
      <c r="B294" s="21">
        <v>37508</v>
      </c>
      <c r="C294" s="22"/>
      <c r="D294" s="21">
        <v>597</v>
      </c>
      <c r="E294" s="21">
        <v>59701</v>
      </c>
      <c r="F294" s="21">
        <v>59701</v>
      </c>
      <c r="G294" s="23" t="s">
        <v>62</v>
      </c>
      <c r="H294" s="23" t="s">
        <v>61</v>
      </c>
      <c r="I294" s="23" t="s">
        <v>894</v>
      </c>
      <c r="J294" s="23" t="s">
        <v>279</v>
      </c>
      <c r="K294" s="23" t="s">
        <v>279</v>
      </c>
      <c r="L294" s="23" t="s">
        <v>922</v>
      </c>
      <c r="M294" s="23" t="s">
        <v>279</v>
      </c>
      <c r="N294" s="23" t="s">
        <v>922</v>
      </c>
      <c r="O294" s="23" t="s">
        <v>346</v>
      </c>
      <c r="P294" s="23" t="s">
        <v>909</v>
      </c>
      <c r="Q294" s="23" t="s">
        <v>897</v>
      </c>
      <c r="R294" s="21">
        <v>39164</v>
      </c>
      <c r="S294" s="23" t="s">
        <v>1103</v>
      </c>
      <c r="T294" s="23" t="s">
        <v>899</v>
      </c>
      <c r="U294" s="21">
        <v>58</v>
      </c>
      <c r="V294" s="23" t="s">
        <v>900</v>
      </c>
      <c r="W294" s="21">
        <v>908</v>
      </c>
      <c r="X294" s="24">
        <v>2.99</v>
      </c>
      <c r="Y294" s="25">
        <v>0.3</v>
      </c>
      <c r="Z294" s="25">
        <v>0.7</v>
      </c>
      <c r="AA294" s="22"/>
      <c r="AB294" s="22"/>
      <c r="AC294" s="23" t="s">
        <v>901</v>
      </c>
      <c r="AD294" s="17" t="s">
        <v>569</v>
      </c>
      <c r="AE294" s="17">
        <v>4.25</v>
      </c>
      <c r="AF294" s="17" t="s">
        <v>279</v>
      </c>
      <c r="AG294" s="17"/>
      <c r="AH294" t="s">
        <v>903</v>
      </c>
      <c r="AJ294" s="15"/>
      <c r="AK294" t="s">
        <v>904</v>
      </c>
    </row>
    <row r="295" spans="1:37" ht="15" hidden="1" customHeight="1" x14ac:dyDescent="0.25">
      <c r="A295" s="8">
        <v>294</v>
      </c>
      <c r="B295" s="1">
        <v>37512</v>
      </c>
      <c r="C295" s="26"/>
      <c r="D295" s="1">
        <v>598</v>
      </c>
      <c r="E295" s="1">
        <v>59801</v>
      </c>
      <c r="F295" s="1">
        <v>59801</v>
      </c>
      <c r="G295" s="27" t="s">
        <v>62</v>
      </c>
      <c r="H295" s="27" t="s">
        <v>61</v>
      </c>
      <c r="I295" s="27" t="s">
        <v>894</v>
      </c>
      <c r="J295" s="27" t="s">
        <v>279</v>
      </c>
      <c r="K295" s="27" t="s">
        <v>279</v>
      </c>
      <c r="L295" s="27" t="s">
        <v>922</v>
      </c>
      <c r="M295" s="27" t="s">
        <v>279</v>
      </c>
      <c r="N295" s="27" t="s">
        <v>922</v>
      </c>
      <c r="O295" s="27" t="s">
        <v>346</v>
      </c>
      <c r="P295" s="27" t="s">
        <v>909</v>
      </c>
      <c r="Q295" s="27" t="s">
        <v>897</v>
      </c>
      <c r="R295" s="1">
        <v>39165</v>
      </c>
      <c r="S295" s="27" t="s">
        <v>1104</v>
      </c>
      <c r="T295" s="27" t="s">
        <v>924</v>
      </c>
      <c r="U295" s="1">
        <v>12</v>
      </c>
      <c r="V295" s="27" t="s">
        <v>900</v>
      </c>
      <c r="W295" s="1">
        <v>908</v>
      </c>
      <c r="X295" s="28">
        <v>5</v>
      </c>
      <c r="Y295" s="29">
        <v>0.3</v>
      </c>
      <c r="Z295" s="29">
        <v>0.7</v>
      </c>
      <c r="AA295" s="26"/>
      <c r="AB295" s="26"/>
      <c r="AC295" s="27" t="s">
        <v>901</v>
      </c>
      <c r="AD295" t="s">
        <v>569</v>
      </c>
      <c r="AE295">
        <v>4.25</v>
      </c>
      <c r="AF295" t="s">
        <v>279</v>
      </c>
      <c r="AH295" t="s">
        <v>903</v>
      </c>
      <c r="AJ295" s="15"/>
      <c r="AK295" t="s">
        <v>904</v>
      </c>
    </row>
    <row r="296" spans="1:37" ht="15" hidden="1" customHeight="1" x14ac:dyDescent="0.25">
      <c r="A296" s="1">
        <v>295</v>
      </c>
      <c r="B296" s="21">
        <v>37516</v>
      </c>
      <c r="C296" s="22"/>
      <c r="D296" s="21">
        <v>589</v>
      </c>
      <c r="E296" s="21">
        <v>58901</v>
      </c>
      <c r="F296" s="21">
        <v>58901</v>
      </c>
      <c r="G296" s="23" t="s">
        <v>62</v>
      </c>
      <c r="H296" s="23" t="s">
        <v>61</v>
      </c>
      <c r="I296" s="23" t="s">
        <v>894</v>
      </c>
      <c r="J296" s="23" t="s">
        <v>279</v>
      </c>
      <c r="K296" s="23" t="s">
        <v>279</v>
      </c>
      <c r="L296" s="23" t="s">
        <v>922</v>
      </c>
      <c r="M296" s="23" t="s">
        <v>279</v>
      </c>
      <c r="N296" s="23" t="s">
        <v>922</v>
      </c>
      <c r="O296" s="23" t="s">
        <v>346</v>
      </c>
      <c r="P296" s="23" t="s">
        <v>909</v>
      </c>
      <c r="Q296" s="23" t="s">
        <v>897</v>
      </c>
      <c r="R296" s="21">
        <v>39166</v>
      </c>
      <c r="S296" s="23" t="s">
        <v>1105</v>
      </c>
      <c r="T296" s="23" t="s">
        <v>899</v>
      </c>
      <c r="U296" s="21">
        <v>58</v>
      </c>
      <c r="V296" s="23" t="s">
        <v>900</v>
      </c>
      <c r="W296" s="21">
        <v>908</v>
      </c>
      <c r="X296" s="24">
        <v>2.99</v>
      </c>
      <c r="Y296" s="25">
        <v>0.3</v>
      </c>
      <c r="Z296" s="25">
        <v>0.7</v>
      </c>
      <c r="AA296" s="22"/>
      <c r="AB296" s="22"/>
      <c r="AC296" s="23" t="s">
        <v>901</v>
      </c>
      <c r="AD296" s="17" t="s">
        <v>569</v>
      </c>
      <c r="AE296" s="17">
        <v>4.25</v>
      </c>
      <c r="AF296" s="17" t="s">
        <v>279</v>
      </c>
      <c r="AG296" s="17"/>
      <c r="AH296" t="s">
        <v>903</v>
      </c>
      <c r="AJ296" s="15"/>
      <c r="AK296" t="s">
        <v>904</v>
      </c>
    </row>
    <row r="297" spans="1:37" ht="15" hidden="1" customHeight="1" x14ac:dyDescent="0.25">
      <c r="A297" s="1">
        <v>296</v>
      </c>
      <c r="B297" s="1">
        <v>37841</v>
      </c>
      <c r="C297" s="26"/>
      <c r="D297" s="1">
        <v>236</v>
      </c>
      <c r="E297" s="1">
        <v>94</v>
      </c>
      <c r="F297" s="1">
        <v>94</v>
      </c>
      <c r="G297" s="27" t="s">
        <v>48</v>
      </c>
      <c r="H297" s="27" t="s">
        <v>227</v>
      </c>
      <c r="I297" s="27" t="s">
        <v>894</v>
      </c>
      <c r="J297" s="27" t="s">
        <v>123</v>
      </c>
      <c r="K297" s="27" t="s">
        <v>123</v>
      </c>
      <c r="L297" s="27" t="s">
        <v>901</v>
      </c>
      <c r="M297" s="27" t="s">
        <v>123</v>
      </c>
      <c r="N297" s="27" t="s">
        <v>901</v>
      </c>
      <c r="O297" s="27" t="s">
        <v>122</v>
      </c>
      <c r="P297" s="27" t="s">
        <v>896</v>
      </c>
      <c r="Q297" s="27" t="s">
        <v>897</v>
      </c>
      <c r="R297" s="1">
        <v>39369</v>
      </c>
      <c r="S297" s="27" t="s">
        <v>1106</v>
      </c>
      <c r="T297" s="27" t="s">
        <v>899</v>
      </c>
      <c r="U297" s="1">
        <v>58</v>
      </c>
      <c r="V297" s="27" t="s">
        <v>900</v>
      </c>
      <c r="W297" s="1">
        <v>908</v>
      </c>
      <c r="X297" s="28">
        <v>2.99</v>
      </c>
      <c r="Y297" s="32">
        <v>0.55000000000000004</v>
      </c>
      <c r="Z297" s="32">
        <v>0.45</v>
      </c>
      <c r="AA297" s="26"/>
      <c r="AB297" s="26"/>
      <c r="AC297" s="27" t="s">
        <v>901</v>
      </c>
      <c r="AD297" t="s">
        <v>359</v>
      </c>
      <c r="AE297">
        <v>4.25</v>
      </c>
      <c r="AF297" t="s">
        <v>123</v>
      </c>
      <c r="AG297" t="s">
        <v>1040</v>
      </c>
      <c r="AH297" t="s">
        <v>903</v>
      </c>
      <c r="AJ297" s="15">
        <f>VLOOKUP(Tabla1[[#This Row],[CPC]],[1]Sheet3!$A:$D,4,0)</f>
        <v>0.55000811161583496</v>
      </c>
      <c r="AK297" t="s">
        <v>908</v>
      </c>
    </row>
    <row r="298" spans="1:37" ht="15" hidden="1" customHeight="1" x14ac:dyDescent="0.25">
      <c r="A298" s="8">
        <v>297</v>
      </c>
      <c r="B298" s="21">
        <v>37843</v>
      </c>
      <c r="C298" s="22"/>
      <c r="D298" s="21">
        <v>233</v>
      </c>
      <c r="E298" s="21">
        <v>91</v>
      </c>
      <c r="F298" s="21">
        <v>91</v>
      </c>
      <c r="G298" s="23" t="s">
        <v>48</v>
      </c>
      <c r="H298" s="23" t="s">
        <v>47</v>
      </c>
      <c r="I298" s="23" t="s">
        <v>894</v>
      </c>
      <c r="J298" s="23" t="s">
        <v>43</v>
      </c>
      <c r="K298" s="23" t="s">
        <v>36</v>
      </c>
      <c r="L298" s="23" t="s">
        <v>901</v>
      </c>
      <c r="M298" s="23" t="s">
        <v>905</v>
      </c>
      <c r="N298" s="23" t="s">
        <v>36</v>
      </c>
      <c r="O298" s="23" t="s">
        <v>122</v>
      </c>
      <c r="P298" s="23" t="s">
        <v>896</v>
      </c>
      <c r="Q298" s="23" t="s">
        <v>897</v>
      </c>
      <c r="R298" s="21">
        <v>39370</v>
      </c>
      <c r="S298" s="23" t="s">
        <v>1107</v>
      </c>
      <c r="T298" s="23" t="s">
        <v>971</v>
      </c>
      <c r="U298" s="21">
        <v>56</v>
      </c>
      <c r="V298" s="23" t="s">
        <v>900</v>
      </c>
      <c r="W298" s="21">
        <v>908</v>
      </c>
      <c r="X298" s="24">
        <v>1.99</v>
      </c>
      <c r="Y298" s="25">
        <v>0.5</v>
      </c>
      <c r="Z298" s="25">
        <v>0.5</v>
      </c>
      <c r="AA298" s="22"/>
      <c r="AB298" s="22"/>
      <c r="AC298" s="23" t="s">
        <v>901</v>
      </c>
      <c r="AD298" s="17" t="s">
        <v>332</v>
      </c>
      <c r="AE298" s="17">
        <v>4.25</v>
      </c>
      <c r="AF298" s="17" t="s">
        <v>43</v>
      </c>
      <c r="AG298" s="17" t="s">
        <v>1040</v>
      </c>
      <c r="AH298" t="s">
        <v>903</v>
      </c>
      <c r="AJ298" s="15"/>
      <c r="AK298" t="s">
        <v>908</v>
      </c>
    </row>
    <row r="299" spans="1:37" ht="15" hidden="1" customHeight="1" x14ac:dyDescent="0.25">
      <c r="A299" s="1">
        <v>298</v>
      </c>
      <c r="B299" s="1">
        <v>37863</v>
      </c>
      <c r="C299" s="26"/>
      <c r="D299" s="1">
        <v>573</v>
      </c>
      <c r="E299" s="1">
        <v>57301</v>
      </c>
      <c r="F299" s="1">
        <v>57301</v>
      </c>
      <c r="G299" s="27" t="s">
        <v>48</v>
      </c>
      <c r="H299" s="27" t="s">
        <v>61</v>
      </c>
      <c r="I299" s="27" t="s">
        <v>894</v>
      </c>
      <c r="J299" s="27" t="s">
        <v>279</v>
      </c>
      <c r="K299" s="27" t="s">
        <v>279</v>
      </c>
      <c r="L299" s="27" t="s">
        <v>895</v>
      </c>
      <c r="M299" s="27" t="s">
        <v>279</v>
      </c>
      <c r="N299" s="27" t="s">
        <v>895</v>
      </c>
      <c r="O299" s="27" t="s">
        <v>497</v>
      </c>
      <c r="P299" s="27" t="s">
        <v>896</v>
      </c>
      <c r="Q299" s="27" t="s">
        <v>897</v>
      </c>
      <c r="R299" s="1">
        <v>39390</v>
      </c>
      <c r="S299" s="27" t="s">
        <v>1108</v>
      </c>
      <c r="T299" s="27" t="s">
        <v>899</v>
      </c>
      <c r="U299" s="1">
        <v>58</v>
      </c>
      <c r="V299" s="27" t="s">
        <v>900</v>
      </c>
      <c r="W299" s="1">
        <v>908</v>
      </c>
      <c r="X299" s="28">
        <v>2.99</v>
      </c>
      <c r="Y299" s="29">
        <v>0.3</v>
      </c>
      <c r="Z299" s="29">
        <v>0.7</v>
      </c>
      <c r="AA299" s="26"/>
      <c r="AB299" s="26"/>
      <c r="AC299" s="27" t="s">
        <v>901</v>
      </c>
      <c r="AD299" t="s">
        <v>498</v>
      </c>
      <c r="AE299">
        <v>4.25</v>
      </c>
      <c r="AF299" t="s">
        <v>279</v>
      </c>
      <c r="AH299" t="s">
        <v>903</v>
      </c>
      <c r="AJ299" s="15"/>
      <c r="AK299" t="s">
        <v>908</v>
      </c>
    </row>
    <row r="300" spans="1:37" ht="15" hidden="1" customHeight="1" x14ac:dyDescent="0.25">
      <c r="A300" s="1">
        <v>299</v>
      </c>
      <c r="B300" s="21">
        <v>37922</v>
      </c>
      <c r="C300" s="22"/>
      <c r="D300" s="21">
        <v>360</v>
      </c>
      <c r="E300" s="21">
        <v>3601</v>
      </c>
      <c r="F300" s="21">
        <v>3601</v>
      </c>
      <c r="G300" s="23" t="s">
        <v>188</v>
      </c>
      <c r="H300" s="23" t="s">
        <v>188</v>
      </c>
      <c r="I300" s="23" t="s">
        <v>894</v>
      </c>
      <c r="J300" s="23" t="s">
        <v>123</v>
      </c>
      <c r="K300" s="23" t="s">
        <v>123</v>
      </c>
      <c r="L300" s="23" t="s">
        <v>901</v>
      </c>
      <c r="M300" s="23" t="s">
        <v>123</v>
      </c>
      <c r="N300" s="23" t="s">
        <v>901</v>
      </c>
      <c r="O300" s="23" t="s">
        <v>325</v>
      </c>
      <c r="P300" s="23" t="s">
        <v>896</v>
      </c>
      <c r="Q300" s="23" t="s">
        <v>897</v>
      </c>
      <c r="R300" s="21">
        <v>39450</v>
      </c>
      <c r="S300" s="23" t="s">
        <v>1109</v>
      </c>
      <c r="T300" s="23" t="s">
        <v>1110</v>
      </c>
      <c r="U300" s="21">
        <v>15</v>
      </c>
      <c r="V300" s="23" t="s">
        <v>913</v>
      </c>
      <c r="W300" s="21">
        <v>1</v>
      </c>
      <c r="X300" s="24">
        <v>0.75</v>
      </c>
      <c r="Y300" s="25">
        <v>0.5</v>
      </c>
      <c r="Z300" s="25">
        <v>0.5</v>
      </c>
      <c r="AA300" s="22"/>
      <c r="AB300" s="22"/>
      <c r="AC300" s="23" t="s">
        <v>901</v>
      </c>
      <c r="AD300" s="17" t="s">
        <v>372</v>
      </c>
      <c r="AE300" s="17">
        <v>1</v>
      </c>
      <c r="AF300" s="17" t="s">
        <v>123</v>
      </c>
      <c r="AG300" s="17" t="s">
        <v>902</v>
      </c>
      <c r="AH300" t="s">
        <v>903</v>
      </c>
      <c r="AJ300" s="15"/>
      <c r="AK300" t="s">
        <v>908</v>
      </c>
    </row>
    <row r="301" spans="1:37" ht="15" hidden="1" customHeight="1" x14ac:dyDescent="0.25">
      <c r="A301" s="8">
        <v>300</v>
      </c>
      <c r="B301" s="1">
        <v>37924</v>
      </c>
      <c r="C301" s="26"/>
      <c r="D301" s="1">
        <v>360</v>
      </c>
      <c r="E301" s="1">
        <v>3602</v>
      </c>
      <c r="F301" s="1">
        <v>3602</v>
      </c>
      <c r="G301" s="27" t="s">
        <v>189</v>
      </c>
      <c r="H301" s="27" t="s">
        <v>189</v>
      </c>
      <c r="I301" s="27" t="s">
        <v>894</v>
      </c>
      <c r="J301" s="27" t="s">
        <v>123</v>
      </c>
      <c r="K301" s="27" t="s">
        <v>123</v>
      </c>
      <c r="L301" s="27" t="s">
        <v>901</v>
      </c>
      <c r="M301" s="27" t="s">
        <v>123</v>
      </c>
      <c r="N301" s="27" t="s">
        <v>901</v>
      </c>
      <c r="O301" s="27" t="s">
        <v>325</v>
      </c>
      <c r="P301" s="27" t="s">
        <v>896</v>
      </c>
      <c r="Q301" s="27" t="s">
        <v>897</v>
      </c>
      <c r="R301" s="1">
        <v>39451</v>
      </c>
      <c r="S301" s="27" t="s">
        <v>1109</v>
      </c>
      <c r="T301" s="27" t="s">
        <v>917</v>
      </c>
      <c r="U301" s="1">
        <v>54</v>
      </c>
      <c r="V301" s="27" t="s">
        <v>913</v>
      </c>
      <c r="W301" s="1">
        <v>1</v>
      </c>
      <c r="X301" s="28">
        <v>0.99</v>
      </c>
      <c r="Y301" s="29">
        <v>0.5</v>
      </c>
      <c r="Z301" s="29">
        <v>0.5</v>
      </c>
      <c r="AA301" s="26"/>
      <c r="AB301" s="26"/>
      <c r="AC301" s="27" t="s">
        <v>901</v>
      </c>
      <c r="AD301" t="s">
        <v>372</v>
      </c>
      <c r="AE301">
        <v>1</v>
      </c>
      <c r="AF301" t="s">
        <v>123</v>
      </c>
      <c r="AG301" t="s">
        <v>902</v>
      </c>
      <c r="AH301" t="s">
        <v>903</v>
      </c>
      <c r="AJ301" s="15"/>
      <c r="AK301" t="s">
        <v>908</v>
      </c>
    </row>
    <row r="302" spans="1:37" ht="15" hidden="1" customHeight="1" x14ac:dyDescent="0.25">
      <c r="A302" s="1">
        <v>301</v>
      </c>
      <c r="B302" s="21">
        <v>37941</v>
      </c>
      <c r="C302" s="22"/>
      <c r="D302" s="21">
        <v>360</v>
      </c>
      <c r="E302" s="21">
        <v>3603</v>
      </c>
      <c r="F302" s="21">
        <v>3603</v>
      </c>
      <c r="G302" s="23" t="s">
        <v>190</v>
      </c>
      <c r="H302" s="23" t="s">
        <v>190</v>
      </c>
      <c r="I302" s="23" t="s">
        <v>894</v>
      </c>
      <c r="J302" s="23" t="s">
        <v>123</v>
      </c>
      <c r="K302" s="23" t="s">
        <v>123</v>
      </c>
      <c r="L302" s="23" t="s">
        <v>901</v>
      </c>
      <c r="M302" s="23" t="s">
        <v>123</v>
      </c>
      <c r="N302" s="23" t="s">
        <v>901</v>
      </c>
      <c r="O302" s="23" t="s">
        <v>325</v>
      </c>
      <c r="P302" s="23" t="s">
        <v>896</v>
      </c>
      <c r="Q302" s="23" t="s">
        <v>897</v>
      </c>
      <c r="R302" s="21">
        <v>39469</v>
      </c>
      <c r="S302" s="23" t="s">
        <v>1109</v>
      </c>
      <c r="T302" s="23" t="s">
        <v>971</v>
      </c>
      <c r="U302" s="21">
        <v>56</v>
      </c>
      <c r="V302" s="23" t="s">
        <v>913</v>
      </c>
      <c r="W302" s="21">
        <v>1</v>
      </c>
      <c r="X302" s="24">
        <v>1.99</v>
      </c>
      <c r="Y302" s="33">
        <v>0.5</v>
      </c>
      <c r="Z302" s="33">
        <v>0.5</v>
      </c>
      <c r="AA302" s="22"/>
      <c r="AB302" s="22"/>
      <c r="AC302" s="23" t="s">
        <v>901</v>
      </c>
      <c r="AD302" s="17" t="s">
        <v>372</v>
      </c>
      <c r="AE302" s="17">
        <v>1</v>
      </c>
      <c r="AF302" s="17" t="s">
        <v>123</v>
      </c>
      <c r="AG302" s="17" t="s">
        <v>902</v>
      </c>
      <c r="AH302" t="s">
        <v>903</v>
      </c>
      <c r="AJ302" s="15"/>
      <c r="AK302" t="s">
        <v>908</v>
      </c>
    </row>
    <row r="303" spans="1:37" ht="15" hidden="1" customHeight="1" x14ac:dyDescent="0.25">
      <c r="A303" s="1">
        <v>302</v>
      </c>
      <c r="B303" s="1">
        <v>37943</v>
      </c>
      <c r="C303" s="26"/>
      <c r="D303" s="1">
        <v>360</v>
      </c>
      <c r="E303" s="1">
        <v>3604</v>
      </c>
      <c r="F303" s="1">
        <v>3604</v>
      </c>
      <c r="G303" s="27" t="s">
        <v>191</v>
      </c>
      <c r="H303" s="27" t="s">
        <v>191</v>
      </c>
      <c r="I303" s="27" t="s">
        <v>894</v>
      </c>
      <c r="J303" s="27" t="s">
        <v>123</v>
      </c>
      <c r="K303" s="27" t="s">
        <v>123</v>
      </c>
      <c r="L303" s="27" t="s">
        <v>901</v>
      </c>
      <c r="M303" s="27" t="s">
        <v>123</v>
      </c>
      <c r="N303" s="27" t="s">
        <v>901</v>
      </c>
      <c r="O303" s="27" t="s">
        <v>325</v>
      </c>
      <c r="P303" s="27" t="s">
        <v>896</v>
      </c>
      <c r="Q303" s="27" t="s">
        <v>897</v>
      </c>
      <c r="R303" s="1">
        <v>39470</v>
      </c>
      <c r="S303" s="27" t="s">
        <v>1109</v>
      </c>
      <c r="T303" s="27" t="s">
        <v>1111</v>
      </c>
      <c r="U303" s="1">
        <v>57</v>
      </c>
      <c r="V303" s="27" t="s">
        <v>913</v>
      </c>
      <c r="W303" s="1">
        <v>1</v>
      </c>
      <c r="X303" s="28">
        <v>2.4900000000000002</v>
      </c>
      <c r="Y303" s="30"/>
      <c r="Z303" s="30"/>
      <c r="AA303" s="26"/>
      <c r="AB303" s="26"/>
      <c r="AC303" s="27" t="s">
        <v>901</v>
      </c>
      <c r="AD303" t="s">
        <v>372</v>
      </c>
      <c r="AE303">
        <v>1</v>
      </c>
      <c r="AF303" t="s">
        <v>123</v>
      </c>
      <c r="AG303" t="s">
        <v>902</v>
      </c>
      <c r="AH303" t="s">
        <v>903</v>
      </c>
      <c r="AJ303" s="15"/>
      <c r="AK303" t="s">
        <v>908</v>
      </c>
    </row>
    <row r="304" spans="1:37" ht="15" hidden="1" customHeight="1" x14ac:dyDescent="0.25">
      <c r="A304" s="8">
        <v>303</v>
      </c>
      <c r="B304" s="21">
        <v>37945</v>
      </c>
      <c r="C304" s="22"/>
      <c r="D304" s="21">
        <v>360</v>
      </c>
      <c r="E304" s="21">
        <v>3605</v>
      </c>
      <c r="F304" s="21">
        <v>3605</v>
      </c>
      <c r="G304" s="23" t="s">
        <v>192</v>
      </c>
      <c r="H304" s="23" t="s">
        <v>192</v>
      </c>
      <c r="I304" s="23" t="s">
        <v>894</v>
      </c>
      <c r="J304" s="23" t="s">
        <v>123</v>
      </c>
      <c r="K304" s="23" t="s">
        <v>123</v>
      </c>
      <c r="L304" s="23" t="s">
        <v>901</v>
      </c>
      <c r="M304" s="23" t="s">
        <v>123</v>
      </c>
      <c r="N304" s="23" t="s">
        <v>901</v>
      </c>
      <c r="O304" s="23" t="s">
        <v>325</v>
      </c>
      <c r="P304" s="23" t="s">
        <v>896</v>
      </c>
      <c r="Q304" s="23" t="s">
        <v>897</v>
      </c>
      <c r="R304" s="21">
        <v>39471</v>
      </c>
      <c r="S304" s="23" t="s">
        <v>1109</v>
      </c>
      <c r="T304" s="23" t="s">
        <v>899</v>
      </c>
      <c r="U304" s="21">
        <v>58</v>
      </c>
      <c r="V304" s="23" t="s">
        <v>913</v>
      </c>
      <c r="W304" s="21">
        <v>1</v>
      </c>
      <c r="X304" s="24">
        <v>2.99</v>
      </c>
      <c r="Y304" s="25">
        <v>0.5</v>
      </c>
      <c r="Z304" s="25">
        <v>0.5</v>
      </c>
      <c r="AA304" s="22"/>
      <c r="AB304" s="22"/>
      <c r="AC304" s="23" t="s">
        <v>901</v>
      </c>
      <c r="AD304" s="17" t="s">
        <v>372</v>
      </c>
      <c r="AE304" s="17">
        <v>1</v>
      </c>
      <c r="AF304" s="17" t="s">
        <v>123</v>
      </c>
      <c r="AG304" s="17" t="s">
        <v>902</v>
      </c>
      <c r="AH304" t="s">
        <v>903</v>
      </c>
      <c r="AJ304" s="15">
        <f>VLOOKUP(Tabla1[[#This Row],[CPC]],[1]Sheet3!$A:$D,4,0)</f>
        <v>0.50167224080267558</v>
      </c>
      <c r="AK304" t="s">
        <v>908</v>
      </c>
    </row>
    <row r="305" spans="1:37" ht="15" hidden="1" customHeight="1" x14ac:dyDescent="0.25">
      <c r="A305" s="1">
        <v>304</v>
      </c>
      <c r="B305" s="1">
        <v>37947</v>
      </c>
      <c r="C305" s="26"/>
      <c r="D305" s="1">
        <v>362</v>
      </c>
      <c r="E305" s="1">
        <v>36202</v>
      </c>
      <c r="F305" s="1">
        <v>36202</v>
      </c>
      <c r="G305" s="27" t="s">
        <v>210</v>
      </c>
      <c r="H305" s="27" t="s">
        <v>209</v>
      </c>
      <c r="I305" s="27" t="s">
        <v>894</v>
      </c>
      <c r="J305" s="27" t="s">
        <v>123</v>
      </c>
      <c r="K305" s="27" t="s">
        <v>123</v>
      </c>
      <c r="L305" s="27" t="s">
        <v>901</v>
      </c>
      <c r="M305" s="27" t="s">
        <v>123</v>
      </c>
      <c r="N305" s="27" t="s">
        <v>901</v>
      </c>
      <c r="O305" s="27" t="s">
        <v>325</v>
      </c>
      <c r="P305" s="27" t="s">
        <v>896</v>
      </c>
      <c r="Q305" s="27" t="s">
        <v>897</v>
      </c>
      <c r="R305" s="1">
        <v>37472</v>
      </c>
      <c r="S305" s="27" t="s">
        <v>1112</v>
      </c>
      <c r="T305" s="27" t="s">
        <v>1042</v>
      </c>
      <c r="U305" s="1">
        <v>55</v>
      </c>
      <c r="V305" s="27" t="s">
        <v>900</v>
      </c>
      <c r="W305" s="1">
        <v>908</v>
      </c>
      <c r="X305" s="28">
        <v>1.49</v>
      </c>
      <c r="Y305" s="29">
        <v>0.5</v>
      </c>
      <c r="Z305" s="29">
        <v>0.5</v>
      </c>
      <c r="AA305" s="26"/>
      <c r="AB305" s="26"/>
      <c r="AC305" s="27" t="s">
        <v>901</v>
      </c>
      <c r="AD305" t="s">
        <v>372</v>
      </c>
      <c r="AE305">
        <v>4.25</v>
      </c>
      <c r="AF305" t="s">
        <v>123</v>
      </c>
      <c r="AG305" t="s">
        <v>902</v>
      </c>
      <c r="AH305" t="s">
        <v>903</v>
      </c>
      <c r="AJ305" s="15">
        <f>VLOOKUP(Tabla1[[#This Row],[CPC]],[1]Sheet3!$A:$D,4,0)</f>
        <v>0.50027307769060303</v>
      </c>
      <c r="AK305" t="s">
        <v>908</v>
      </c>
    </row>
    <row r="306" spans="1:37" ht="15" hidden="1" customHeight="1" x14ac:dyDescent="0.25">
      <c r="A306" s="1">
        <v>305</v>
      </c>
      <c r="B306" s="21">
        <v>37951</v>
      </c>
      <c r="C306" s="22"/>
      <c r="D306" s="21">
        <v>360</v>
      </c>
      <c r="E306" s="21">
        <v>3607</v>
      </c>
      <c r="F306" s="21">
        <v>3607</v>
      </c>
      <c r="G306" s="23" t="s">
        <v>194</v>
      </c>
      <c r="H306" s="23" t="s">
        <v>193</v>
      </c>
      <c r="I306" s="23" t="s">
        <v>894</v>
      </c>
      <c r="J306" s="23" t="s">
        <v>123</v>
      </c>
      <c r="K306" s="23" t="s">
        <v>123</v>
      </c>
      <c r="L306" s="23" t="s">
        <v>901</v>
      </c>
      <c r="M306" s="23" t="s">
        <v>123</v>
      </c>
      <c r="N306" s="23" t="s">
        <v>901</v>
      </c>
      <c r="O306" s="23" t="s">
        <v>325</v>
      </c>
      <c r="P306" s="23" t="s">
        <v>896</v>
      </c>
      <c r="Q306" s="23" t="s">
        <v>897</v>
      </c>
      <c r="R306" s="21">
        <v>39473</v>
      </c>
      <c r="S306" s="23" t="s">
        <v>1109</v>
      </c>
      <c r="T306" s="23" t="s">
        <v>986</v>
      </c>
      <c r="U306" s="21">
        <v>60</v>
      </c>
      <c r="V306" s="23" t="s">
        <v>913</v>
      </c>
      <c r="W306" s="21">
        <v>1</v>
      </c>
      <c r="X306" s="24">
        <v>3.99</v>
      </c>
      <c r="Y306" s="33">
        <v>0.5</v>
      </c>
      <c r="Z306" s="33">
        <v>0.5</v>
      </c>
      <c r="AA306" s="22"/>
      <c r="AB306" s="22"/>
      <c r="AC306" s="23" t="s">
        <v>901</v>
      </c>
      <c r="AD306" s="17" t="s">
        <v>372</v>
      </c>
      <c r="AE306" s="17">
        <v>1</v>
      </c>
      <c r="AF306" s="17" t="s">
        <v>123</v>
      </c>
      <c r="AG306" s="17" t="s">
        <v>902</v>
      </c>
      <c r="AH306" t="s">
        <v>903</v>
      </c>
      <c r="AJ306" s="15"/>
      <c r="AK306" t="s">
        <v>908</v>
      </c>
    </row>
    <row r="307" spans="1:37" ht="15" hidden="1" customHeight="1" x14ac:dyDescent="0.25">
      <c r="A307" s="8">
        <v>306</v>
      </c>
      <c r="B307" s="1">
        <v>38661</v>
      </c>
      <c r="C307" s="26"/>
      <c r="D307" s="1">
        <v>259</v>
      </c>
      <c r="E307" s="1">
        <v>25901</v>
      </c>
      <c r="F307" s="1">
        <v>25901</v>
      </c>
      <c r="G307" s="27" t="s">
        <v>162</v>
      </c>
      <c r="H307" s="27" t="s">
        <v>161</v>
      </c>
      <c r="I307" s="27" t="s">
        <v>894</v>
      </c>
      <c r="J307" s="27" t="s">
        <v>123</v>
      </c>
      <c r="K307" s="27" t="s">
        <v>123</v>
      </c>
      <c r="L307" s="27" t="s">
        <v>901</v>
      </c>
      <c r="M307" s="27" t="s">
        <v>123</v>
      </c>
      <c r="N307" s="27" t="s">
        <v>901</v>
      </c>
      <c r="O307" s="27" t="s">
        <v>364</v>
      </c>
      <c r="P307" s="27" t="s">
        <v>896</v>
      </c>
      <c r="Q307" s="27" t="s">
        <v>897</v>
      </c>
      <c r="R307" s="1">
        <v>39749</v>
      </c>
      <c r="S307" s="27" t="s">
        <v>1113</v>
      </c>
      <c r="T307" s="27" t="s">
        <v>1110</v>
      </c>
      <c r="U307" s="1">
        <v>15</v>
      </c>
      <c r="V307" s="27" t="s">
        <v>913</v>
      </c>
      <c r="W307" s="1">
        <v>1</v>
      </c>
      <c r="X307" s="28">
        <v>0.75</v>
      </c>
      <c r="Y307" s="32">
        <v>0.5</v>
      </c>
      <c r="Z307" s="32">
        <v>0.5</v>
      </c>
      <c r="AA307" s="26"/>
      <c r="AB307" s="26"/>
      <c r="AC307" s="27" t="s">
        <v>901</v>
      </c>
      <c r="AD307" t="s">
        <v>366</v>
      </c>
      <c r="AE307">
        <v>1</v>
      </c>
      <c r="AF307" t="s">
        <v>123</v>
      </c>
      <c r="AG307" t="s">
        <v>902</v>
      </c>
      <c r="AH307" t="s">
        <v>903</v>
      </c>
      <c r="AJ307" s="15"/>
      <c r="AK307" t="s">
        <v>908</v>
      </c>
    </row>
    <row r="308" spans="1:37" ht="15" hidden="1" customHeight="1" x14ac:dyDescent="0.25">
      <c r="A308" s="1">
        <v>307</v>
      </c>
      <c r="B308" s="21">
        <v>38663</v>
      </c>
      <c r="C308" s="22"/>
      <c r="D308" s="21">
        <v>259</v>
      </c>
      <c r="E308" s="21">
        <v>25902</v>
      </c>
      <c r="F308" s="21">
        <v>25902</v>
      </c>
      <c r="G308" s="23" t="s">
        <v>163</v>
      </c>
      <c r="H308" s="23" t="s">
        <v>161</v>
      </c>
      <c r="I308" s="23" t="s">
        <v>894</v>
      </c>
      <c r="J308" s="23" t="s">
        <v>123</v>
      </c>
      <c r="K308" s="23" t="s">
        <v>123</v>
      </c>
      <c r="L308" s="23" t="s">
        <v>901</v>
      </c>
      <c r="M308" s="23" t="s">
        <v>123</v>
      </c>
      <c r="N308" s="23" t="s">
        <v>901</v>
      </c>
      <c r="O308" s="23" t="s">
        <v>364</v>
      </c>
      <c r="P308" s="23" t="s">
        <v>896</v>
      </c>
      <c r="Q308" s="23" t="s">
        <v>897</v>
      </c>
      <c r="R308" s="21">
        <v>39750</v>
      </c>
      <c r="S308" s="23" t="s">
        <v>1113</v>
      </c>
      <c r="T308" s="23" t="s">
        <v>917</v>
      </c>
      <c r="U308" s="21">
        <v>54</v>
      </c>
      <c r="V308" s="23" t="s">
        <v>913</v>
      </c>
      <c r="W308" s="21">
        <v>1</v>
      </c>
      <c r="X308" s="24">
        <v>0.99</v>
      </c>
      <c r="Y308" s="31"/>
      <c r="Z308" s="31"/>
      <c r="AA308" s="22"/>
      <c r="AB308" s="22"/>
      <c r="AC308" s="23" t="s">
        <v>901</v>
      </c>
      <c r="AD308" s="17" t="s">
        <v>366</v>
      </c>
      <c r="AE308" s="17">
        <v>1</v>
      </c>
      <c r="AF308" s="17" t="s">
        <v>123</v>
      </c>
      <c r="AG308" s="17" t="s">
        <v>902</v>
      </c>
      <c r="AH308" t="s">
        <v>903</v>
      </c>
      <c r="AJ308" s="15"/>
      <c r="AK308" t="s">
        <v>908</v>
      </c>
    </row>
    <row r="309" spans="1:37" hidden="1" x14ac:dyDescent="0.25">
      <c r="A309" s="1">
        <v>308</v>
      </c>
      <c r="B309" s="1">
        <v>38665</v>
      </c>
      <c r="C309" s="26"/>
      <c r="D309" s="1">
        <v>259</v>
      </c>
      <c r="E309" s="1">
        <v>25903</v>
      </c>
      <c r="F309" s="1">
        <v>25903</v>
      </c>
      <c r="G309" s="27" t="s">
        <v>164</v>
      </c>
      <c r="H309" s="27" t="s">
        <v>161</v>
      </c>
      <c r="I309" s="27" t="s">
        <v>894</v>
      </c>
      <c r="J309" s="27" t="s">
        <v>123</v>
      </c>
      <c r="K309" s="27" t="s">
        <v>123</v>
      </c>
      <c r="L309" s="27" t="s">
        <v>901</v>
      </c>
      <c r="M309" s="27" t="s">
        <v>123</v>
      </c>
      <c r="N309" s="27" t="s">
        <v>901</v>
      </c>
      <c r="O309" s="27" t="s">
        <v>364</v>
      </c>
      <c r="P309" s="27" t="s">
        <v>896</v>
      </c>
      <c r="Q309" s="27" t="s">
        <v>897</v>
      </c>
      <c r="R309" s="1">
        <v>39751</v>
      </c>
      <c r="S309" s="27" t="s">
        <v>1113</v>
      </c>
      <c r="T309" s="27" t="s">
        <v>971</v>
      </c>
      <c r="U309" s="1">
        <v>56</v>
      </c>
      <c r="V309" s="27" t="s">
        <v>913</v>
      </c>
      <c r="W309" s="1">
        <v>1</v>
      </c>
      <c r="X309" s="28">
        <v>1.99</v>
      </c>
      <c r="Y309" s="29">
        <v>0.5</v>
      </c>
      <c r="Z309" s="29">
        <v>0.5</v>
      </c>
      <c r="AA309" s="26"/>
      <c r="AB309" s="26"/>
      <c r="AC309" s="27" t="s">
        <v>901</v>
      </c>
      <c r="AD309" t="s">
        <v>366</v>
      </c>
      <c r="AE309">
        <v>1</v>
      </c>
      <c r="AF309" t="s">
        <v>123</v>
      </c>
      <c r="AG309" t="s">
        <v>902</v>
      </c>
      <c r="AH309" t="s">
        <v>903</v>
      </c>
      <c r="AJ309" s="15">
        <f>VLOOKUP(Tabla1[[#This Row],[CPC]],[1]Sheet3!$A:$D,4,0)</f>
        <v>0.50054395689789122</v>
      </c>
      <c r="AK309" t="s">
        <v>908</v>
      </c>
    </row>
    <row r="310" spans="1:37" hidden="1" x14ac:dyDescent="0.25">
      <c r="A310" s="8">
        <v>309</v>
      </c>
      <c r="B310" s="21">
        <v>38667</v>
      </c>
      <c r="C310" s="22"/>
      <c r="D310" s="21">
        <v>259</v>
      </c>
      <c r="E310" s="21">
        <v>25904</v>
      </c>
      <c r="F310" s="21">
        <v>25904</v>
      </c>
      <c r="G310" s="23" t="s">
        <v>166</v>
      </c>
      <c r="H310" s="23" t="s">
        <v>161</v>
      </c>
      <c r="I310" s="23" t="s">
        <v>894</v>
      </c>
      <c r="J310" s="23" t="s">
        <v>123</v>
      </c>
      <c r="K310" s="23" t="s">
        <v>123</v>
      </c>
      <c r="L310" s="23" t="s">
        <v>901</v>
      </c>
      <c r="M310" s="23" t="s">
        <v>123</v>
      </c>
      <c r="N310" s="23" t="s">
        <v>901</v>
      </c>
      <c r="O310" s="23" t="s">
        <v>364</v>
      </c>
      <c r="P310" s="23" t="s">
        <v>896</v>
      </c>
      <c r="Q310" s="23" t="s">
        <v>897</v>
      </c>
      <c r="R310" s="21">
        <v>39752</v>
      </c>
      <c r="S310" s="23" t="s">
        <v>1113</v>
      </c>
      <c r="T310" s="23" t="s">
        <v>986</v>
      </c>
      <c r="U310" s="21">
        <v>60</v>
      </c>
      <c r="V310" s="23" t="s">
        <v>913</v>
      </c>
      <c r="W310" s="21">
        <v>1</v>
      </c>
      <c r="X310" s="24">
        <v>3.99</v>
      </c>
      <c r="Y310" s="25">
        <v>0.5</v>
      </c>
      <c r="Z310" s="25">
        <v>0.5</v>
      </c>
      <c r="AA310" s="22"/>
      <c r="AB310" s="22"/>
      <c r="AC310" s="23" t="s">
        <v>901</v>
      </c>
      <c r="AD310" s="17" t="s">
        <v>366</v>
      </c>
      <c r="AE310" s="17">
        <v>1</v>
      </c>
      <c r="AF310" s="17" t="s">
        <v>123</v>
      </c>
      <c r="AG310" s="17" t="s">
        <v>902</v>
      </c>
      <c r="AH310" t="s">
        <v>903</v>
      </c>
      <c r="AJ310" s="15">
        <f>VLOOKUP(Tabla1[[#This Row],[CPC]],[1]Sheet3!$A:$D,4,0)</f>
        <v>0.50052000750174719</v>
      </c>
      <c r="AK310" t="s">
        <v>908</v>
      </c>
    </row>
    <row r="311" spans="1:37" hidden="1" x14ac:dyDescent="0.25">
      <c r="A311" s="1">
        <v>310</v>
      </c>
      <c r="B311" s="1">
        <v>38681</v>
      </c>
      <c r="C311" s="26"/>
      <c r="D311" s="1">
        <v>259</v>
      </c>
      <c r="E311" s="1">
        <v>25905</v>
      </c>
      <c r="F311" s="1">
        <v>25905</v>
      </c>
      <c r="G311" s="27" t="s">
        <v>167</v>
      </c>
      <c r="H311" s="27" t="s">
        <v>161</v>
      </c>
      <c r="I311" s="27" t="s">
        <v>894</v>
      </c>
      <c r="J311" s="27" t="s">
        <v>123</v>
      </c>
      <c r="K311" s="27" t="s">
        <v>123</v>
      </c>
      <c r="L311" s="27" t="s">
        <v>901</v>
      </c>
      <c r="M311" s="27" t="s">
        <v>123</v>
      </c>
      <c r="N311" s="27" t="s">
        <v>901</v>
      </c>
      <c r="O311" s="27" t="s">
        <v>364</v>
      </c>
      <c r="P311" s="27" t="s">
        <v>896</v>
      </c>
      <c r="Q311" s="27" t="s">
        <v>897</v>
      </c>
      <c r="R311" s="1">
        <v>39769</v>
      </c>
      <c r="S311" s="27" t="s">
        <v>1113</v>
      </c>
      <c r="T311" s="27" t="s">
        <v>1114</v>
      </c>
      <c r="U311" s="1">
        <v>66</v>
      </c>
      <c r="V311" s="27" t="s">
        <v>913</v>
      </c>
      <c r="W311" s="1">
        <v>1</v>
      </c>
      <c r="X311" s="28">
        <v>6.99</v>
      </c>
      <c r="Y311" s="29">
        <v>0.5</v>
      </c>
      <c r="Z311" s="29">
        <v>0.5</v>
      </c>
      <c r="AA311" s="26"/>
      <c r="AB311" s="26"/>
      <c r="AC311" s="27" t="s">
        <v>901</v>
      </c>
      <c r="AD311" t="s">
        <v>366</v>
      </c>
      <c r="AE311">
        <v>1</v>
      </c>
      <c r="AF311" t="s">
        <v>123</v>
      </c>
      <c r="AG311" t="s">
        <v>902</v>
      </c>
      <c r="AH311" t="s">
        <v>903</v>
      </c>
      <c r="AJ311" s="15">
        <f>VLOOKUP(Tabla1[[#This Row],[CPC]],[1]Sheet3!$A:$D,4,0)</f>
        <v>0.50029851418787219</v>
      </c>
      <c r="AK311" t="s">
        <v>908</v>
      </c>
    </row>
    <row r="312" spans="1:37" hidden="1" x14ac:dyDescent="0.25">
      <c r="A312" s="1">
        <v>311</v>
      </c>
      <c r="B312" s="21">
        <v>38683</v>
      </c>
      <c r="C312" s="22"/>
      <c r="D312" s="21">
        <v>259</v>
      </c>
      <c r="E312" s="21">
        <v>25906</v>
      </c>
      <c r="F312" s="21">
        <v>25906</v>
      </c>
      <c r="G312" s="23" t="s">
        <v>168</v>
      </c>
      <c r="H312" s="23" t="s">
        <v>161</v>
      </c>
      <c r="I312" s="23" t="s">
        <v>894</v>
      </c>
      <c r="J312" s="23" t="s">
        <v>123</v>
      </c>
      <c r="K312" s="23" t="s">
        <v>123</v>
      </c>
      <c r="L312" s="23" t="s">
        <v>901</v>
      </c>
      <c r="M312" s="23" t="s">
        <v>123</v>
      </c>
      <c r="N312" s="23" t="s">
        <v>901</v>
      </c>
      <c r="O312" s="23" t="s">
        <v>364</v>
      </c>
      <c r="P312" s="23" t="s">
        <v>896</v>
      </c>
      <c r="Q312" s="23" t="s">
        <v>897</v>
      </c>
      <c r="R312" s="21">
        <v>39770</v>
      </c>
      <c r="S312" s="23" t="s">
        <v>1113</v>
      </c>
      <c r="T312" s="23" t="s">
        <v>1115</v>
      </c>
      <c r="U312" s="21">
        <v>68</v>
      </c>
      <c r="V312" s="23" t="s">
        <v>913</v>
      </c>
      <c r="W312" s="21">
        <v>1</v>
      </c>
      <c r="X312" s="24">
        <v>7.99</v>
      </c>
      <c r="Y312" s="31"/>
      <c r="Z312" s="31"/>
      <c r="AA312" s="22"/>
      <c r="AB312" s="22"/>
      <c r="AC312" s="23" t="s">
        <v>901</v>
      </c>
      <c r="AD312" s="17" t="s">
        <v>366</v>
      </c>
      <c r="AE312" s="17">
        <v>1</v>
      </c>
      <c r="AF312" s="17" t="s">
        <v>123</v>
      </c>
      <c r="AG312" s="17" t="s">
        <v>902</v>
      </c>
      <c r="AH312" t="s">
        <v>903</v>
      </c>
      <c r="AJ312" s="15"/>
      <c r="AK312" t="s">
        <v>908</v>
      </c>
    </row>
    <row r="313" spans="1:37" hidden="1" x14ac:dyDescent="0.25">
      <c r="A313" s="8">
        <v>312</v>
      </c>
      <c r="B313" s="1">
        <v>38685</v>
      </c>
      <c r="C313" s="26"/>
      <c r="D313" s="1">
        <v>259</v>
      </c>
      <c r="E313" s="1">
        <v>25907</v>
      </c>
      <c r="F313" s="1">
        <v>25907</v>
      </c>
      <c r="G313" s="27" t="s">
        <v>169</v>
      </c>
      <c r="H313" s="27" t="s">
        <v>161</v>
      </c>
      <c r="I313" s="27" t="s">
        <v>894</v>
      </c>
      <c r="J313" s="27" t="s">
        <v>123</v>
      </c>
      <c r="K313" s="27" t="s">
        <v>123</v>
      </c>
      <c r="L313" s="27" t="s">
        <v>901</v>
      </c>
      <c r="M313" s="27" t="s">
        <v>123</v>
      </c>
      <c r="N313" s="27" t="s">
        <v>901</v>
      </c>
      <c r="O313" s="27" t="s">
        <v>364</v>
      </c>
      <c r="P313" s="27" t="s">
        <v>896</v>
      </c>
      <c r="Q313" s="27" t="s">
        <v>897</v>
      </c>
      <c r="R313" s="1">
        <v>39771</v>
      </c>
      <c r="S313" s="27" t="s">
        <v>1113</v>
      </c>
      <c r="T313" s="27" t="s">
        <v>1101</v>
      </c>
      <c r="U313" s="1">
        <v>72</v>
      </c>
      <c r="V313" s="27" t="s">
        <v>913</v>
      </c>
      <c r="W313" s="1">
        <v>1</v>
      </c>
      <c r="X313" s="28">
        <v>9.99</v>
      </c>
      <c r="Y313" s="30"/>
      <c r="Z313" s="30"/>
      <c r="AA313" s="26"/>
      <c r="AB313" s="26"/>
      <c r="AC313" s="27" t="s">
        <v>901</v>
      </c>
      <c r="AD313" t="s">
        <v>366</v>
      </c>
      <c r="AE313">
        <v>1</v>
      </c>
      <c r="AF313" t="s">
        <v>123</v>
      </c>
      <c r="AG313" t="s">
        <v>902</v>
      </c>
      <c r="AH313" t="s">
        <v>903</v>
      </c>
      <c r="AJ313" s="15"/>
      <c r="AK313" t="s">
        <v>908</v>
      </c>
    </row>
    <row r="314" spans="1:37" hidden="1" x14ac:dyDescent="0.25">
      <c r="A314" s="1">
        <v>313</v>
      </c>
      <c r="B314" s="21">
        <v>38687</v>
      </c>
      <c r="C314" s="31"/>
      <c r="D314" s="21">
        <v>259</v>
      </c>
      <c r="E314" s="21">
        <v>25908</v>
      </c>
      <c r="F314" s="21">
        <v>25908</v>
      </c>
      <c r="G314" s="23" t="s">
        <v>165</v>
      </c>
      <c r="H314" s="23" t="s">
        <v>161</v>
      </c>
      <c r="I314" s="23" t="s">
        <v>894</v>
      </c>
      <c r="J314" s="23" t="s">
        <v>123</v>
      </c>
      <c r="K314" s="23" t="s">
        <v>123</v>
      </c>
      <c r="L314" s="23" t="s">
        <v>901</v>
      </c>
      <c r="M314" s="23" t="s">
        <v>123</v>
      </c>
      <c r="N314" s="23" t="s">
        <v>901</v>
      </c>
      <c r="O314" s="23" t="s">
        <v>364</v>
      </c>
      <c r="P314" s="23" t="s">
        <v>896</v>
      </c>
      <c r="Q314" s="23" t="s">
        <v>897</v>
      </c>
      <c r="R314" s="21">
        <v>39772</v>
      </c>
      <c r="S314" s="23" t="s">
        <v>1113</v>
      </c>
      <c r="T314" s="23" t="s">
        <v>1102</v>
      </c>
      <c r="U314" s="21">
        <v>82</v>
      </c>
      <c r="V314" s="23" t="s">
        <v>913</v>
      </c>
      <c r="W314" s="21">
        <v>1</v>
      </c>
      <c r="X314" s="24">
        <v>14.99</v>
      </c>
      <c r="Y314" s="33">
        <v>0.5</v>
      </c>
      <c r="Z314" s="33">
        <v>0.5</v>
      </c>
      <c r="AA314" s="22"/>
      <c r="AB314" s="22"/>
      <c r="AC314" s="23" t="s">
        <v>901</v>
      </c>
      <c r="AD314" s="17" t="s">
        <v>366</v>
      </c>
      <c r="AE314" s="17">
        <v>1</v>
      </c>
      <c r="AF314" s="17" t="s">
        <v>123</v>
      </c>
      <c r="AG314" s="17" t="s">
        <v>902</v>
      </c>
      <c r="AH314" t="s">
        <v>903</v>
      </c>
      <c r="AJ314" s="15">
        <f>VLOOKUP(Tabla1[[#This Row],[CPC]],[1]Sheet3!$A:$D,4,0)</f>
        <v>0.50009956886680662</v>
      </c>
      <c r="AK314" t="s">
        <v>908</v>
      </c>
    </row>
    <row r="315" spans="1:37" hidden="1" x14ac:dyDescent="0.25">
      <c r="A315" s="1">
        <v>314</v>
      </c>
      <c r="B315" s="1">
        <v>38903</v>
      </c>
      <c r="C315" s="26"/>
      <c r="D315" s="1">
        <v>235</v>
      </c>
      <c r="E315" s="1">
        <v>93</v>
      </c>
      <c r="F315" s="1">
        <v>93</v>
      </c>
      <c r="G315" s="27" t="s">
        <v>251</v>
      </c>
      <c r="H315" s="27" t="s">
        <v>251</v>
      </c>
      <c r="I315" s="27" t="s">
        <v>894</v>
      </c>
      <c r="J315" s="27" t="s">
        <v>123</v>
      </c>
      <c r="K315" s="27" t="s">
        <v>123</v>
      </c>
      <c r="L315" s="27" t="s">
        <v>901</v>
      </c>
      <c r="M315" s="27" t="s">
        <v>123</v>
      </c>
      <c r="N315" s="27" t="s">
        <v>901</v>
      </c>
      <c r="O315" s="27" t="s">
        <v>122</v>
      </c>
      <c r="P315" s="27" t="s">
        <v>896</v>
      </c>
      <c r="Q315" s="27" t="s">
        <v>897</v>
      </c>
      <c r="R315" s="1">
        <v>39870</v>
      </c>
      <c r="S315" s="27" t="s">
        <v>251</v>
      </c>
      <c r="T315" s="27" t="s">
        <v>971</v>
      </c>
      <c r="U315" s="1">
        <v>56</v>
      </c>
      <c r="V315" s="27" t="s">
        <v>900</v>
      </c>
      <c r="W315" s="1">
        <v>908</v>
      </c>
      <c r="X315" s="28">
        <v>1.99</v>
      </c>
      <c r="Y315" s="29">
        <v>0.55000000000000004</v>
      </c>
      <c r="Z315" s="29">
        <v>0.45</v>
      </c>
      <c r="AA315" s="26"/>
      <c r="AB315" s="26"/>
      <c r="AC315" s="27" t="s">
        <v>901</v>
      </c>
      <c r="AD315" t="s">
        <v>359</v>
      </c>
      <c r="AE315">
        <v>4.25</v>
      </c>
      <c r="AF315" t="s">
        <v>123</v>
      </c>
      <c r="AG315" t="s">
        <v>1040</v>
      </c>
      <c r="AH315" t="s">
        <v>903</v>
      </c>
      <c r="AJ315" s="15">
        <f>VLOOKUP(Tabla1[[#This Row],[CPC]],[1]Sheet3!$A:$D,4,0)</f>
        <v>0.55000110131119051</v>
      </c>
      <c r="AK315" t="s">
        <v>908</v>
      </c>
    </row>
    <row r="316" spans="1:37" hidden="1" x14ac:dyDescent="0.25">
      <c r="A316" s="8">
        <v>315</v>
      </c>
      <c r="B316" s="21">
        <v>38904</v>
      </c>
      <c r="C316" s="31"/>
      <c r="D316" s="21">
        <v>234</v>
      </c>
      <c r="E316" s="21">
        <v>92</v>
      </c>
      <c r="F316" s="21">
        <v>92</v>
      </c>
      <c r="G316" s="23" t="s">
        <v>249</v>
      </c>
      <c r="H316" s="23" t="s">
        <v>249</v>
      </c>
      <c r="I316" s="23" t="s">
        <v>894</v>
      </c>
      <c r="J316" s="23" t="s">
        <v>123</v>
      </c>
      <c r="K316" s="23" t="s">
        <v>123</v>
      </c>
      <c r="L316" s="23" t="s">
        <v>901</v>
      </c>
      <c r="M316" s="23" t="s">
        <v>123</v>
      </c>
      <c r="N316" s="23" t="s">
        <v>901</v>
      </c>
      <c r="O316" s="23" t="s">
        <v>122</v>
      </c>
      <c r="P316" s="23" t="s">
        <v>896</v>
      </c>
      <c r="Q316" s="23" t="s">
        <v>897</v>
      </c>
      <c r="R316" s="21">
        <v>39869</v>
      </c>
      <c r="S316" s="23" t="s">
        <v>1116</v>
      </c>
      <c r="T316" s="23" t="s">
        <v>971</v>
      </c>
      <c r="U316" s="21">
        <v>56</v>
      </c>
      <c r="V316" s="23" t="s">
        <v>900</v>
      </c>
      <c r="W316" s="21">
        <v>908</v>
      </c>
      <c r="X316" s="24">
        <v>1.99</v>
      </c>
      <c r="Y316" s="33">
        <v>0.55000000000000004</v>
      </c>
      <c r="Z316" s="33">
        <v>0.45</v>
      </c>
      <c r="AA316" s="22"/>
      <c r="AB316" s="22"/>
      <c r="AC316" s="23" t="s">
        <v>901</v>
      </c>
      <c r="AD316" s="17" t="s">
        <v>359</v>
      </c>
      <c r="AE316" s="17">
        <v>4.25</v>
      </c>
      <c r="AF316" s="17" t="s">
        <v>123</v>
      </c>
      <c r="AG316" s="17" t="s">
        <v>1040</v>
      </c>
      <c r="AH316" t="s">
        <v>903</v>
      </c>
      <c r="AJ316" s="15">
        <f>VLOOKUP(Tabla1[[#This Row],[CPC]],[1]Sheet3!$A:$D,4,0)</f>
        <v>0.5500436967445923</v>
      </c>
      <c r="AK316" t="s">
        <v>908</v>
      </c>
    </row>
    <row r="317" spans="1:37" hidden="1" x14ac:dyDescent="0.25">
      <c r="A317" s="1">
        <v>316</v>
      </c>
      <c r="B317" s="1">
        <v>38941</v>
      </c>
      <c r="C317" s="26"/>
      <c r="D317" s="1">
        <v>577</v>
      </c>
      <c r="E317" s="1">
        <v>57701</v>
      </c>
      <c r="F317" s="1">
        <v>57701</v>
      </c>
      <c r="G317" s="27" t="s">
        <v>530</v>
      </c>
      <c r="H317" s="27" t="s">
        <v>529</v>
      </c>
      <c r="I317" s="27" t="s">
        <v>894</v>
      </c>
      <c r="J317" s="27" t="s">
        <v>279</v>
      </c>
      <c r="K317" s="27" t="s">
        <v>279</v>
      </c>
      <c r="L317" s="27" t="s">
        <v>901</v>
      </c>
      <c r="M317" s="27" t="s">
        <v>279</v>
      </c>
      <c r="N317" s="27" t="s">
        <v>925</v>
      </c>
      <c r="O317" s="27" t="s">
        <v>86</v>
      </c>
      <c r="P317" s="27" t="s">
        <v>896</v>
      </c>
      <c r="Q317" s="27" t="s">
        <v>897</v>
      </c>
      <c r="R317" s="1">
        <v>39889</v>
      </c>
      <c r="S317" s="27" t="s">
        <v>1117</v>
      </c>
      <c r="T317" s="27" t="s">
        <v>1118</v>
      </c>
      <c r="U317" s="1">
        <v>135</v>
      </c>
      <c r="V317" s="27" t="s">
        <v>900</v>
      </c>
      <c r="W317" s="1">
        <v>908</v>
      </c>
      <c r="X317" s="28">
        <v>1.23</v>
      </c>
      <c r="Y317" s="29">
        <v>0.4</v>
      </c>
      <c r="Z317" s="29">
        <v>0.6</v>
      </c>
      <c r="AA317" s="26"/>
      <c r="AB317" s="26"/>
      <c r="AC317" s="27" t="s">
        <v>901</v>
      </c>
      <c r="AD317" t="s">
        <v>531</v>
      </c>
      <c r="AE317">
        <v>4.25</v>
      </c>
      <c r="AF317" t="s">
        <v>279</v>
      </c>
      <c r="AG317" t="s">
        <v>1075</v>
      </c>
      <c r="AH317" t="s">
        <v>903</v>
      </c>
      <c r="AI317" t="s">
        <v>1076</v>
      </c>
      <c r="AJ317" s="15">
        <f>VLOOKUP(Tabla1[[#This Row],[CPC]],[1]Sheet3!$A:$D,4,0)</f>
        <v>0.39999786648167007</v>
      </c>
      <c r="AK317" t="s">
        <v>908</v>
      </c>
    </row>
    <row r="318" spans="1:37" hidden="1" x14ac:dyDescent="0.25">
      <c r="A318" s="1">
        <v>317</v>
      </c>
      <c r="B318" s="21">
        <v>38967</v>
      </c>
      <c r="C318" s="22"/>
      <c r="D318" s="21">
        <v>565</v>
      </c>
      <c r="E318" s="21">
        <v>56501</v>
      </c>
      <c r="F318" s="21">
        <v>56501</v>
      </c>
      <c r="G318" s="23" t="s">
        <v>93</v>
      </c>
      <c r="H318" s="23" t="s">
        <v>92</v>
      </c>
      <c r="I318" s="23" t="s">
        <v>894</v>
      </c>
      <c r="J318" s="23" t="s">
        <v>36</v>
      </c>
      <c r="K318" s="23" t="s">
        <v>1119</v>
      </c>
      <c r="L318" s="23" t="s">
        <v>901</v>
      </c>
      <c r="M318" s="23" t="s">
        <v>905</v>
      </c>
      <c r="N318" s="23" t="s">
        <v>36</v>
      </c>
      <c r="O318" s="23" t="s">
        <v>307</v>
      </c>
      <c r="P318" s="23" t="s">
        <v>896</v>
      </c>
      <c r="Q318" s="23" t="s">
        <v>897</v>
      </c>
      <c r="R318" s="21">
        <v>39910</v>
      </c>
      <c r="S318" s="23" t="s">
        <v>93</v>
      </c>
      <c r="T318" s="23" t="s">
        <v>1120</v>
      </c>
      <c r="U318" s="21">
        <v>128</v>
      </c>
      <c r="V318" s="23" t="s">
        <v>900</v>
      </c>
      <c r="W318" s="21">
        <v>908</v>
      </c>
      <c r="X318" s="24">
        <v>1.64</v>
      </c>
      <c r="Y318" s="25">
        <v>0.5</v>
      </c>
      <c r="Z318" s="25">
        <v>0.5</v>
      </c>
      <c r="AA318" s="22"/>
      <c r="AB318" s="22"/>
      <c r="AC318" s="23" t="s">
        <v>901</v>
      </c>
      <c r="AD318" s="17" t="s">
        <v>353</v>
      </c>
      <c r="AE318" s="17">
        <v>4.25</v>
      </c>
      <c r="AF318" s="17" t="s">
        <v>862</v>
      </c>
      <c r="AG318" s="17" t="s">
        <v>1040</v>
      </c>
      <c r="AH318" t="s">
        <v>903</v>
      </c>
      <c r="AJ318" s="15">
        <f>VLOOKUP(Tabla1[[#This Row],[CPC]],[1]Sheet3!$A:$D,4,0)</f>
        <v>0.5</v>
      </c>
      <c r="AK318" t="s">
        <v>908</v>
      </c>
    </row>
    <row r="319" spans="1:37" hidden="1" x14ac:dyDescent="0.25">
      <c r="A319" s="8">
        <v>318</v>
      </c>
      <c r="B319" s="1">
        <v>38971</v>
      </c>
      <c r="C319" s="26"/>
      <c r="D319" s="1">
        <v>567</v>
      </c>
      <c r="E319" s="1">
        <v>56701</v>
      </c>
      <c r="F319" s="1">
        <v>56701</v>
      </c>
      <c r="G319" s="27" t="s">
        <v>22</v>
      </c>
      <c r="H319" s="27" t="s">
        <v>19</v>
      </c>
      <c r="I319" s="27" t="s">
        <v>894</v>
      </c>
      <c r="J319" s="27" t="s">
        <v>12</v>
      </c>
      <c r="K319" s="27" t="s">
        <v>5</v>
      </c>
      <c r="L319" s="27" t="s">
        <v>901</v>
      </c>
      <c r="M319" s="27" t="s">
        <v>905</v>
      </c>
      <c r="N319" s="27" t="s">
        <v>5</v>
      </c>
      <c r="O319" s="27" t="s">
        <v>307</v>
      </c>
      <c r="P319" s="27" t="s">
        <v>896</v>
      </c>
      <c r="Q319" s="27" t="s">
        <v>897</v>
      </c>
      <c r="R319" s="1">
        <v>39911</v>
      </c>
      <c r="S319" s="27" t="s">
        <v>1121</v>
      </c>
      <c r="T319" s="27" t="s">
        <v>1118</v>
      </c>
      <c r="U319" s="1">
        <v>135</v>
      </c>
      <c r="V319" s="27" t="s">
        <v>900</v>
      </c>
      <c r="W319" s="1">
        <v>908</v>
      </c>
      <c r="X319" s="28">
        <v>1.23</v>
      </c>
      <c r="Y319" s="29">
        <v>0.45</v>
      </c>
      <c r="Z319" s="29">
        <v>0.55000000000000004</v>
      </c>
      <c r="AA319" s="26"/>
      <c r="AB319" s="26"/>
      <c r="AC319" s="27" t="s">
        <v>901</v>
      </c>
      <c r="AD319" t="s">
        <v>308</v>
      </c>
      <c r="AE319">
        <v>4.25</v>
      </c>
      <c r="AF319" t="s">
        <v>862</v>
      </c>
      <c r="AG319" t="s">
        <v>1040</v>
      </c>
      <c r="AH319" t="s">
        <v>903</v>
      </c>
      <c r="AJ319" s="15"/>
      <c r="AK319" t="s">
        <v>908</v>
      </c>
    </row>
    <row r="320" spans="1:37" hidden="1" x14ac:dyDescent="0.25">
      <c r="A320" s="1">
        <v>319</v>
      </c>
      <c r="B320" s="21">
        <v>38972</v>
      </c>
      <c r="C320" s="34">
        <v>38971</v>
      </c>
      <c r="D320" s="21">
        <v>567</v>
      </c>
      <c r="E320" s="21">
        <v>56702</v>
      </c>
      <c r="F320" s="21">
        <v>56702</v>
      </c>
      <c r="G320" s="23" t="s">
        <v>23</v>
      </c>
      <c r="H320" s="23" t="s">
        <v>19</v>
      </c>
      <c r="I320" s="23" t="s">
        <v>894</v>
      </c>
      <c r="J320" s="23" t="s">
        <v>12</v>
      </c>
      <c r="K320" s="23" t="s">
        <v>5</v>
      </c>
      <c r="L320" s="23" t="s">
        <v>901</v>
      </c>
      <c r="M320" s="23" t="s">
        <v>905</v>
      </c>
      <c r="N320" s="23" t="s">
        <v>5</v>
      </c>
      <c r="O320" s="23" t="s">
        <v>307</v>
      </c>
      <c r="P320" s="23" t="s">
        <v>896</v>
      </c>
      <c r="Q320" s="23" t="s">
        <v>897</v>
      </c>
      <c r="R320" s="21">
        <v>39911</v>
      </c>
      <c r="S320" s="23" t="s">
        <v>1121</v>
      </c>
      <c r="T320" s="23" t="s">
        <v>1090</v>
      </c>
      <c r="U320" s="21">
        <v>0</v>
      </c>
      <c r="V320" s="23" t="s">
        <v>900</v>
      </c>
      <c r="W320" s="21">
        <v>641</v>
      </c>
      <c r="X320" s="24">
        <v>0</v>
      </c>
      <c r="Y320" s="31"/>
      <c r="Z320" s="31"/>
      <c r="AA320" s="22"/>
      <c r="AB320" s="22"/>
      <c r="AC320" s="23" t="s">
        <v>901</v>
      </c>
      <c r="AD320" s="17" t="s">
        <v>308</v>
      </c>
      <c r="AE320" s="17">
        <v>4.25</v>
      </c>
      <c r="AF320" s="17" t="s">
        <v>862</v>
      </c>
      <c r="AG320" s="17" t="s">
        <v>1040</v>
      </c>
      <c r="AH320" t="s">
        <v>903</v>
      </c>
      <c r="AJ320" s="15"/>
      <c r="AK320" t="s">
        <v>908</v>
      </c>
    </row>
    <row r="321" spans="1:37" hidden="1" x14ac:dyDescent="0.25">
      <c r="A321" s="1">
        <v>320</v>
      </c>
      <c r="B321" s="1">
        <v>39015</v>
      </c>
      <c r="C321" s="30"/>
      <c r="D321" s="1">
        <v>571</v>
      </c>
      <c r="E321" s="1">
        <v>57101</v>
      </c>
      <c r="F321" s="1">
        <v>57101</v>
      </c>
      <c r="G321" s="27" t="s">
        <v>113</v>
      </c>
      <c r="H321" s="27" t="s">
        <v>112</v>
      </c>
      <c r="I321" s="27" t="s">
        <v>894</v>
      </c>
      <c r="J321" s="27" t="s">
        <v>12</v>
      </c>
      <c r="K321" s="27" t="s">
        <v>36</v>
      </c>
      <c r="L321" s="27" t="s">
        <v>901</v>
      </c>
      <c r="M321" s="27" t="s">
        <v>905</v>
      </c>
      <c r="N321" s="27" t="s">
        <v>36</v>
      </c>
      <c r="O321" s="27" t="s">
        <v>307</v>
      </c>
      <c r="P321" s="27" t="s">
        <v>896</v>
      </c>
      <c r="Q321" s="27" t="s">
        <v>897</v>
      </c>
      <c r="R321" s="1">
        <v>39931</v>
      </c>
      <c r="S321" s="27" t="s">
        <v>115</v>
      </c>
      <c r="T321" s="27" t="s">
        <v>1120</v>
      </c>
      <c r="U321" s="1">
        <v>128</v>
      </c>
      <c r="V321" s="27" t="s">
        <v>900</v>
      </c>
      <c r="W321" s="1">
        <v>908</v>
      </c>
      <c r="X321" s="28">
        <v>1.64</v>
      </c>
      <c r="Y321" s="32">
        <v>0.5</v>
      </c>
      <c r="Z321" s="32">
        <v>0.5</v>
      </c>
      <c r="AA321" s="26"/>
      <c r="AB321" s="26"/>
      <c r="AC321" s="27" t="s">
        <v>901</v>
      </c>
      <c r="AD321" t="s">
        <v>354</v>
      </c>
      <c r="AE321">
        <v>4.25</v>
      </c>
      <c r="AF321" t="s">
        <v>862</v>
      </c>
      <c r="AH321" t="s">
        <v>903</v>
      </c>
      <c r="AJ321" s="15"/>
      <c r="AK321" t="s">
        <v>908</v>
      </c>
    </row>
    <row r="322" spans="1:37" hidden="1" x14ac:dyDescent="0.25">
      <c r="A322" s="8">
        <v>321</v>
      </c>
      <c r="B322" s="21">
        <v>39016</v>
      </c>
      <c r="C322" s="34">
        <v>39015</v>
      </c>
      <c r="D322" s="21">
        <v>571</v>
      </c>
      <c r="E322" s="21">
        <v>57102</v>
      </c>
      <c r="F322" s="21">
        <v>57102</v>
      </c>
      <c r="G322" s="23" t="s">
        <v>114</v>
      </c>
      <c r="H322" s="23" t="s">
        <v>112</v>
      </c>
      <c r="I322" s="23" t="s">
        <v>894</v>
      </c>
      <c r="J322" s="23" t="s">
        <v>12</v>
      </c>
      <c r="K322" s="23" t="s">
        <v>36</v>
      </c>
      <c r="L322" s="23" t="s">
        <v>901</v>
      </c>
      <c r="M322" s="23" t="s">
        <v>905</v>
      </c>
      <c r="N322" s="23" t="s">
        <v>36</v>
      </c>
      <c r="O322" s="23" t="s">
        <v>307</v>
      </c>
      <c r="P322" s="23" t="s">
        <v>896</v>
      </c>
      <c r="Q322" s="23" t="s">
        <v>897</v>
      </c>
      <c r="R322" s="21">
        <v>39931</v>
      </c>
      <c r="S322" s="23" t="s">
        <v>115</v>
      </c>
      <c r="T322" s="23" t="s">
        <v>1090</v>
      </c>
      <c r="U322" s="21">
        <v>0</v>
      </c>
      <c r="V322" s="23" t="s">
        <v>900</v>
      </c>
      <c r="W322" s="21">
        <v>641</v>
      </c>
      <c r="X322" s="24">
        <v>0</v>
      </c>
      <c r="Y322" s="31"/>
      <c r="Z322" s="31"/>
      <c r="AA322" s="22"/>
      <c r="AB322" s="22"/>
      <c r="AC322" s="23" t="s">
        <v>901</v>
      </c>
      <c r="AD322" s="17" t="s">
        <v>354</v>
      </c>
      <c r="AE322" s="17">
        <v>4.25</v>
      </c>
      <c r="AF322" s="17" t="s">
        <v>862</v>
      </c>
      <c r="AG322" s="17"/>
      <c r="AH322" t="s">
        <v>903</v>
      </c>
      <c r="AJ322" s="15"/>
      <c r="AK322" t="s">
        <v>908</v>
      </c>
    </row>
    <row r="323" spans="1:37" hidden="1" x14ac:dyDescent="0.25">
      <c r="A323" s="1">
        <v>322</v>
      </c>
      <c r="B323" s="1">
        <v>39041</v>
      </c>
      <c r="C323" s="30"/>
      <c r="D323" s="1">
        <v>286</v>
      </c>
      <c r="E323" s="1">
        <v>28601</v>
      </c>
      <c r="F323" s="1">
        <v>28601</v>
      </c>
      <c r="G323" s="27" t="s">
        <v>518</v>
      </c>
      <c r="H323" s="27" t="s">
        <v>61</v>
      </c>
      <c r="I323" s="27" t="s">
        <v>894</v>
      </c>
      <c r="J323" s="27" t="s">
        <v>279</v>
      </c>
      <c r="K323" s="27" t="s">
        <v>279</v>
      </c>
      <c r="L323" s="27" t="s">
        <v>895</v>
      </c>
      <c r="M323" s="27" t="s">
        <v>279</v>
      </c>
      <c r="N323" s="27" t="s">
        <v>895</v>
      </c>
      <c r="O323" s="27" t="s">
        <v>325</v>
      </c>
      <c r="P323" s="27" t="s">
        <v>909</v>
      </c>
      <c r="Q323" s="27" t="s">
        <v>897</v>
      </c>
      <c r="R323" s="1">
        <v>39969</v>
      </c>
      <c r="S323" s="27" t="s">
        <v>518</v>
      </c>
      <c r="T323" s="27" t="s">
        <v>899</v>
      </c>
      <c r="U323" s="1">
        <v>58</v>
      </c>
      <c r="V323" s="27" t="s">
        <v>900</v>
      </c>
      <c r="W323" s="1">
        <v>908</v>
      </c>
      <c r="X323" s="28">
        <v>2.99</v>
      </c>
      <c r="Y323" s="32">
        <v>0.3</v>
      </c>
      <c r="Z323" s="32">
        <v>0.7</v>
      </c>
      <c r="AA323" s="26"/>
      <c r="AB323" s="26"/>
      <c r="AC323" s="27" t="s">
        <v>901</v>
      </c>
      <c r="AD323" t="s">
        <v>519</v>
      </c>
      <c r="AE323">
        <v>4.25</v>
      </c>
      <c r="AF323" t="s">
        <v>279</v>
      </c>
      <c r="AH323" t="s">
        <v>903</v>
      </c>
      <c r="AJ323" s="15"/>
      <c r="AK323" t="s">
        <v>904</v>
      </c>
    </row>
    <row r="324" spans="1:37" hidden="1" x14ac:dyDescent="0.25">
      <c r="A324" s="1">
        <v>323</v>
      </c>
      <c r="B324" s="18">
        <v>39071</v>
      </c>
      <c r="C324" s="17"/>
      <c r="D324" s="18"/>
      <c r="E324" s="18"/>
      <c r="F324" s="18"/>
      <c r="G324" s="18" t="s">
        <v>261</v>
      </c>
      <c r="H324" s="18" t="s">
        <v>261</v>
      </c>
      <c r="I324" s="23" t="s">
        <v>894</v>
      </c>
      <c r="J324" s="18" t="s">
        <v>6</v>
      </c>
      <c r="K324" s="23" t="s">
        <v>257</v>
      </c>
      <c r="L324" s="18"/>
      <c r="M324" s="23" t="s">
        <v>905</v>
      </c>
      <c r="N324" s="18"/>
      <c r="O324" s="18" t="s">
        <v>261</v>
      </c>
      <c r="P324" s="23" t="s">
        <v>909</v>
      </c>
      <c r="Q324" s="23" t="s">
        <v>897</v>
      </c>
      <c r="R324" s="18"/>
      <c r="S324" s="18" t="s">
        <v>1122</v>
      </c>
      <c r="T324" s="18"/>
      <c r="U324" s="18"/>
      <c r="V324" s="18" t="s">
        <v>900</v>
      </c>
      <c r="W324" s="18"/>
      <c r="X324" s="18"/>
      <c r="Y324" s="18"/>
      <c r="Z324" s="18"/>
      <c r="AA324" s="17"/>
      <c r="AB324" s="17"/>
      <c r="AC324" s="18"/>
      <c r="AD324" s="17" t="s">
        <v>442</v>
      </c>
      <c r="AE324" s="17">
        <v>4.25</v>
      </c>
      <c r="AF324" s="17" t="s">
        <v>6</v>
      </c>
      <c r="AG324" s="17"/>
      <c r="AH324" t="s">
        <v>903</v>
      </c>
      <c r="AJ324" s="15"/>
      <c r="AK324" t="s">
        <v>908</v>
      </c>
    </row>
    <row r="325" spans="1:37" hidden="1" x14ac:dyDescent="0.25">
      <c r="A325" s="8">
        <v>324</v>
      </c>
      <c r="B325" s="1">
        <v>39161</v>
      </c>
      <c r="C325" s="26"/>
      <c r="D325" s="1">
        <v>311</v>
      </c>
      <c r="E325" s="1">
        <v>31101</v>
      </c>
      <c r="F325" s="1">
        <v>31101</v>
      </c>
      <c r="G325" s="27" t="s">
        <v>567</v>
      </c>
      <c r="H325" s="27" t="s">
        <v>61</v>
      </c>
      <c r="I325" s="27" t="s">
        <v>894</v>
      </c>
      <c r="J325" s="27" t="s">
        <v>279</v>
      </c>
      <c r="K325" s="27" t="s">
        <v>279</v>
      </c>
      <c r="L325" s="27" t="s">
        <v>895</v>
      </c>
      <c r="M325" s="27" t="s">
        <v>279</v>
      </c>
      <c r="N325" s="27" t="s">
        <v>895</v>
      </c>
      <c r="O325" s="27" t="s">
        <v>290</v>
      </c>
      <c r="P325" s="27" t="s">
        <v>909</v>
      </c>
      <c r="Q325" s="27" t="s">
        <v>897</v>
      </c>
      <c r="R325" s="1">
        <v>40009</v>
      </c>
      <c r="S325" s="27" t="s">
        <v>1123</v>
      </c>
      <c r="T325" s="27" t="s">
        <v>899</v>
      </c>
      <c r="U325" s="1">
        <v>58</v>
      </c>
      <c r="V325" s="27" t="s">
        <v>900</v>
      </c>
      <c r="W325" s="1">
        <v>908</v>
      </c>
      <c r="X325" s="28">
        <v>2.99</v>
      </c>
      <c r="Y325" s="29">
        <v>0.3</v>
      </c>
      <c r="Z325" s="29">
        <v>0.7</v>
      </c>
      <c r="AA325" s="26"/>
      <c r="AB325" s="26"/>
      <c r="AC325" s="27" t="s">
        <v>901</v>
      </c>
      <c r="AD325" t="s">
        <v>565</v>
      </c>
      <c r="AE325">
        <v>4.25</v>
      </c>
      <c r="AF325" t="s">
        <v>279</v>
      </c>
      <c r="AH325" t="s">
        <v>903</v>
      </c>
      <c r="AJ325" s="15"/>
      <c r="AK325" t="s">
        <v>904</v>
      </c>
    </row>
    <row r="326" spans="1:37" hidden="1" x14ac:dyDescent="0.25">
      <c r="A326" s="1">
        <v>325</v>
      </c>
      <c r="B326" s="21">
        <v>39181</v>
      </c>
      <c r="C326" s="22"/>
      <c r="D326" s="21">
        <v>311</v>
      </c>
      <c r="E326" s="21">
        <v>31102</v>
      </c>
      <c r="F326" s="21">
        <v>31102</v>
      </c>
      <c r="G326" s="23" t="s">
        <v>564</v>
      </c>
      <c r="H326" s="23" t="s">
        <v>61</v>
      </c>
      <c r="I326" s="23" t="s">
        <v>894</v>
      </c>
      <c r="J326" s="23" t="s">
        <v>279</v>
      </c>
      <c r="K326" s="23" t="s">
        <v>279</v>
      </c>
      <c r="L326" s="23" t="s">
        <v>895</v>
      </c>
      <c r="M326" s="23" t="s">
        <v>279</v>
      </c>
      <c r="N326" s="23" t="s">
        <v>895</v>
      </c>
      <c r="O326" s="23" t="s">
        <v>290</v>
      </c>
      <c r="P326" s="23" t="s">
        <v>896</v>
      </c>
      <c r="Q326" s="23" t="s">
        <v>897</v>
      </c>
      <c r="R326" s="21">
        <v>40029</v>
      </c>
      <c r="S326" s="23" t="s">
        <v>1123</v>
      </c>
      <c r="T326" s="23" t="s">
        <v>899</v>
      </c>
      <c r="U326" s="21">
        <v>58</v>
      </c>
      <c r="V326" s="23" t="s">
        <v>913</v>
      </c>
      <c r="W326" s="21">
        <v>1</v>
      </c>
      <c r="X326" s="24">
        <v>2.99</v>
      </c>
      <c r="Y326" s="25">
        <v>0.3</v>
      </c>
      <c r="Z326" s="25">
        <v>0.7</v>
      </c>
      <c r="AA326" s="22"/>
      <c r="AB326" s="22"/>
      <c r="AC326" s="23" t="s">
        <v>901</v>
      </c>
      <c r="AD326" s="17" t="s">
        <v>565</v>
      </c>
      <c r="AE326" s="17">
        <v>1</v>
      </c>
      <c r="AF326" s="17" t="s">
        <v>279</v>
      </c>
      <c r="AG326" s="17" t="s">
        <v>902</v>
      </c>
      <c r="AH326" t="s">
        <v>903</v>
      </c>
      <c r="AJ326" s="15"/>
      <c r="AK326" t="s">
        <v>904</v>
      </c>
    </row>
    <row r="327" spans="1:37" hidden="1" x14ac:dyDescent="0.25">
      <c r="A327" s="1">
        <v>326</v>
      </c>
      <c r="B327" s="1">
        <v>39301</v>
      </c>
      <c r="C327" s="26"/>
      <c r="D327" s="1">
        <v>439</v>
      </c>
      <c r="E327" s="1">
        <v>43902</v>
      </c>
      <c r="F327" s="1">
        <v>43902</v>
      </c>
      <c r="G327" s="27" t="s">
        <v>34</v>
      </c>
      <c r="H327" s="27" t="s">
        <v>32</v>
      </c>
      <c r="I327" s="27" t="s">
        <v>894</v>
      </c>
      <c r="J327" s="27" t="s">
        <v>12</v>
      </c>
      <c r="K327" s="27" t="s">
        <v>5</v>
      </c>
      <c r="L327" s="27" t="s">
        <v>901</v>
      </c>
      <c r="M327" s="27" t="s">
        <v>905</v>
      </c>
      <c r="N327" s="27" t="s">
        <v>5</v>
      </c>
      <c r="O327" s="27" t="s">
        <v>86</v>
      </c>
      <c r="P327" s="27" t="s">
        <v>896</v>
      </c>
      <c r="Q327" s="27" t="s">
        <v>897</v>
      </c>
      <c r="R327" s="1">
        <v>40129</v>
      </c>
      <c r="S327" s="27" t="s">
        <v>1124</v>
      </c>
      <c r="T327" s="27" t="s">
        <v>1125</v>
      </c>
      <c r="U327" s="1">
        <v>130</v>
      </c>
      <c r="V327" s="27" t="s">
        <v>900</v>
      </c>
      <c r="W327" s="1">
        <v>908</v>
      </c>
      <c r="X327" s="28">
        <v>0.82</v>
      </c>
      <c r="Y327" s="29">
        <v>0.5</v>
      </c>
      <c r="Z327" s="29">
        <v>0.5</v>
      </c>
      <c r="AA327" s="26"/>
      <c r="AB327" s="26"/>
      <c r="AC327" s="27" t="s">
        <v>901</v>
      </c>
      <c r="AD327" t="s">
        <v>311</v>
      </c>
      <c r="AE327">
        <v>4.25</v>
      </c>
      <c r="AF327" t="s">
        <v>862</v>
      </c>
      <c r="AG327" t="s">
        <v>1075</v>
      </c>
      <c r="AH327" t="s">
        <v>903</v>
      </c>
      <c r="AI327" t="s">
        <v>1076</v>
      </c>
      <c r="AJ327" s="15"/>
      <c r="AK327" t="s">
        <v>908</v>
      </c>
    </row>
    <row r="328" spans="1:37" hidden="1" x14ac:dyDescent="0.25">
      <c r="A328" s="8">
        <v>327</v>
      </c>
      <c r="B328" s="21">
        <v>39302</v>
      </c>
      <c r="C328" s="21">
        <v>39301</v>
      </c>
      <c r="D328" s="21">
        <v>439</v>
      </c>
      <c r="E328" s="21">
        <v>43901</v>
      </c>
      <c r="F328" s="21">
        <v>43901</v>
      </c>
      <c r="G328" s="23" t="s">
        <v>33</v>
      </c>
      <c r="H328" s="23" t="s">
        <v>32</v>
      </c>
      <c r="I328" s="23" t="s">
        <v>894</v>
      </c>
      <c r="J328" s="23" t="s">
        <v>12</v>
      </c>
      <c r="K328" s="23" t="s">
        <v>5</v>
      </c>
      <c r="L328" s="23" t="s">
        <v>901</v>
      </c>
      <c r="M328" s="23" t="s">
        <v>905</v>
      </c>
      <c r="N328" s="23" t="s">
        <v>5</v>
      </c>
      <c r="O328" s="23" t="s">
        <v>86</v>
      </c>
      <c r="P328" s="23" t="s">
        <v>896</v>
      </c>
      <c r="Q328" s="23" t="s">
        <v>897</v>
      </c>
      <c r="R328" s="21">
        <v>40129</v>
      </c>
      <c r="S328" s="23" t="s">
        <v>1124</v>
      </c>
      <c r="T328" s="23" t="s">
        <v>1090</v>
      </c>
      <c r="U328" s="21">
        <v>0</v>
      </c>
      <c r="V328" s="23" t="s">
        <v>900</v>
      </c>
      <c r="W328" s="21">
        <v>641</v>
      </c>
      <c r="X328" s="24">
        <v>0</v>
      </c>
      <c r="Y328" s="22"/>
      <c r="Z328" s="22"/>
      <c r="AA328" s="22"/>
      <c r="AB328" s="22"/>
      <c r="AC328" s="23" t="s">
        <v>901</v>
      </c>
      <c r="AD328" s="17" t="s">
        <v>311</v>
      </c>
      <c r="AE328" s="17">
        <v>4.25</v>
      </c>
      <c r="AF328" s="17" t="s">
        <v>862</v>
      </c>
      <c r="AG328" s="17" t="s">
        <v>1075</v>
      </c>
      <c r="AH328" t="s">
        <v>903</v>
      </c>
      <c r="AI328" t="s">
        <v>1076</v>
      </c>
      <c r="AJ328" s="15"/>
      <c r="AK328" t="s">
        <v>908</v>
      </c>
    </row>
    <row r="329" spans="1:37" hidden="1" x14ac:dyDescent="0.25">
      <c r="A329" s="1">
        <v>328</v>
      </c>
      <c r="B329" s="1">
        <v>39321</v>
      </c>
      <c r="C329" s="26"/>
      <c r="D329" s="1">
        <v>438</v>
      </c>
      <c r="E329" s="1">
        <v>43802</v>
      </c>
      <c r="F329" s="1">
        <v>43802</v>
      </c>
      <c r="G329" s="27" t="s">
        <v>15</v>
      </c>
      <c r="H329" s="27" t="s">
        <v>13</v>
      </c>
      <c r="I329" s="27" t="s">
        <v>894</v>
      </c>
      <c r="J329" s="27" t="s">
        <v>12</v>
      </c>
      <c r="K329" s="27" t="s">
        <v>5</v>
      </c>
      <c r="L329" s="27" t="s">
        <v>901</v>
      </c>
      <c r="M329" s="27" t="s">
        <v>905</v>
      </c>
      <c r="N329" s="27" t="s">
        <v>5</v>
      </c>
      <c r="O329" s="27" t="s">
        <v>86</v>
      </c>
      <c r="P329" s="27" t="s">
        <v>896</v>
      </c>
      <c r="Q329" s="27" t="s">
        <v>897</v>
      </c>
      <c r="R329" s="1">
        <v>40149</v>
      </c>
      <c r="S329" s="27" t="s">
        <v>1126</v>
      </c>
      <c r="T329" s="27" t="s">
        <v>1127</v>
      </c>
      <c r="U329" s="1">
        <v>130</v>
      </c>
      <c r="V329" s="27" t="s">
        <v>900</v>
      </c>
      <c r="W329" s="1">
        <v>908</v>
      </c>
      <c r="X329" s="28">
        <v>0.82</v>
      </c>
      <c r="Y329" s="29">
        <v>0.5</v>
      </c>
      <c r="Z329" s="29">
        <v>0.5</v>
      </c>
      <c r="AA329" s="26"/>
      <c r="AB329" s="26"/>
      <c r="AC329" s="27" t="s">
        <v>901</v>
      </c>
      <c r="AD329" t="s">
        <v>309</v>
      </c>
      <c r="AE329">
        <v>4.25</v>
      </c>
      <c r="AF329" t="s">
        <v>862</v>
      </c>
      <c r="AG329" t="s">
        <v>1075</v>
      </c>
      <c r="AH329" t="s">
        <v>903</v>
      </c>
      <c r="AI329" t="s">
        <v>1076</v>
      </c>
      <c r="AJ329" s="15"/>
      <c r="AK329" t="s">
        <v>908</v>
      </c>
    </row>
    <row r="330" spans="1:37" hidden="1" x14ac:dyDescent="0.25">
      <c r="A330" s="1">
        <v>329</v>
      </c>
      <c r="B330" s="21">
        <v>39322</v>
      </c>
      <c r="C330" s="34">
        <v>39321</v>
      </c>
      <c r="D330" s="21">
        <v>438</v>
      </c>
      <c r="E330" s="21">
        <v>43801</v>
      </c>
      <c r="F330" s="21">
        <v>43801</v>
      </c>
      <c r="G330" s="23" t="s">
        <v>14</v>
      </c>
      <c r="H330" s="23" t="s">
        <v>13</v>
      </c>
      <c r="I330" s="23" t="s">
        <v>894</v>
      </c>
      <c r="J330" s="23" t="s">
        <v>12</v>
      </c>
      <c r="K330" s="23" t="s">
        <v>5</v>
      </c>
      <c r="L330" s="23" t="s">
        <v>901</v>
      </c>
      <c r="M330" s="23" t="s">
        <v>905</v>
      </c>
      <c r="N330" s="23" t="s">
        <v>5</v>
      </c>
      <c r="O330" s="23" t="s">
        <v>86</v>
      </c>
      <c r="P330" s="23" t="s">
        <v>896</v>
      </c>
      <c r="Q330" s="23" t="s">
        <v>897</v>
      </c>
      <c r="R330" s="21">
        <v>40149</v>
      </c>
      <c r="S330" s="23" t="s">
        <v>1126</v>
      </c>
      <c r="T330" s="23" t="s">
        <v>1090</v>
      </c>
      <c r="U330" s="21">
        <v>0</v>
      </c>
      <c r="V330" s="23" t="s">
        <v>900</v>
      </c>
      <c r="W330" s="21">
        <v>641</v>
      </c>
      <c r="X330" s="24">
        <v>0</v>
      </c>
      <c r="Y330" s="31"/>
      <c r="Z330" s="31"/>
      <c r="AA330" s="22"/>
      <c r="AB330" s="22"/>
      <c r="AC330" s="23" t="s">
        <v>901</v>
      </c>
      <c r="AD330" s="17" t="s">
        <v>309</v>
      </c>
      <c r="AE330" s="17">
        <v>4.25</v>
      </c>
      <c r="AF330" s="17" t="s">
        <v>862</v>
      </c>
      <c r="AG330" s="17" t="s">
        <v>1075</v>
      </c>
      <c r="AH330" t="s">
        <v>903</v>
      </c>
      <c r="AI330" t="s">
        <v>1076</v>
      </c>
      <c r="AJ330" s="15"/>
      <c r="AK330" t="s">
        <v>908</v>
      </c>
    </row>
    <row r="331" spans="1:37" hidden="1" x14ac:dyDescent="0.25">
      <c r="A331" s="8">
        <v>330</v>
      </c>
      <c r="B331" s="1">
        <v>39361</v>
      </c>
      <c r="C331" s="30"/>
      <c r="D331" s="1">
        <v>300</v>
      </c>
      <c r="E331" s="1">
        <v>30001</v>
      </c>
      <c r="F331" s="1">
        <v>30001</v>
      </c>
      <c r="G331" s="27" t="s">
        <v>572</v>
      </c>
      <c r="H331" s="27" t="s">
        <v>61</v>
      </c>
      <c r="I331" s="27" t="s">
        <v>894</v>
      </c>
      <c r="J331" s="27" t="s">
        <v>279</v>
      </c>
      <c r="K331" s="27" t="s">
        <v>279</v>
      </c>
      <c r="L331" s="27" t="s">
        <v>895</v>
      </c>
      <c r="M331" s="27" t="s">
        <v>279</v>
      </c>
      <c r="N331" s="27" t="s">
        <v>895</v>
      </c>
      <c r="O331" s="27" t="s">
        <v>290</v>
      </c>
      <c r="P331" s="27" t="s">
        <v>909</v>
      </c>
      <c r="Q331" s="27" t="s">
        <v>897</v>
      </c>
      <c r="R331" s="1">
        <v>40189</v>
      </c>
      <c r="S331" s="27" t="s">
        <v>1128</v>
      </c>
      <c r="T331" s="27" t="s">
        <v>1129</v>
      </c>
      <c r="U331" s="1">
        <v>12</v>
      </c>
      <c r="V331" s="27" t="s">
        <v>900</v>
      </c>
      <c r="W331" s="1">
        <v>908</v>
      </c>
      <c r="X331" s="28">
        <v>5</v>
      </c>
      <c r="Y331" s="32">
        <v>0.3</v>
      </c>
      <c r="Z331" s="32">
        <v>0.7</v>
      </c>
      <c r="AA331" s="26"/>
      <c r="AB331" s="26"/>
      <c r="AC331" s="27" t="s">
        <v>901</v>
      </c>
      <c r="AD331" t="s">
        <v>573</v>
      </c>
      <c r="AE331">
        <v>4.25</v>
      </c>
      <c r="AF331" t="s">
        <v>279</v>
      </c>
      <c r="AH331" t="s">
        <v>903</v>
      </c>
      <c r="AJ331" s="15"/>
      <c r="AK331" t="s">
        <v>904</v>
      </c>
    </row>
    <row r="332" spans="1:37" hidden="1" x14ac:dyDescent="0.25">
      <c r="A332" s="1">
        <v>331</v>
      </c>
      <c r="B332" s="21">
        <v>39480</v>
      </c>
      <c r="C332" s="22"/>
      <c r="D332" s="21">
        <v>445</v>
      </c>
      <c r="E332" s="21">
        <v>44501</v>
      </c>
      <c r="F332" s="21">
        <v>44501</v>
      </c>
      <c r="G332" s="23" t="s">
        <v>456</v>
      </c>
      <c r="H332" s="23" t="s">
        <v>61</v>
      </c>
      <c r="I332" s="23" t="s">
        <v>894</v>
      </c>
      <c r="J332" s="23" t="s">
        <v>279</v>
      </c>
      <c r="K332" s="23" t="s">
        <v>279</v>
      </c>
      <c r="L332" s="23" t="s">
        <v>895</v>
      </c>
      <c r="M332" s="23" t="s">
        <v>279</v>
      </c>
      <c r="N332" s="23" t="s">
        <v>895</v>
      </c>
      <c r="O332" s="23" t="s">
        <v>450</v>
      </c>
      <c r="P332" s="23" t="s">
        <v>896</v>
      </c>
      <c r="Q332" s="23" t="s">
        <v>897</v>
      </c>
      <c r="R332" s="21">
        <v>40209</v>
      </c>
      <c r="S332" s="23" t="s">
        <v>1130</v>
      </c>
      <c r="T332" s="23" t="s">
        <v>1131</v>
      </c>
      <c r="U332" s="21">
        <v>137</v>
      </c>
      <c r="V332" s="23" t="s">
        <v>900</v>
      </c>
      <c r="W332" s="21">
        <v>908</v>
      </c>
      <c r="X332" s="24">
        <v>2.4700000000000002</v>
      </c>
      <c r="Y332" s="25">
        <v>0.3</v>
      </c>
      <c r="Z332" s="25">
        <v>0.7</v>
      </c>
      <c r="AA332" s="22"/>
      <c r="AB332" s="22"/>
      <c r="AC332" s="23" t="s">
        <v>901</v>
      </c>
      <c r="AD332" s="17" t="s">
        <v>457</v>
      </c>
      <c r="AE332" s="17">
        <v>4.25</v>
      </c>
      <c r="AF332" s="17" t="s">
        <v>279</v>
      </c>
      <c r="AG332" s="17"/>
      <c r="AH332" t="s">
        <v>903</v>
      </c>
      <c r="AJ332" s="15"/>
      <c r="AK332" t="s">
        <v>904</v>
      </c>
    </row>
    <row r="333" spans="1:37" hidden="1" x14ac:dyDescent="0.25">
      <c r="A333" s="1">
        <v>332</v>
      </c>
      <c r="B333" s="1">
        <v>39561</v>
      </c>
      <c r="C333" s="26"/>
      <c r="D333" s="1">
        <v>288</v>
      </c>
      <c r="E333" s="1">
        <v>28801</v>
      </c>
      <c r="F333" s="1">
        <v>28801</v>
      </c>
      <c r="G333" s="27" t="s">
        <v>528</v>
      </c>
      <c r="H333" s="27" t="s">
        <v>61</v>
      </c>
      <c r="I333" s="27" t="s">
        <v>894</v>
      </c>
      <c r="J333" s="27" t="s">
        <v>279</v>
      </c>
      <c r="K333" s="27" t="s">
        <v>279</v>
      </c>
      <c r="L333" s="27" t="s">
        <v>895</v>
      </c>
      <c r="M333" s="27" t="s">
        <v>279</v>
      </c>
      <c r="N333" s="27" t="s">
        <v>895</v>
      </c>
      <c r="O333" s="27" t="s">
        <v>325</v>
      </c>
      <c r="P333" s="27" t="s">
        <v>896</v>
      </c>
      <c r="Q333" s="27" t="s">
        <v>897</v>
      </c>
      <c r="R333" s="1">
        <v>40269</v>
      </c>
      <c r="S333" s="27" t="s">
        <v>1132</v>
      </c>
      <c r="T333" s="27" t="s">
        <v>1133</v>
      </c>
      <c r="U333" s="1">
        <v>59</v>
      </c>
      <c r="V333" s="27" t="s">
        <v>900</v>
      </c>
      <c r="W333" s="1">
        <v>908</v>
      </c>
      <c r="X333" s="28">
        <v>3.49</v>
      </c>
      <c r="Y333" s="29">
        <v>0.3</v>
      </c>
      <c r="Z333" s="29">
        <v>0.7</v>
      </c>
      <c r="AA333" s="26"/>
      <c r="AB333" s="26"/>
      <c r="AC333" s="27" t="s">
        <v>901</v>
      </c>
      <c r="AD333" t="s">
        <v>527</v>
      </c>
      <c r="AE333">
        <v>4.25</v>
      </c>
      <c r="AF333" t="s">
        <v>279</v>
      </c>
      <c r="AH333" t="s">
        <v>903</v>
      </c>
      <c r="AJ333" s="15"/>
      <c r="AK333" t="s">
        <v>904</v>
      </c>
    </row>
    <row r="334" spans="1:37" hidden="1" x14ac:dyDescent="0.25">
      <c r="A334" s="8">
        <v>333</v>
      </c>
      <c r="B334" s="21">
        <v>39581</v>
      </c>
      <c r="C334" s="22"/>
      <c r="D334" s="21">
        <v>468</v>
      </c>
      <c r="E334" s="21">
        <v>46801</v>
      </c>
      <c r="F334" s="21">
        <v>46801</v>
      </c>
      <c r="G334" s="23" t="s">
        <v>657</v>
      </c>
      <c r="H334" s="23" t="s">
        <v>654</v>
      </c>
      <c r="I334" s="23" t="s">
        <v>894</v>
      </c>
      <c r="J334" s="23" t="s">
        <v>280</v>
      </c>
      <c r="K334" s="23" t="s">
        <v>280</v>
      </c>
      <c r="L334" s="23" t="s">
        <v>901</v>
      </c>
      <c r="M334" s="23" t="s">
        <v>280</v>
      </c>
      <c r="N334" s="23" t="s">
        <v>901</v>
      </c>
      <c r="O334" s="23" t="s">
        <v>305</v>
      </c>
      <c r="P334" s="23" t="s">
        <v>896</v>
      </c>
      <c r="Q334" s="23" t="s">
        <v>897</v>
      </c>
      <c r="R334" s="21">
        <v>40289</v>
      </c>
      <c r="S334" s="23" t="s">
        <v>1134</v>
      </c>
      <c r="T334" s="23" t="s">
        <v>917</v>
      </c>
      <c r="U334" s="21">
        <v>54</v>
      </c>
      <c r="V334" s="23" t="s">
        <v>900</v>
      </c>
      <c r="W334" s="21">
        <v>908</v>
      </c>
      <c r="X334" s="24">
        <v>0.99</v>
      </c>
      <c r="Y334" s="25">
        <v>0.8</v>
      </c>
      <c r="Z334" s="25">
        <v>0.2</v>
      </c>
      <c r="AA334" s="22"/>
      <c r="AB334" s="22"/>
      <c r="AC334" s="23" t="s">
        <v>901</v>
      </c>
      <c r="AD334" s="17" t="s">
        <v>656</v>
      </c>
      <c r="AE334" s="17">
        <v>4.25</v>
      </c>
      <c r="AF334" s="17" t="s">
        <v>280</v>
      </c>
      <c r="AG334" s="17" t="s">
        <v>1075</v>
      </c>
      <c r="AH334" t="s">
        <v>903</v>
      </c>
      <c r="AJ334" s="15">
        <f>VLOOKUP(Tabla1[[#This Row],[CPC]],[1]Sheet3!$A:$D,4,0)</f>
        <v>0.80005884083553824</v>
      </c>
      <c r="AK334" t="s">
        <v>908</v>
      </c>
    </row>
    <row r="335" spans="1:37" hidden="1" x14ac:dyDescent="0.25">
      <c r="A335" s="1">
        <v>334</v>
      </c>
      <c r="B335" s="1">
        <v>39582</v>
      </c>
      <c r="C335" s="35">
        <v>39581</v>
      </c>
      <c r="D335" s="1">
        <v>468</v>
      </c>
      <c r="E335" s="1">
        <v>46802</v>
      </c>
      <c r="F335" s="1">
        <v>46802</v>
      </c>
      <c r="G335" s="27" t="s">
        <v>655</v>
      </c>
      <c r="H335" s="27" t="s">
        <v>654</v>
      </c>
      <c r="I335" s="27" t="s">
        <v>894</v>
      </c>
      <c r="J335" s="27" t="s">
        <v>280</v>
      </c>
      <c r="K335" s="27" t="s">
        <v>280</v>
      </c>
      <c r="L335" s="27" t="s">
        <v>901</v>
      </c>
      <c r="M335" s="27" t="s">
        <v>280</v>
      </c>
      <c r="N335" s="27" t="s">
        <v>901</v>
      </c>
      <c r="O335" s="27" t="s">
        <v>305</v>
      </c>
      <c r="P335" s="27" t="s">
        <v>896</v>
      </c>
      <c r="Q335" s="27" t="s">
        <v>897</v>
      </c>
      <c r="R335" s="1">
        <v>40289</v>
      </c>
      <c r="S335" s="27" t="s">
        <v>1134</v>
      </c>
      <c r="T335" s="27" t="s">
        <v>1090</v>
      </c>
      <c r="U335" s="1">
        <v>0</v>
      </c>
      <c r="V335" s="27" t="s">
        <v>900</v>
      </c>
      <c r="W335" s="1">
        <v>641</v>
      </c>
      <c r="X335" s="28">
        <v>0</v>
      </c>
      <c r="Y335" s="30"/>
      <c r="Z335" s="30"/>
      <c r="AA335" s="26"/>
      <c r="AB335" s="26"/>
      <c r="AC335" s="27" t="s">
        <v>901</v>
      </c>
      <c r="AD335" t="s">
        <v>656</v>
      </c>
      <c r="AE335">
        <v>4.25</v>
      </c>
      <c r="AF335" t="s">
        <v>280</v>
      </c>
      <c r="AG335" t="s">
        <v>1075</v>
      </c>
      <c r="AH335" t="s">
        <v>903</v>
      </c>
      <c r="AJ335" s="15"/>
      <c r="AK335" t="s">
        <v>908</v>
      </c>
    </row>
    <row r="336" spans="1:37" hidden="1" x14ac:dyDescent="0.25">
      <c r="A336" s="1">
        <v>335</v>
      </c>
      <c r="B336" s="21">
        <v>39621</v>
      </c>
      <c r="C336" s="31"/>
      <c r="D336" s="21">
        <v>385</v>
      </c>
      <c r="E336" s="21">
        <v>38501</v>
      </c>
      <c r="F336" s="21">
        <v>38501</v>
      </c>
      <c r="G336" s="23" t="s">
        <v>580</v>
      </c>
      <c r="H336" s="23" t="s">
        <v>61</v>
      </c>
      <c r="I336" s="23" t="s">
        <v>894</v>
      </c>
      <c r="J336" s="23" t="s">
        <v>279</v>
      </c>
      <c r="K336" s="23" t="s">
        <v>279</v>
      </c>
      <c r="L336" s="23" t="s">
        <v>895</v>
      </c>
      <c r="M336" s="23" t="s">
        <v>279</v>
      </c>
      <c r="N336" s="23" t="s">
        <v>895</v>
      </c>
      <c r="O336" s="23" t="s">
        <v>346</v>
      </c>
      <c r="P336" s="23" t="s">
        <v>896</v>
      </c>
      <c r="Q336" s="23" t="s">
        <v>897</v>
      </c>
      <c r="R336" s="21">
        <v>40309</v>
      </c>
      <c r="S336" s="23" t="s">
        <v>1135</v>
      </c>
      <c r="T336" s="23" t="s">
        <v>899</v>
      </c>
      <c r="U336" s="21">
        <v>58</v>
      </c>
      <c r="V336" s="23" t="s">
        <v>900</v>
      </c>
      <c r="W336" s="21">
        <v>908</v>
      </c>
      <c r="X336" s="24">
        <v>2.99</v>
      </c>
      <c r="Y336" s="33">
        <v>0.4</v>
      </c>
      <c r="Z336" s="33">
        <v>0.6</v>
      </c>
      <c r="AA336" s="22"/>
      <c r="AB336" s="22"/>
      <c r="AC336" s="23" t="s">
        <v>901</v>
      </c>
      <c r="AD336" s="17" t="s">
        <v>581</v>
      </c>
      <c r="AE336" s="17">
        <v>4.25</v>
      </c>
      <c r="AF336" s="17" t="s">
        <v>279</v>
      </c>
      <c r="AG336" s="17" t="s">
        <v>902</v>
      </c>
      <c r="AH336" t="s">
        <v>903</v>
      </c>
      <c r="AJ336" s="15">
        <f>VLOOKUP(Tabla1[[#This Row],[CPC]],[1]Sheet3!$A:$D,4,0)</f>
        <v>0.40000008320481584</v>
      </c>
      <c r="AK336" t="s">
        <v>904</v>
      </c>
    </row>
    <row r="337" spans="1:37" ht="15" hidden="1" customHeight="1" x14ac:dyDescent="0.25">
      <c r="A337" s="8">
        <v>336</v>
      </c>
      <c r="B337" s="1">
        <v>39681</v>
      </c>
      <c r="C337" s="26"/>
      <c r="D337" s="1">
        <v>362</v>
      </c>
      <c r="E337" s="1">
        <v>36203</v>
      </c>
      <c r="F337" s="1">
        <v>36203</v>
      </c>
      <c r="G337" s="27" t="s">
        <v>184</v>
      </c>
      <c r="H337" s="27" t="s">
        <v>182</v>
      </c>
      <c r="I337" s="27" t="s">
        <v>894</v>
      </c>
      <c r="J337" s="27" t="s">
        <v>123</v>
      </c>
      <c r="K337" s="27" t="s">
        <v>123</v>
      </c>
      <c r="L337" s="27" t="s">
        <v>901</v>
      </c>
      <c r="M337" s="27" t="s">
        <v>123</v>
      </c>
      <c r="N337" s="27" t="s">
        <v>901</v>
      </c>
      <c r="O337" s="27" t="s">
        <v>325</v>
      </c>
      <c r="P337" s="27" t="s">
        <v>896</v>
      </c>
      <c r="Q337" s="27" t="s">
        <v>897</v>
      </c>
      <c r="R337" s="1">
        <v>40329</v>
      </c>
      <c r="S337" s="27" t="s">
        <v>1136</v>
      </c>
      <c r="T337" s="27" t="s">
        <v>1120</v>
      </c>
      <c r="U337" s="1">
        <v>128</v>
      </c>
      <c r="V337" s="27" t="s">
        <v>900</v>
      </c>
      <c r="W337" s="1">
        <v>908</v>
      </c>
      <c r="X337" s="28">
        <v>1.64</v>
      </c>
      <c r="Y337" s="29">
        <v>0.5</v>
      </c>
      <c r="Z337" s="29">
        <v>0.5</v>
      </c>
      <c r="AA337" s="26"/>
      <c r="AB337" s="26"/>
      <c r="AC337" s="27" t="s">
        <v>901</v>
      </c>
      <c r="AD337" t="s">
        <v>372</v>
      </c>
      <c r="AE337">
        <v>4.25</v>
      </c>
      <c r="AF337" t="s">
        <v>123</v>
      </c>
      <c r="AG337" t="s">
        <v>902</v>
      </c>
      <c r="AH337" t="s">
        <v>903</v>
      </c>
      <c r="AJ337" s="15">
        <f>VLOOKUP(Tabla1[[#This Row],[CPC]],[1]Sheet3!$A:$D,4,0)</f>
        <v>0.5</v>
      </c>
      <c r="AK337" t="s">
        <v>908</v>
      </c>
    </row>
    <row r="338" spans="1:37" ht="15" hidden="1" customHeight="1" x14ac:dyDescent="0.25">
      <c r="A338" s="1">
        <v>337</v>
      </c>
      <c r="B338" s="21">
        <v>39682</v>
      </c>
      <c r="C338" s="34">
        <v>39681</v>
      </c>
      <c r="D338" s="21">
        <v>362</v>
      </c>
      <c r="E338" s="21">
        <v>36201</v>
      </c>
      <c r="F338" s="21">
        <v>36201</v>
      </c>
      <c r="G338" s="23" t="s">
        <v>183</v>
      </c>
      <c r="H338" s="23" t="s">
        <v>182</v>
      </c>
      <c r="I338" s="23" t="s">
        <v>894</v>
      </c>
      <c r="J338" s="23" t="s">
        <v>123</v>
      </c>
      <c r="K338" s="23" t="s">
        <v>123</v>
      </c>
      <c r="L338" s="23" t="s">
        <v>901</v>
      </c>
      <c r="M338" s="23" t="s">
        <v>123</v>
      </c>
      <c r="N338" s="23" t="s">
        <v>901</v>
      </c>
      <c r="O338" s="23" t="s">
        <v>325</v>
      </c>
      <c r="P338" s="23" t="s">
        <v>896</v>
      </c>
      <c r="Q338" s="23" t="s">
        <v>897</v>
      </c>
      <c r="R338" s="21">
        <v>40329</v>
      </c>
      <c r="S338" s="23" t="s">
        <v>1136</v>
      </c>
      <c r="T338" s="23" t="s">
        <v>1090</v>
      </c>
      <c r="U338" s="21">
        <v>0</v>
      </c>
      <c r="V338" s="23" t="s">
        <v>900</v>
      </c>
      <c r="W338" s="21">
        <v>641</v>
      </c>
      <c r="X338" s="24">
        <v>0</v>
      </c>
      <c r="Y338" s="31"/>
      <c r="Z338" s="31"/>
      <c r="AA338" s="22"/>
      <c r="AB338" s="22"/>
      <c r="AC338" s="23" t="s">
        <v>901</v>
      </c>
      <c r="AD338" s="17" t="s">
        <v>372</v>
      </c>
      <c r="AE338" s="17">
        <v>4.25</v>
      </c>
      <c r="AF338" s="17" t="s">
        <v>123</v>
      </c>
      <c r="AG338" s="17" t="s">
        <v>902</v>
      </c>
      <c r="AH338" t="s">
        <v>903</v>
      </c>
      <c r="AJ338" s="15"/>
      <c r="AK338" t="s">
        <v>908</v>
      </c>
    </row>
    <row r="339" spans="1:37" ht="15" hidden="1" customHeight="1" x14ac:dyDescent="0.25">
      <c r="A339" s="1">
        <v>338</v>
      </c>
      <c r="B339" s="1">
        <v>39721</v>
      </c>
      <c r="C339" s="30"/>
      <c r="D339" s="1">
        <v>349</v>
      </c>
      <c r="E339" s="1">
        <v>34901</v>
      </c>
      <c r="F339" s="1">
        <v>34901</v>
      </c>
      <c r="G339" s="27" t="s">
        <v>207</v>
      </c>
      <c r="H339" s="27" t="s">
        <v>206</v>
      </c>
      <c r="I339" s="27" t="s">
        <v>894</v>
      </c>
      <c r="J339" s="27" t="s">
        <v>123</v>
      </c>
      <c r="K339" s="27" t="s">
        <v>123</v>
      </c>
      <c r="L339" s="27" t="s">
        <v>901</v>
      </c>
      <c r="M339" s="27" t="s">
        <v>123</v>
      </c>
      <c r="N339" s="27" t="s">
        <v>901</v>
      </c>
      <c r="O339" s="27" t="s">
        <v>122</v>
      </c>
      <c r="P339" s="27" t="s">
        <v>896</v>
      </c>
      <c r="Q339" s="27" t="s">
        <v>897</v>
      </c>
      <c r="R339" s="1">
        <v>40349</v>
      </c>
      <c r="S339" s="27" t="s">
        <v>1137</v>
      </c>
      <c r="T339" s="27" t="s">
        <v>1120</v>
      </c>
      <c r="U339" s="1">
        <v>128</v>
      </c>
      <c r="V339" s="27" t="s">
        <v>900</v>
      </c>
      <c r="W339" s="1">
        <v>908</v>
      </c>
      <c r="X339" s="28">
        <v>1.64</v>
      </c>
      <c r="Y339" s="32">
        <v>0.45</v>
      </c>
      <c r="Z339" s="32">
        <v>0.55000000000000004</v>
      </c>
      <c r="AA339" s="26"/>
      <c r="AB339" s="26"/>
      <c r="AC339" s="27" t="s">
        <v>901</v>
      </c>
      <c r="AD339" t="s">
        <v>358</v>
      </c>
      <c r="AE339">
        <v>4.25</v>
      </c>
      <c r="AF339" t="s">
        <v>123</v>
      </c>
      <c r="AG339" t="s">
        <v>902</v>
      </c>
      <c r="AH339" t="s">
        <v>903</v>
      </c>
      <c r="AJ339" s="15">
        <f>VLOOKUP(Tabla1[[#This Row],[CPC]],[1]Sheet3!$A:$D,4,0)</f>
        <v>0.44999017205678449</v>
      </c>
      <c r="AK339" t="s">
        <v>908</v>
      </c>
    </row>
    <row r="340" spans="1:37" ht="15" hidden="1" customHeight="1" x14ac:dyDescent="0.25">
      <c r="A340" s="8">
        <v>339</v>
      </c>
      <c r="B340" s="21">
        <v>39923</v>
      </c>
      <c r="C340" s="22"/>
      <c r="D340" s="21">
        <v>241</v>
      </c>
      <c r="E340" s="21">
        <v>24101</v>
      </c>
      <c r="F340" s="21">
        <v>24101</v>
      </c>
      <c r="G340" s="23" t="s">
        <v>85</v>
      </c>
      <c r="H340" s="23" t="s">
        <v>84</v>
      </c>
      <c r="I340" s="23" t="s">
        <v>894</v>
      </c>
      <c r="J340" s="23" t="s">
        <v>6</v>
      </c>
      <c r="K340" s="23" t="s">
        <v>36</v>
      </c>
      <c r="L340" s="23" t="s">
        <v>901</v>
      </c>
      <c r="M340" s="23" t="s">
        <v>905</v>
      </c>
      <c r="N340" s="23" t="s">
        <v>36</v>
      </c>
      <c r="O340" s="23" t="s">
        <v>122</v>
      </c>
      <c r="P340" s="23" t="s">
        <v>896</v>
      </c>
      <c r="Q340" s="23" t="s">
        <v>897</v>
      </c>
      <c r="R340" s="21">
        <v>40469</v>
      </c>
      <c r="S340" s="23" t="s">
        <v>1138</v>
      </c>
      <c r="T340" s="23" t="s">
        <v>1118</v>
      </c>
      <c r="U340" s="21">
        <v>135</v>
      </c>
      <c r="V340" s="23" t="s">
        <v>900</v>
      </c>
      <c r="W340" s="21">
        <v>908</v>
      </c>
      <c r="X340" s="24">
        <v>1.23</v>
      </c>
      <c r="Y340" s="25">
        <v>0.45</v>
      </c>
      <c r="Z340" s="25">
        <v>0.55000000000000004</v>
      </c>
      <c r="AA340" s="22"/>
      <c r="AB340" s="22"/>
      <c r="AC340" s="23" t="s">
        <v>901</v>
      </c>
      <c r="AD340" s="17" t="s">
        <v>338</v>
      </c>
      <c r="AE340" s="17">
        <v>4.25</v>
      </c>
      <c r="AF340" s="17" t="s">
        <v>6</v>
      </c>
      <c r="AG340" s="17" t="s">
        <v>1040</v>
      </c>
      <c r="AH340" t="s">
        <v>903</v>
      </c>
      <c r="AJ340" s="15">
        <f>VLOOKUP(Tabla1[[#This Row],[CPC]],[1]Sheet3!$A:$D,4,0)</f>
        <v>0.45000541103580732</v>
      </c>
      <c r="AK340" t="s">
        <v>908</v>
      </c>
    </row>
    <row r="341" spans="1:37" ht="15" hidden="1" customHeight="1" x14ac:dyDescent="0.25">
      <c r="A341" s="1">
        <v>340</v>
      </c>
      <c r="B341" s="1">
        <v>40021</v>
      </c>
      <c r="C341" s="26"/>
      <c r="D341" s="1">
        <v>473</v>
      </c>
      <c r="E341" s="1">
        <v>47305</v>
      </c>
      <c r="F341" s="1">
        <v>47305</v>
      </c>
      <c r="G341" s="27" t="s">
        <v>175</v>
      </c>
      <c r="H341" s="27" t="s">
        <v>174</v>
      </c>
      <c r="I341" s="27" t="s">
        <v>894</v>
      </c>
      <c r="J341" s="27" t="s">
        <v>123</v>
      </c>
      <c r="K341" s="27" t="s">
        <v>123</v>
      </c>
      <c r="L341" s="27" t="s">
        <v>901</v>
      </c>
      <c r="M341" s="27" t="s">
        <v>123</v>
      </c>
      <c r="N341" s="27" t="s">
        <v>901</v>
      </c>
      <c r="O341" s="27" t="s">
        <v>325</v>
      </c>
      <c r="P341" s="27" t="s">
        <v>896</v>
      </c>
      <c r="Q341" s="27" t="s">
        <v>897</v>
      </c>
      <c r="R341" s="1">
        <v>40509</v>
      </c>
      <c r="S341" s="27" t="s">
        <v>1139</v>
      </c>
      <c r="T341" s="27" t="s">
        <v>1045</v>
      </c>
      <c r="U341" s="1">
        <v>62</v>
      </c>
      <c r="V341" s="27" t="s">
        <v>913</v>
      </c>
      <c r="W341" s="1">
        <v>1</v>
      </c>
      <c r="X341" s="28">
        <v>4.99</v>
      </c>
      <c r="Y341" s="29">
        <v>0.5</v>
      </c>
      <c r="Z341" s="29">
        <v>0.5</v>
      </c>
      <c r="AA341" s="26"/>
      <c r="AB341" s="26"/>
      <c r="AC341" s="27" t="s">
        <v>901</v>
      </c>
      <c r="AD341" t="s">
        <v>371</v>
      </c>
      <c r="AE341">
        <v>1</v>
      </c>
      <c r="AF341" t="s">
        <v>123</v>
      </c>
      <c r="AG341" t="s">
        <v>902</v>
      </c>
      <c r="AH341" t="s">
        <v>903</v>
      </c>
      <c r="AJ341" s="15"/>
      <c r="AK341" t="s">
        <v>908</v>
      </c>
    </row>
    <row r="342" spans="1:37" ht="15" hidden="1" customHeight="1" x14ac:dyDescent="0.25">
      <c r="A342" s="1">
        <v>341</v>
      </c>
      <c r="B342" s="21">
        <v>40061</v>
      </c>
      <c r="C342" s="22"/>
      <c r="D342" s="21">
        <v>434</v>
      </c>
      <c r="E342" s="21">
        <v>43402</v>
      </c>
      <c r="F342" s="21">
        <v>43402</v>
      </c>
      <c r="G342" s="23" t="s">
        <v>27</v>
      </c>
      <c r="H342" s="23" t="s">
        <v>24</v>
      </c>
      <c r="I342" s="23" t="s">
        <v>894</v>
      </c>
      <c r="J342" s="23" t="s">
        <v>12</v>
      </c>
      <c r="K342" s="23" t="s">
        <v>5</v>
      </c>
      <c r="L342" s="23" t="s">
        <v>901</v>
      </c>
      <c r="M342" s="23" t="s">
        <v>905</v>
      </c>
      <c r="N342" s="23" t="s">
        <v>5</v>
      </c>
      <c r="O342" s="23" t="s">
        <v>305</v>
      </c>
      <c r="P342" s="23" t="s">
        <v>896</v>
      </c>
      <c r="Q342" s="23" t="s">
        <v>897</v>
      </c>
      <c r="R342" s="21">
        <v>40529</v>
      </c>
      <c r="S342" s="23" t="s">
        <v>1140</v>
      </c>
      <c r="T342" s="23" t="s">
        <v>1118</v>
      </c>
      <c r="U342" s="21">
        <v>135</v>
      </c>
      <c r="V342" s="23" t="s">
        <v>900</v>
      </c>
      <c r="W342" s="21">
        <v>908</v>
      </c>
      <c r="X342" s="24">
        <v>1.23</v>
      </c>
      <c r="Y342" s="25">
        <v>0.6</v>
      </c>
      <c r="Z342" s="25">
        <v>0.4</v>
      </c>
      <c r="AA342" s="22"/>
      <c r="AB342" s="22"/>
      <c r="AC342" s="23" t="s">
        <v>901</v>
      </c>
      <c r="AD342" s="17" t="s">
        <v>306</v>
      </c>
      <c r="AE342" s="17">
        <v>4.25</v>
      </c>
      <c r="AF342" s="17" t="s">
        <v>862</v>
      </c>
      <c r="AG342" s="17" t="s">
        <v>1040</v>
      </c>
      <c r="AH342" t="s">
        <v>903</v>
      </c>
      <c r="AJ342" s="15"/>
      <c r="AK342" t="s">
        <v>908</v>
      </c>
    </row>
    <row r="343" spans="1:37" ht="15" hidden="1" customHeight="1" x14ac:dyDescent="0.25">
      <c r="A343" s="8">
        <v>342</v>
      </c>
      <c r="B343" s="1">
        <v>40062</v>
      </c>
      <c r="C343" s="1">
        <v>40061</v>
      </c>
      <c r="D343" s="1">
        <v>434</v>
      </c>
      <c r="E343" s="1">
        <v>43401</v>
      </c>
      <c r="F343" s="1">
        <v>43401</v>
      </c>
      <c r="G343" s="27" t="s">
        <v>26</v>
      </c>
      <c r="H343" s="27" t="s">
        <v>24</v>
      </c>
      <c r="I343" s="27" t="s">
        <v>894</v>
      </c>
      <c r="J343" s="27" t="s">
        <v>12</v>
      </c>
      <c r="K343" s="27" t="s">
        <v>5</v>
      </c>
      <c r="L343" s="27" t="s">
        <v>901</v>
      </c>
      <c r="M343" s="27" t="s">
        <v>905</v>
      </c>
      <c r="N343" s="27" t="s">
        <v>5</v>
      </c>
      <c r="O343" s="27" t="s">
        <v>305</v>
      </c>
      <c r="P343" s="27" t="s">
        <v>896</v>
      </c>
      <c r="Q343" s="27" t="s">
        <v>897</v>
      </c>
      <c r="R343" s="1">
        <v>40529</v>
      </c>
      <c r="S343" s="27" t="s">
        <v>1140</v>
      </c>
      <c r="T343" s="27" t="s">
        <v>1090</v>
      </c>
      <c r="U343" s="1">
        <v>0</v>
      </c>
      <c r="V343" s="27" t="s">
        <v>900</v>
      </c>
      <c r="W343" s="1">
        <v>641</v>
      </c>
      <c r="X343" s="28">
        <v>0</v>
      </c>
      <c r="Y343" s="26"/>
      <c r="Z343" s="26"/>
      <c r="AA343" s="26"/>
      <c r="AB343" s="26"/>
      <c r="AC343" s="27" t="s">
        <v>901</v>
      </c>
      <c r="AD343" t="s">
        <v>306</v>
      </c>
      <c r="AE343">
        <v>4.25</v>
      </c>
      <c r="AF343" t="s">
        <v>862</v>
      </c>
      <c r="AG343" t="s">
        <v>1040</v>
      </c>
      <c r="AH343" t="s">
        <v>903</v>
      </c>
      <c r="AJ343" s="15"/>
      <c r="AK343" t="s">
        <v>908</v>
      </c>
    </row>
    <row r="344" spans="1:37" ht="15" hidden="1" customHeight="1" x14ac:dyDescent="0.25">
      <c r="A344" s="1">
        <v>343</v>
      </c>
      <c r="B344" s="21">
        <v>40101</v>
      </c>
      <c r="C344" s="22"/>
      <c r="D344" s="21">
        <v>256</v>
      </c>
      <c r="E344" s="21">
        <v>25601</v>
      </c>
      <c r="F344" s="21">
        <v>25601</v>
      </c>
      <c r="G344" s="23" t="s">
        <v>178</v>
      </c>
      <c r="H344" s="23" t="s">
        <v>176</v>
      </c>
      <c r="I344" s="23" t="s">
        <v>894</v>
      </c>
      <c r="J344" s="23" t="s">
        <v>123</v>
      </c>
      <c r="K344" s="23" t="s">
        <v>123</v>
      </c>
      <c r="L344" s="23" t="s">
        <v>901</v>
      </c>
      <c r="M344" s="23" t="s">
        <v>123</v>
      </c>
      <c r="N344" s="23" t="s">
        <v>901</v>
      </c>
      <c r="O344" s="23" t="s">
        <v>364</v>
      </c>
      <c r="P344" s="23" t="s">
        <v>896</v>
      </c>
      <c r="Q344" s="23" t="s">
        <v>897</v>
      </c>
      <c r="R344" s="21">
        <v>40549</v>
      </c>
      <c r="S344" s="23" t="s">
        <v>1141</v>
      </c>
      <c r="T344" s="23" t="s">
        <v>1131</v>
      </c>
      <c r="U344" s="21">
        <v>137</v>
      </c>
      <c r="V344" s="23" t="s">
        <v>900</v>
      </c>
      <c r="W344" s="21">
        <v>908</v>
      </c>
      <c r="X344" s="24">
        <v>2.4700000000000002</v>
      </c>
      <c r="Y344" s="25">
        <v>0.5</v>
      </c>
      <c r="Z344" s="25">
        <v>0.5</v>
      </c>
      <c r="AA344" s="22"/>
      <c r="AB344" s="22"/>
      <c r="AC344" s="23" t="s">
        <v>901</v>
      </c>
      <c r="AD344" s="17" t="s">
        <v>365</v>
      </c>
      <c r="AE344" s="17">
        <v>4.25</v>
      </c>
      <c r="AF344" s="17" t="s">
        <v>123</v>
      </c>
      <c r="AG344" s="17" t="s">
        <v>902</v>
      </c>
      <c r="AH344" t="s">
        <v>903</v>
      </c>
      <c r="AJ344" s="15"/>
      <c r="AK344" t="s">
        <v>908</v>
      </c>
    </row>
    <row r="345" spans="1:37" ht="15" hidden="1" customHeight="1" x14ac:dyDescent="0.25">
      <c r="A345" s="1">
        <v>344</v>
      </c>
      <c r="B345" s="1">
        <v>40161</v>
      </c>
      <c r="C345" s="26"/>
      <c r="D345" s="1">
        <v>226</v>
      </c>
      <c r="E345" s="1">
        <v>22602</v>
      </c>
      <c r="F345" s="1">
        <v>22602</v>
      </c>
      <c r="G345" s="27" t="s">
        <v>272</v>
      </c>
      <c r="H345" s="27" t="s">
        <v>270</v>
      </c>
      <c r="I345" s="27" t="s">
        <v>894</v>
      </c>
      <c r="J345" s="27" t="s">
        <v>12</v>
      </c>
      <c r="K345" s="27" t="s">
        <v>257</v>
      </c>
      <c r="L345" s="27" t="s">
        <v>901</v>
      </c>
      <c r="M345" s="27" t="s">
        <v>905</v>
      </c>
      <c r="N345" s="27" t="s">
        <v>257</v>
      </c>
      <c r="O345" s="27" t="s">
        <v>122</v>
      </c>
      <c r="P345" s="27" t="s">
        <v>896</v>
      </c>
      <c r="Q345" s="27" t="s">
        <v>897</v>
      </c>
      <c r="R345" s="1">
        <v>40589</v>
      </c>
      <c r="S345" s="27" t="s">
        <v>1142</v>
      </c>
      <c r="T345" s="27" t="s">
        <v>1125</v>
      </c>
      <c r="U345" s="1">
        <v>130</v>
      </c>
      <c r="V345" s="27" t="s">
        <v>900</v>
      </c>
      <c r="W345" s="1">
        <v>908</v>
      </c>
      <c r="X345" s="28">
        <v>0.82</v>
      </c>
      <c r="Y345" s="29">
        <v>0.5</v>
      </c>
      <c r="Z345" s="29">
        <v>0.5</v>
      </c>
      <c r="AA345" s="26"/>
      <c r="AB345" s="26"/>
      <c r="AC345" s="27" t="s">
        <v>901</v>
      </c>
      <c r="AD345" t="s">
        <v>432</v>
      </c>
      <c r="AE345">
        <v>4.25</v>
      </c>
      <c r="AF345" t="s">
        <v>862</v>
      </c>
      <c r="AG345" t="s">
        <v>1040</v>
      </c>
      <c r="AH345" t="s">
        <v>903</v>
      </c>
      <c r="AJ345" s="15"/>
      <c r="AK345" t="s">
        <v>908</v>
      </c>
    </row>
    <row r="346" spans="1:37" ht="15" hidden="1" customHeight="1" x14ac:dyDescent="0.25">
      <c r="A346" s="8">
        <v>345</v>
      </c>
      <c r="B346" s="21">
        <v>40162</v>
      </c>
      <c r="C346" s="34">
        <v>40161</v>
      </c>
      <c r="D346" s="21">
        <v>226</v>
      </c>
      <c r="E346" s="21">
        <v>22601</v>
      </c>
      <c r="F346" s="21">
        <v>22601</v>
      </c>
      <c r="G346" s="23" t="s">
        <v>271</v>
      </c>
      <c r="H346" s="23" t="s">
        <v>270</v>
      </c>
      <c r="I346" s="23" t="s">
        <v>894</v>
      </c>
      <c r="J346" s="23" t="s">
        <v>12</v>
      </c>
      <c r="K346" s="23" t="s">
        <v>257</v>
      </c>
      <c r="L346" s="23" t="s">
        <v>901</v>
      </c>
      <c r="M346" s="23" t="s">
        <v>905</v>
      </c>
      <c r="N346" s="23" t="s">
        <v>257</v>
      </c>
      <c r="O346" s="23" t="s">
        <v>122</v>
      </c>
      <c r="P346" s="23" t="s">
        <v>896</v>
      </c>
      <c r="Q346" s="23" t="s">
        <v>897</v>
      </c>
      <c r="R346" s="21">
        <v>40589</v>
      </c>
      <c r="S346" s="23" t="s">
        <v>1142</v>
      </c>
      <c r="T346" s="23" t="s">
        <v>1090</v>
      </c>
      <c r="U346" s="21">
        <v>0</v>
      </c>
      <c r="V346" s="23" t="s">
        <v>900</v>
      </c>
      <c r="W346" s="21">
        <v>641</v>
      </c>
      <c r="X346" s="24">
        <v>0</v>
      </c>
      <c r="Y346" s="31"/>
      <c r="Z346" s="31"/>
      <c r="AA346" s="22"/>
      <c r="AB346" s="22"/>
      <c r="AC346" s="23" t="s">
        <v>901</v>
      </c>
      <c r="AD346" s="17" t="s">
        <v>432</v>
      </c>
      <c r="AE346" s="17">
        <v>4.25</v>
      </c>
      <c r="AF346" s="17" t="s">
        <v>862</v>
      </c>
      <c r="AG346" s="17" t="s">
        <v>1040</v>
      </c>
      <c r="AH346" t="s">
        <v>903</v>
      </c>
      <c r="AJ346" s="15"/>
      <c r="AK346" t="s">
        <v>908</v>
      </c>
    </row>
    <row r="347" spans="1:37" ht="15" hidden="1" customHeight="1" x14ac:dyDescent="0.25">
      <c r="A347" s="1">
        <v>346</v>
      </c>
      <c r="B347" s="1">
        <v>40221</v>
      </c>
      <c r="C347" s="30"/>
      <c r="D347" s="1">
        <v>299</v>
      </c>
      <c r="E347" s="1">
        <v>29901</v>
      </c>
      <c r="F347" s="1">
        <v>29901</v>
      </c>
      <c r="G347" s="27" t="s">
        <v>75</v>
      </c>
      <c r="H347" s="27" t="s">
        <v>74</v>
      </c>
      <c r="I347" s="27" t="s">
        <v>894</v>
      </c>
      <c r="J347" s="27" t="s">
        <v>6</v>
      </c>
      <c r="K347" s="27" t="s">
        <v>36</v>
      </c>
      <c r="L347" s="27" t="s">
        <v>901</v>
      </c>
      <c r="M347" s="27" t="s">
        <v>905</v>
      </c>
      <c r="N347" s="27" t="s">
        <v>36</v>
      </c>
      <c r="O347" s="27" t="s">
        <v>290</v>
      </c>
      <c r="P347" s="27" t="s">
        <v>896</v>
      </c>
      <c r="Q347" s="27" t="s">
        <v>897</v>
      </c>
      <c r="R347" s="1">
        <v>40609</v>
      </c>
      <c r="S347" s="27" t="s">
        <v>74</v>
      </c>
      <c r="T347" s="27" t="s">
        <v>1143</v>
      </c>
      <c r="U347" s="1">
        <v>136</v>
      </c>
      <c r="V347" s="27" t="s">
        <v>900</v>
      </c>
      <c r="W347" s="1">
        <v>908</v>
      </c>
      <c r="X347" s="28">
        <v>2.06</v>
      </c>
      <c r="Y347" s="32">
        <v>0.45</v>
      </c>
      <c r="Z347" s="32">
        <v>0.55000000000000004</v>
      </c>
      <c r="AA347" s="26"/>
      <c r="AB347" s="26"/>
      <c r="AC347" s="27" t="s">
        <v>901</v>
      </c>
      <c r="AD347" t="s">
        <v>344</v>
      </c>
      <c r="AE347">
        <v>4.25</v>
      </c>
      <c r="AF347" t="s">
        <v>6</v>
      </c>
      <c r="AG347" t="s">
        <v>1040</v>
      </c>
      <c r="AH347" t="s">
        <v>903</v>
      </c>
      <c r="AJ347" s="15">
        <f>VLOOKUP(Tabla1[[#This Row],[CPC]],[1]Sheet3!$A:$D,4,0)</f>
        <v>0.45001524844918162</v>
      </c>
      <c r="AK347" t="s">
        <v>908</v>
      </c>
    </row>
    <row r="348" spans="1:37" ht="15" hidden="1" customHeight="1" x14ac:dyDescent="0.25">
      <c r="A348" s="1">
        <v>347</v>
      </c>
      <c r="B348" s="21">
        <v>40261</v>
      </c>
      <c r="C348" s="22"/>
      <c r="D348" s="21">
        <v>569</v>
      </c>
      <c r="E348" s="21">
        <v>56901</v>
      </c>
      <c r="F348" s="21">
        <v>56901</v>
      </c>
      <c r="G348" s="23" t="s">
        <v>181</v>
      </c>
      <c r="H348" s="23" t="s">
        <v>179</v>
      </c>
      <c r="I348" s="23" t="s">
        <v>894</v>
      </c>
      <c r="J348" s="23" t="s">
        <v>123</v>
      </c>
      <c r="K348" s="23" t="s">
        <v>123</v>
      </c>
      <c r="L348" s="23" t="s">
        <v>901</v>
      </c>
      <c r="M348" s="23" t="s">
        <v>123</v>
      </c>
      <c r="N348" s="23" t="s">
        <v>901</v>
      </c>
      <c r="O348" s="23" t="s">
        <v>1144</v>
      </c>
      <c r="P348" s="23" t="s">
        <v>896</v>
      </c>
      <c r="Q348" s="23" t="s">
        <v>897</v>
      </c>
      <c r="R348" s="21">
        <v>40629</v>
      </c>
      <c r="S348" s="23" t="s">
        <v>179</v>
      </c>
      <c r="T348" s="23" t="s">
        <v>1131</v>
      </c>
      <c r="U348" s="21">
        <v>137</v>
      </c>
      <c r="V348" s="23" t="s">
        <v>900</v>
      </c>
      <c r="W348" s="21">
        <v>908</v>
      </c>
      <c r="X348" s="24">
        <v>2.4700000000000002</v>
      </c>
      <c r="Y348" s="25">
        <v>0.5</v>
      </c>
      <c r="Z348" s="25">
        <v>0.5</v>
      </c>
      <c r="AA348" s="22"/>
      <c r="AB348" s="22"/>
      <c r="AC348" s="23" t="s">
        <v>901</v>
      </c>
      <c r="AD348" s="17" t="s">
        <v>368</v>
      </c>
      <c r="AE348" s="17">
        <v>4.25</v>
      </c>
      <c r="AF348" s="17" t="s">
        <v>123</v>
      </c>
      <c r="AG348" s="17"/>
      <c r="AH348" t="s">
        <v>903</v>
      </c>
      <c r="AJ348" s="15"/>
      <c r="AK348" t="s">
        <v>908</v>
      </c>
    </row>
    <row r="349" spans="1:37" ht="15" hidden="1" customHeight="1" x14ac:dyDescent="0.25">
      <c r="A349" s="8">
        <v>348</v>
      </c>
      <c r="B349" s="1">
        <v>40341</v>
      </c>
      <c r="C349" s="26"/>
      <c r="D349" s="1">
        <v>353</v>
      </c>
      <c r="E349" s="1">
        <v>35302</v>
      </c>
      <c r="F349" s="1">
        <v>35302</v>
      </c>
      <c r="G349" s="27" t="s">
        <v>73</v>
      </c>
      <c r="H349" s="27" t="s">
        <v>71</v>
      </c>
      <c r="I349" s="27" t="s">
        <v>894</v>
      </c>
      <c r="J349" s="27" t="s">
        <v>6</v>
      </c>
      <c r="K349" s="27" t="s">
        <v>36</v>
      </c>
      <c r="L349" s="27" t="s">
        <v>901</v>
      </c>
      <c r="M349" s="27" t="s">
        <v>905</v>
      </c>
      <c r="N349" s="27" t="s">
        <v>36</v>
      </c>
      <c r="O349" s="27" t="s">
        <v>334</v>
      </c>
      <c r="P349" s="27" t="s">
        <v>896</v>
      </c>
      <c r="Q349" s="27" t="s">
        <v>897</v>
      </c>
      <c r="R349" s="1">
        <v>40651</v>
      </c>
      <c r="S349" s="27" t="s">
        <v>1145</v>
      </c>
      <c r="T349" s="27" t="s">
        <v>1118</v>
      </c>
      <c r="U349" s="1">
        <v>135</v>
      </c>
      <c r="V349" s="27" t="s">
        <v>900</v>
      </c>
      <c r="W349" s="1">
        <v>908</v>
      </c>
      <c r="X349" s="28">
        <v>1.23</v>
      </c>
      <c r="Y349" s="29">
        <v>0.45</v>
      </c>
      <c r="Z349" s="29">
        <v>0.55000000000000004</v>
      </c>
      <c r="AA349" s="26"/>
      <c r="AB349" s="26"/>
      <c r="AC349" s="27" t="s">
        <v>901</v>
      </c>
      <c r="AD349" t="s">
        <v>335</v>
      </c>
      <c r="AE349">
        <v>4.25</v>
      </c>
      <c r="AF349" t="s">
        <v>6</v>
      </c>
      <c r="AG349" t="s">
        <v>1040</v>
      </c>
      <c r="AH349" t="s">
        <v>903</v>
      </c>
      <c r="AJ349" s="15">
        <f>VLOOKUP(Tabla1[[#This Row],[CPC]],[1]Sheet3!$A:$D,4,0)</f>
        <v>0.44758237056054789</v>
      </c>
      <c r="AK349" t="s">
        <v>908</v>
      </c>
    </row>
    <row r="350" spans="1:37" ht="15" hidden="1" customHeight="1" x14ac:dyDescent="0.25">
      <c r="A350" s="1">
        <v>349</v>
      </c>
      <c r="B350" s="21">
        <v>40342</v>
      </c>
      <c r="C350" s="34">
        <v>40341</v>
      </c>
      <c r="D350" s="21">
        <v>353</v>
      </c>
      <c r="E350" s="21">
        <v>35301</v>
      </c>
      <c r="F350" s="21">
        <v>35301</v>
      </c>
      <c r="G350" s="23" t="s">
        <v>72</v>
      </c>
      <c r="H350" s="23" t="s">
        <v>71</v>
      </c>
      <c r="I350" s="23" t="s">
        <v>894</v>
      </c>
      <c r="J350" s="23" t="s">
        <v>6</v>
      </c>
      <c r="K350" s="23" t="s">
        <v>36</v>
      </c>
      <c r="L350" s="23" t="s">
        <v>901</v>
      </c>
      <c r="M350" s="23" t="s">
        <v>905</v>
      </c>
      <c r="N350" s="23" t="s">
        <v>36</v>
      </c>
      <c r="O350" s="23" t="s">
        <v>334</v>
      </c>
      <c r="P350" s="23" t="s">
        <v>896</v>
      </c>
      <c r="Q350" s="23" t="s">
        <v>897</v>
      </c>
      <c r="R350" s="21">
        <v>40651</v>
      </c>
      <c r="S350" s="23" t="s">
        <v>1145</v>
      </c>
      <c r="T350" s="23" t="s">
        <v>1090</v>
      </c>
      <c r="U350" s="21">
        <v>0</v>
      </c>
      <c r="V350" s="23" t="s">
        <v>900</v>
      </c>
      <c r="W350" s="21">
        <v>641</v>
      </c>
      <c r="X350" s="24">
        <v>0</v>
      </c>
      <c r="Y350" s="31"/>
      <c r="Z350" s="31"/>
      <c r="AA350" s="22"/>
      <c r="AB350" s="22"/>
      <c r="AC350" s="23" t="s">
        <v>901</v>
      </c>
      <c r="AD350" s="17" t="s">
        <v>335</v>
      </c>
      <c r="AE350" s="17">
        <v>4.25</v>
      </c>
      <c r="AF350" s="17" t="s">
        <v>6</v>
      </c>
      <c r="AG350" s="17" t="s">
        <v>1040</v>
      </c>
      <c r="AH350" t="s">
        <v>903</v>
      </c>
      <c r="AJ350" s="15"/>
      <c r="AK350" t="s">
        <v>908</v>
      </c>
    </row>
    <row r="351" spans="1:37" ht="15" hidden="1" customHeight="1" x14ac:dyDescent="0.25">
      <c r="A351" s="1">
        <v>350</v>
      </c>
      <c r="B351" s="1">
        <v>40402</v>
      </c>
      <c r="C351" s="26"/>
      <c r="D351" s="1">
        <v>443</v>
      </c>
      <c r="E351" s="1">
        <v>44301</v>
      </c>
      <c r="F351" s="1">
        <v>44301</v>
      </c>
      <c r="G351" s="27" t="s">
        <v>452</v>
      </c>
      <c r="H351" s="27" t="s">
        <v>61</v>
      </c>
      <c r="I351" s="27" t="s">
        <v>894</v>
      </c>
      <c r="J351" s="27" t="s">
        <v>279</v>
      </c>
      <c r="K351" s="27" t="s">
        <v>279</v>
      </c>
      <c r="L351" s="27" t="s">
        <v>895</v>
      </c>
      <c r="M351" s="27" t="s">
        <v>279</v>
      </c>
      <c r="N351" s="27" t="s">
        <v>895</v>
      </c>
      <c r="O351" s="27" t="s">
        <v>450</v>
      </c>
      <c r="P351" s="27" t="s">
        <v>896</v>
      </c>
      <c r="Q351" s="27" t="s">
        <v>897</v>
      </c>
      <c r="R351" s="1">
        <v>40670</v>
      </c>
      <c r="S351" s="27" t="s">
        <v>1146</v>
      </c>
      <c r="T351" s="27" t="s">
        <v>899</v>
      </c>
      <c r="U351" s="1">
        <v>58</v>
      </c>
      <c r="V351" s="27" t="s">
        <v>900</v>
      </c>
      <c r="W351" s="1">
        <v>908</v>
      </c>
      <c r="X351" s="28">
        <v>2.99</v>
      </c>
      <c r="Y351" s="29">
        <v>0.3</v>
      </c>
      <c r="Z351" s="29">
        <v>0.7</v>
      </c>
      <c r="AA351" s="26"/>
      <c r="AB351" s="26"/>
      <c r="AC351" s="27" t="s">
        <v>901</v>
      </c>
      <c r="AD351" t="s">
        <v>453</v>
      </c>
      <c r="AE351">
        <v>4.25</v>
      </c>
      <c r="AF351" t="s">
        <v>279</v>
      </c>
      <c r="AG351" t="s">
        <v>1147</v>
      </c>
      <c r="AH351" t="s">
        <v>903</v>
      </c>
      <c r="AJ351" s="15"/>
      <c r="AK351" t="s">
        <v>904</v>
      </c>
    </row>
    <row r="352" spans="1:37" ht="15" hidden="1" customHeight="1" x14ac:dyDescent="0.25">
      <c r="A352" s="8">
        <v>351</v>
      </c>
      <c r="B352" s="21">
        <v>40545</v>
      </c>
      <c r="C352" s="31"/>
      <c r="D352" s="21">
        <v>441</v>
      </c>
      <c r="E352" s="21">
        <v>44101</v>
      </c>
      <c r="F352" s="21">
        <v>44101</v>
      </c>
      <c r="G352" s="23" t="s">
        <v>460</v>
      </c>
      <c r="H352" s="23" t="s">
        <v>61</v>
      </c>
      <c r="I352" s="23" t="s">
        <v>894</v>
      </c>
      <c r="J352" s="23" t="s">
        <v>279</v>
      </c>
      <c r="K352" s="23" t="s">
        <v>279</v>
      </c>
      <c r="L352" s="23" t="s">
        <v>895</v>
      </c>
      <c r="M352" s="23" t="s">
        <v>279</v>
      </c>
      <c r="N352" s="23" t="s">
        <v>895</v>
      </c>
      <c r="O352" s="23" t="s">
        <v>450</v>
      </c>
      <c r="P352" s="23" t="s">
        <v>896</v>
      </c>
      <c r="Q352" s="23" t="s">
        <v>897</v>
      </c>
      <c r="R352" s="21">
        <v>40691</v>
      </c>
      <c r="S352" s="23" t="s">
        <v>1148</v>
      </c>
      <c r="T352" s="23" t="s">
        <v>1131</v>
      </c>
      <c r="U352" s="21">
        <v>137</v>
      </c>
      <c r="V352" s="23" t="s">
        <v>900</v>
      </c>
      <c r="W352" s="21">
        <v>908</v>
      </c>
      <c r="X352" s="24">
        <v>2.4700000000000002</v>
      </c>
      <c r="Y352" s="33">
        <v>0.3</v>
      </c>
      <c r="Z352" s="33">
        <v>0.7</v>
      </c>
      <c r="AA352" s="22"/>
      <c r="AB352" s="22"/>
      <c r="AC352" s="23" t="s">
        <v>901</v>
      </c>
      <c r="AD352" s="17" t="s">
        <v>459</v>
      </c>
      <c r="AE352" s="17">
        <v>4.25</v>
      </c>
      <c r="AF352" s="17" t="s">
        <v>279</v>
      </c>
      <c r="AG352" s="17" t="s">
        <v>1147</v>
      </c>
      <c r="AH352" t="s">
        <v>903</v>
      </c>
      <c r="AJ352" s="15"/>
      <c r="AK352" t="s">
        <v>904</v>
      </c>
    </row>
    <row r="353" spans="1:37" ht="15" hidden="1" customHeight="1" x14ac:dyDescent="0.25">
      <c r="A353" s="1">
        <v>352</v>
      </c>
      <c r="B353" s="1">
        <v>40562</v>
      </c>
      <c r="C353" s="26"/>
      <c r="D353" s="1">
        <v>472</v>
      </c>
      <c r="E353" s="1">
        <v>47201</v>
      </c>
      <c r="F353" s="1">
        <v>47201</v>
      </c>
      <c r="G353" s="27" t="s">
        <v>677</v>
      </c>
      <c r="H353" s="27" t="s">
        <v>674</v>
      </c>
      <c r="I353" s="27" t="s">
        <v>894</v>
      </c>
      <c r="J353" s="27" t="s">
        <v>280</v>
      </c>
      <c r="K353" s="27" t="s">
        <v>280</v>
      </c>
      <c r="L353" s="27" t="s">
        <v>901</v>
      </c>
      <c r="M353" s="27" t="s">
        <v>280</v>
      </c>
      <c r="N353" s="27" t="s">
        <v>901</v>
      </c>
      <c r="O353" s="27" t="s">
        <v>305</v>
      </c>
      <c r="P353" s="27" t="s">
        <v>896</v>
      </c>
      <c r="Q353" s="27" t="s">
        <v>897</v>
      </c>
      <c r="R353" s="1">
        <v>40693</v>
      </c>
      <c r="S353" s="27" t="s">
        <v>674</v>
      </c>
      <c r="T353" s="27" t="s">
        <v>1078</v>
      </c>
      <c r="U353" s="1">
        <v>105</v>
      </c>
      <c r="V353" s="27" t="s">
        <v>900</v>
      </c>
      <c r="W353" s="1">
        <v>908</v>
      </c>
      <c r="X353" s="28">
        <v>1.48</v>
      </c>
      <c r="Y353" s="29">
        <v>0.8</v>
      </c>
      <c r="Z353" s="29">
        <v>0.2</v>
      </c>
      <c r="AA353" s="26"/>
      <c r="AB353" s="26"/>
      <c r="AC353" s="27" t="s">
        <v>901</v>
      </c>
      <c r="AD353" t="s">
        <v>676</v>
      </c>
      <c r="AE353">
        <v>4.25</v>
      </c>
      <c r="AF353" t="s">
        <v>280</v>
      </c>
      <c r="AG353" t="s">
        <v>1075</v>
      </c>
      <c r="AH353" t="s">
        <v>903</v>
      </c>
      <c r="AJ353" s="15">
        <f>VLOOKUP(Tabla1[[#This Row],[CPC]],[1]Sheet3!$A:$D,4,0)</f>
        <v>0.80005179395423309</v>
      </c>
      <c r="AK353" t="s">
        <v>908</v>
      </c>
    </row>
    <row r="354" spans="1:37" ht="15" hidden="1" customHeight="1" x14ac:dyDescent="0.25">
      <c r="A354" s="1">
        <v>353</v>
      </c>
      <c r="B354" s="21">
        <v>40563</v>
      </c>
      <c r="C354" s="34">
        <v>40562</v>
      </c>
      <c r="D354" s="21">
        <v>472</v>
      </c>
      <c r="E354" s="21">
        <v>47202</v>
      </c>
      <c r="F354" s="21">
        <v>47202</v>
      </c>
      <c r="G354" s="23" t="s">
        <v>675</v>
      </c>
      <c r="H354" s="23" t="s">
        <v>674</v>
      </c>
      <c r="I354" s="23" t="s">
        <v>894</v>
      </c>
      <c r="J354" s="23" t="s">
        <v>280</v>
      </c>
      <c r="K354" s="23" t="s">
        <v>280</v>
      </c>
      <c r="L354" s="23" t="s">
        <v>901</v>
      </c>
      <c r="M354" s="23" t="s">
        <v>280</v>
      </c>
      <c r="N354" s="23" t="s">
        <v>901</v>
      </c>
      <c r="O354" s="23" t="s">
        <v>305</v>
      </c>
      <c r="P354" s="23" t="s">
        <v>896</v>
      </c>
      <c r="Q354" s="23" t="s">
        <v>897</v>
      </c>
      <c r="R354" s="21">
        <v>40693</v>
      </c>
      <c r="S354" s="23" t="s">
        <v>674</v>
      </c>
      <c r="T354" s="23" t="s">
        <v>1090</v>
      </c>
      <c r="U354" s="21">
        <v>0</v>
      </c>
      <c r="V354" s="23" t="s">
        <v>900</v>
      </c>
      <c r="W354" s="21">
        <v>641</v>
      </c>
      <c r="X354" s="24">
        <v>0</v>
      </c>
      <c r="Y354" s="31"/>
      <c r="Z354" s="31"/>
      <c r="AA354" s="22"/>
      <c r="AB354" s="22"/>
      <c r="AC354" s="23" t="s">
        <v>901</v>
      </c>
      <c r="AD354" s="17" t="s">
        <v>676</v>
      </c>
      <c r="AE354" s="17">
        <v>4.25</v>
      </c>
      <c r="AF354" s="17" t="s">
        <v>280</v>
      </c>
      <c r="AG354" s="17" t="s">
        <v>1075</v>
      </c>
      <c r="AH354" t="s">
        <v>903</v>
      </c>
      <c r="AJ354" s="15"/>
      <c r="AK354" t="s">
        <v>908</v>
      </c>
    </row>
    <row r="355" spans="1:37" ht="15" hidden="1" customHeight="1" x14ac:dyDescent="0.25">
      <c r="A355" s="8">
        <v>354</v>
      </c>
      <c r="B355" s="1">
        <v>40651</v>
      </c>
      <c r="C355" s="26"/>
      <c r="D355" s="1">
        <v>312</v>
      </c>
      <c r="E355" s="1">
        <v>31201</v>
      </c>
      <c r="F355" s="1">
        <v>31201</v>
      </c>
      <c r="G355" s="27" t="s">
        <v>10</v>
      </c>
      <c r="H355" s="27" t="s">
        <v>7</v>
      </c>
      <c r="I355" s="27" t="s">
        <v>894</v>
      </c>
      <c r="J355" s="27" t="s">
        <v>6</v>
      </c>
      <c r="K355" s="27" t="s">
        <v>5</v>
      </c>
      <c r="L355" s="27" t="s">
        <v>901</v>
      </c>
      <c r="M355" s="27" t="s">
        <v>905</v>
      </c>
      <c r="N355" s="27" t="s">
        <v>5</v>
      </c>
      <c r="O355" s="27" t="s">
        <v>290</v>
      </c>
      <c r="P355" s="27" t="s">
        <v>896</v>
      </c>
      <c r="Q355" s="27" t="s">
        <v>897</v>
      </c>
      <c r="R355" s="1">
        <v>40752</v>
      </c>
      <c r="S355" s="27" t="s">
        <v>7</v>
      </c>
      <c r="T355" s="27" t="s">
        <v>1143</v>
      </c>
      <c r="U355" s="1">
        <v>136</v>
      </c>
      <c r="V355" s="27" t="s">
        <v>900</v>
      </c>
      <c r="W355" s="1">
        <v>908</v>
      </c>
      <c r="X355" s="28">
        <v>2.06</v>
      </c>
      <c r="Y355" s="29">
        <v>0.45</v>
      </c>
      <c r="Z355" s="29">
        <v>0.55000000000000004</v>
      </c>
      <c r="AA355" s="26"/>
      <c r="AB355" s="26"/>
      <c r="AC355" s="27" t="s">
        <v>901</v>
      </c>
      <c r="AD355" t="s">
        <v>291</v>
      </c>
      <c r="AE355">
        <v>4.25</v>
      </c>
      <c r="AF355" t="s">
        <v>6</v>
      </c>
      <c r="AG355" t="s">
        <v>1040</v>
      </c>
      <c r="AH355" t="s">
        <v>903</v>
      </c>
      <c r="AJ355" s="15">
        <f>VLOOKUP(Tabla1[[#This Row],[CPC]],[1]Sheet3!$A:$D,4,0)</f>
        <v>0.45001144448471297</v>
      </c>
      <c r="AK355" t="s">
        <v>908</v>
      </c>
    </row>
    <row r="356" spans="1:37" ht="15" hidden="1" customHeight="1" x14ac:dyDescent="0.25">
      <c r="A356" s="1">
        <v>355</v>
      </c>
      <c r="B356" s="21">
        <v>40675</v>
      </c>
      <c r="C356" s="22"/>
      <c r="D356" s="21">
        <v>211</v>
      </c>
      <c r="E356" s="21">
        <v>63</v>
      </c>
      <c r="F356" s="21">
        <v>21163</v>
      </c>
      <c r="G356" s="23" t="s">
        <v>77</v>
      </c>
      <c r="H356" s="23" t="s">
        <v>76</v>
      </c>
      <c r="I356" s="23" t="s">
        <v>894</v>
      </c>
      <c r="J356" s="23" t="s">
        <v>6</v>
      </c>
      <c r="K356" s="23" t="s">
        <v>36</v>
      </c>
      <c r="L356" s="23" t="s">
        <v>901</v>
      </c>
      <c r="M356" s="23" t="s">
        <v>905</v>
      </c>
      <c r="N356" s="23" t="s">
        <v>36</v>
      </c>
      <c r="O356" s="23" t="s">
        <v>290</v>
      </c>
      <c r="P356" s="23" t="s">
        <v>896</v>
      </c>
      <c r="Q356" s="23" t="s">
        <v>897</v>
      </c>
      <c r="R356" s="21">
        <v>40773</v>
      </c>
      <c r="S356" s="23" t="s">
        <v>76</v>
      </c>
      <c r="T356" s="23" t="s">
        <v>1143</v>
      </c>
      <c r="U356" s="21">
        <v>136</v>
      </c>
      <c r="V356" s="23" t="s">
        <v>900</v>
      </c>
      <c r="W356" s="21">
        <v>908</v>
      </c>
      <c r="X356" s="24">
        <v>2.06</v>
      </c>
      <c r="Y356" s="25">
        <v>0.45</v>
      </c>
      <c r="Z356" s="25">
        <v>0.55000000000000004</v>
      </c>
      <c r="AA356" s="22"/>
      <c r="AB356" s="22"/>
      <c r="AC356" s="23" t="s">
        <v>901</v>
      </c>
      <c r="AD356" s="17" t="s">
        <v>345</v>
      </c>
      <c r="AE356" s="17">
        <v>4.25</v>
      </c>
      <c r="AF356" s="17" t="s">
        <v>6</v>
      </c>
      <c r="AG356" s="17" t="s">
        <v>1040</v>
      </c>
      <c r="AH356" t="s">
        <v>903</v>
      </c>
      <c r="AJ356" s="15">
        <f>VLOOKUP(Tabla1[[#This Row],[CPC]],[1]Sheet3!$A:$D,4,0)</f>
        <v>0.45000033432292902</v>
      </c>
      <c r="AK356" t="s">
        <v>908</v>
      </c>
    </row>
    <row r="357" spans="1:37" ht="15" hidden="1" customHeight="1" x14ac:dyDescent="0.25">
      <c r="A357" s="1">
        <v>356</v>
      </c>
      <c r="B357" s="1">
        <v>40683</v>
      </c>
      <c r="C357" s="26"/>
      <c r="D357" s="1">
        <v>442</v>
      </c>
      <c r="E357" s="1">
        <v>44201</v>
      </c>
      <c r="F357" s="1">
        <v>44201</v>
      </c>
      <c r="G357" s="27" t="s">
        <v>851</v>
      </c>
      <c r="H357" s="27" t="s">
        <v>850</v>
      </c>
      <c r="I357" s="27" t="s">
        <v>894</v>
      </c>
      <c r="J357" s="27" t="s">
        <v>285</v>
      </c>
      <c r="K357" s="27" t="s">
        <v>285</v>
      </c>
      <c r="L357" s="27" t="s">
        <v>901</v>
      </c>
      <c r="M357" s="27" t="s">
        <v>905</v>
      </c>
      <c r="N357" s="27" t="s">
        <v>285</v>
      </c>
      <c r="O357" s="27" t="s">
        <v>86</v>
      </c>
      <c r="P357" s="27" t="s">
        <v>896</v>
      </c>
      <c r="Q357" s="27" t="s">
        <v>897</v>
      </c>
      <c r="R357" s="1">
        <v>40775</v>
      </c>
      <c r="S357" s="27" t="s">
        <v>850</v>
      </c>
      <c r="T357" s="27" t="s">
        <v>917</v>
      </c>
      <c r="U357" s="1">
        <v>54</v>
      </c>
      <c r="V357" s="27" t="s">
        <v>900</v>
      </c>
      <c r="W357" s="1">
        <v>908</v>
      </c>
      <c r="X357" s="28">
        <v>0.99</v>
      </c>
      <c r="Y357" s="29">
        <v>0.5</v>
      </c>
      <c r="Z357" s="29">
        <v>0.5</v>
      </c>
      <c r="AA357" s="26"/>
      <c r="AB357" s="26"/>
      <c r="AC357" s="27" t="s">
        <v>901</v>
      </c>
      <c r="AD357" t="s">
        <v>852</v>
      </c>
      <c r="AE357">
        <v>4.25</v>
      </c>
      <c r="AF357" t="s">
        <v>861</v>
      </c>
      <c r="AG357" t="s">
        <v>1075</v>
      </c>
      <c r="AH357" t="s">
        <v>903</v>
      </c>
      <c r="AI357" t="s">
        <v>1076</v>
      </c>
      <c r="AJ357" s="15"/>
      <c r="AK357" t="s">
        <v>908</v>
      </c>
    </row>
    <row r="358" spans="1:37" ht="15" hidden="1" customHeight="1" x14ac:dyDescent="0.25">
      <c r="A358" s="8">
        <v>357</v>
      </c>
      <c r="B358" s="21">
        <v>40771</v>
      </c>
      <c r="C358" s="22"/>
      <c r="D358" s="21">
        <v>352</v>
      </c>
      <c r="E358" s="21">
        <v>35202</v>
      </c>
      <c r="F358" s="21">
        <v>35202</v>
      </c>
      <c r="G358" s="23" t="s">
        <v>103</v>
      </c>
      <c r="H358" s="23" t="s">
        <v>99</v>
      </c>
      <c r="I358" s="23" t="s">
        <v>894</v>
      </c>
      <c r="J358" s="23" t="s">
        <v>12</v>
      </c>
      <c r="K358" s="23" t="s">
        <v>36</v>
      </c>
      <c r="L358" s="23" t="s">
        <v>901</v>
      </c>
      <c r="M358" s="23" t="s">
        <v>905</v>
      </c>
      <c r="N358" s="23" t="s">
        <v>36</v>
      </c>
      <c r="O358" s="23" t="s">
        <v>334</v>
      </c>
      <c r="P358" s="23" t="s">
        <v>896</v>
      </c>
      <c r="Q358" s="23" t="s">
        <v>897</v>
      </c>
      <c r="R358" s="21">
        <v>40812</v>
      </c>
      <c r="S358" s="23" t="s">
        <v>1149</v>
      </c>
      <c r="T358" s="23" t="s">
        <v>1125</v>
      </c>
      <c r="U358" s="21">
        <v>130</v>
      </c>
      <c r="V358" s="23" t="s">
        <v>900</v>
      </c>
      <c r="W358" s="21">
        <v>908</v>
      </c>
      <c r="X358" s="24">
        <v>0.82</v>
      </c>
      <c r="Y358" s="25">
        <v>0.5</v>
      </c>
      <c r="Z358" s="25">
        <v>0.5</v>
      </c>
      <c r="AA358" s="22"/>
      <c r="AB358" s="22"/>
      <c r="AC358" s="23" t="s">
        <v>901</v>
      </c>
      <c r="AD358" s="17" t="s">
        <v>349</v>
      </c>
      <c r="AE358" s="17">
        <v>4.25</v>
      </c>
      <c r="AF358" s="17" t="s">
        <v>862</v>
      </c>
      <c r="AG358" s="17" t="s">
        <v>1040</v>
      </c>
      <c r="AH358" t="s">
        <v>903</v>
      </c>
      <c r="AJ358" s="15">
        <f>VLOOKUP(Tabla1[[#This Row],[CPC]],[1]Sheet3!$A:$D,4,0)</f>
        <v>0.5</v>
      </c>
      <c r="AK358" t="s">
        <v>908</v>
      </c>
    </row>
    <row r="359" spans="1:37" ht="15" hidden="1" customHeight="1" x14ac:dyDescent="0.25">
      <c r="A359" s="1">
        <v>358</v>
      </c>
      <c r="B359" s="1">
        <v>40772</v>
      </c>
      <c r="C359" s="35">
        <v>40771</v>
      </c>
      <c r="D359" s="1">
        <v>352</v>
      </c>
      <c r="E359" s="1">
        <v>35201</v>
      </c>
      <c r="F359" s="1">
        <v>35201</v>
      </c>
      <c r="G359" s="27" t="s">
        <v>100</v>
      </c>
      <c r="H359" s="27" t="s">
        <v>99</v>
      </c>
      <c r="I359" s="27" t="s">
        <v>894</v>
      </c>
      <c r="J359" s="27" t="s">
        <v>12</v>
      </c>
      <c r="K359" s="27" t="s">
        <v>36</v>
      </c>
      <c r="L359" s="27" t="s">
        <v>901</v>
      </c>
      <c r="M359" s="27" t="s">
        <v>905</v>
      </c>
      <c r="N359" s="27" t="s">
        <v>36</v>
      </c>
      <c r="O359" s="27" t="s">
        <v>334</v>
      </c>
      <c r="P359" s="27" t="s">
        <v>896</v>
      </c>
      <c r="Q359" s="27" t="s">
        <v>897</v>
      </c>
      <c r="R359" s="1">
        <v>40812</v>
      </c>
      <c r="S359" s="27" t="s">
        <v>1149</v>
      </c>
      <c r="T359" s="27" t="s">
        <v>1090</v>
      </c>
      <c r="U359" s="1">
        <v>0</v>
      </c>
      <c r="V359" s="27" t="s">
        <v>900</v>
      </c>
      <c r="W359" s="1">
        <v>641</v>
      </c>
      <c r="X359" s="28">
        <v>0</v>
      </c>
      <c r="Y359" s="30"/>
      <c r="Z359" s="30"/>
      <c r="AA359" s="26"/>
      <c r="AB359" s="26"/>
      <c r="AC359" s="27" t="s">
        <v>901</v>
      </c>
      <c r="AD359" t="s">
        <v>349</v>
      </c>
      <c r="AE359">
        <v>4.25</v>
      </c>
      <c r="AF359" t="s">
        <v>862</v>
      </c>
      <c r="AG359" t="s">
        <v>1040</v>
      </c>
      <c r="AH359" t="s">
        <v>903</v>
      </c>
      <c r="AJ359" s="15"/>
      <c r="AK359" t="s">
        <v>908</v>
      </c>
    </row>
    <row r="360" spans="1:37" ht="15" hidden="1" customHeight="1" x14ac:dyDescent="0.25">
      <c r="A360" s="1">
        <v>359</v>
      </c>
      <c r="B360" s="21">
        <v>40778</v>
      </c>
      <c r="C360" s="22"/>
      <c r="D360" s="34">
        <v>380</v>
      </c>
      <c r="E360" s="34">
        <v>38001</v>
      </c>
      <c r="F360" s="34">
        <v>38001</v>
      </c>
      <c r="G360" s="23" t="s">
        <v>578</v>
      </c>
      <c r="H360" s="23" t="s">
        <v>577</v>
      </c>
      <c r="I360" s="23" t="s">
        <v>894</v>
      </c>
      <c r="J360" s="23" t="s">
        <v>279</v>
      </c>
      <c r="K360" s="23" t="s">
        <v>279</v>
      </c>
      <c r="L360" s="23" t="s">
        <v>895</v>
      </c>
      <c r="M360" s="23" t="s">
        <v>279</v>
      </c>
      <c r="N360" s="23" t="s">
        <v>895</v>
      </c>
      <c r="O360" s="23" t="s">
        <v>346</v>
      </c>
      <c r="P360" s="23" t="s">
        <v>896</v>
      </c>
      <c r="Q360" s="23" t="s">
        <v>897</v>
      </c>
      <c r="R360" s="21">
        <v>40814</v>
      </c>
      <c r="S360" s="23" t="s">
        <v>577</v>
      </c>
      <c r="T360" s="23" t="s">
        <v>1143</v>
      </c>
      <c r="U360" s="21">
        <v>136</v>
      </c>
      <c r="V360" s="23" t="s">
        <v>900</v>
      </c>
      <c r="W360" s="21">
        <v>908</v>
      </c>
      <c r="X360" s="24">
        <v>2.06</v>
      </c>
      <c r="Y360" s="25">
        <v>0.3</v>
      </c>
      <c r="Z360" s="25">
        <v>0.7</v>
      </c>
      <c r="AA360" s="22"/>
      <c r="AB360" s="22"/>
      <c r="AC360" s="23" t="s">
        <v>901</v>
      </c>
      <c r="AD360" s="17" t="s">
        <v>579</v>
      </c>
      <c r="AE360" s="17">
        <v>4.25</v>
      </c>
      <c r="AF360" s="17" t="s">
        <v>279</v>
      </c>
      <c r="AG360" s="17"/>
      <c r="AH360" t="s">
        <v>903</v>
      </c>
      <c r="AJ360" s="15"/>
      <c r="AK360" t="s">
        <v>904</v>
      </c>
    </row>
    <row r="361" spans="1:37" ht="15" hidden="1" customHeight="1" x14ac:dyDescent="0.25">
      <c r="A361" s="8">
        <v>360</v>
      </c>
      <c r="B361" s="1">
        <v>40953</v>
      </c>
      <c r="C361" s="26"/>
      <c r="D361" s="1">
        <v>218</v>
      </c>
      <c r="E361" s="1">
        <v>76</v>
      </c>
      <c r="F361" s="1">
        <v>76</v>
      </c>
      <c r="G361" s="27" t="s">
        <v>18</v>
      </c>
      <c r="H361" s="27" t="s">
        <v>16</v>
      </c>
      <c r="I361" s="27" t="s">
        <v>894</v>
      </c>
      <c r="J361" s="27" t="s">
        <v>12</v>
      </c>
      <c r="K361" s="27" t="s">
        <v>5</v>
      </c>
      <c r="L361" s="27" t="s">
        <v>901</v>
      </c>
      <c r="M361" s="27" t="s">
        <v>905</v>
      </c>
      <c r="N361" s="27" t="s">
        <v>5</v>
      </c>
      <c r="O361" s="27" t="s">
        <v>122</v>
      </c>
      <c r="P361" s="27" t="s">
        <v>896</v>
      </c>
      <c r="Q361" s="27" t="s">
        <v>897</v>
      </c>
      <c r="R361" s="1">
        <v>40952</v>
      </c>
      <c r="S361" s="27" t="s">
        <v>1150</v>
      </c>
      <c r="T361" s="27" t="s">
        <v>1120</v>
      </c>
      <c r="U361" s="1">
        <v>128</v>
      </c>
      <c r="V361" s="27" t="s">
        <v>900</v>
      </c>
      <c r="W361" s="1">
        <v>908</v>
      </c>
      <c r="X361" s="28">
        <v>1.64</v>
      </c>
      <c r="Y361" s="29">
        <v>0.5</v>
      </c>
      <c r="Z361" s="29">
        <v>0.5</v>
      </c>
      <c r="AA361" s="26"/>
      <c r="AB361" s="26"/>
      <c r="AC361" s="27" t="s">
        <v>901</v>
      </c>
      <c r="AD361" t="s">
        <v>304</v>
      </c>
      <c r="AE361">
        <v>4.25</v>
      </c>
      <c r="AF361" t="s">
        <v>862</v>
      </c>
      <c r="AG361" t="s">
        <v>1040</v>
      </c>
      <c r="AH361" t="s">
        <v>903</v>
      </c>
      <c r="AJ361" s="15">
        <f>VLOOKUP(Tabla1[[#This Row],[CPC]],[1]Sheet3!$A:$D,4,0)</f>
        <v>0.5</v>
      </c>
      <c r="AK361" t="s">
        <v>908</v>
      </c>
    </row>
    <row r="362" spans="1:37" ht="15" hidden="1" customHeight="1" x14ac:dyDescent="0.25">
      <c r="A362" s="1">
        <v>361</v>
      </c>
      <c r="B362" s="21">
        <v>40962</v>
      </c>
      <c r="C362" s="22"/>
      <c r="D362" s="21">
        <v>219</v>
      </c>
      <c r="E362" s="21">
        <v>77</v>
      </c>
      <c r="F362" s="21">
        <v>77</v>
      </c>
      <c r="G362" s="23" t="s">
        <v>268</v>
      </c>
      <c r="H362" s="23" t="s">
        <v>267</v>
      </c>
      <c r="I362" s="23" t="s">
        <v>894</v>
      </c>
      <c r="J362" s="23" t="s">
        <v>12</v>
      </c>
      <c r="K362" s="23" t="s">
        <v>257</v>
      </c>
      <c r="L362" s="23" t="s">
        <v>901</v>
      </c>
      <c r="M362" s="23" t="s">
        <v>905</v>
      </c>
      <c r="N362" s="23" t="s">
        <v>257</v>
      </c>
      <c r="O362" s="23" t="s">
        <v>122</v>
      </c>
      <c r="P362" s="23" t="s">
        <v>896</v>
      </c>
      <c r="Q362" s="23" t="s">
        <v>897</v>
      </c>
      <c r="R362" s="21">
        <v>40955</v>
      </c>
      <c r="S362" s="23" t="s">
        <v>267</v>
      </c>
      <c r="T362" s="23" t="s">
        <v>1120</v>
      </c>
      <c r="U362" s="21">
        <v>128</v>
      </c>
      <c r="V362" s="23" t="s">
        <v>900</v>
      </c>
      <c r="W362" s="21">
        <v>908</v>
      </c>
      <c r="X362" s="24">
        <v>1.64</v>
      </c>
      <c r="Y362" s="25">
        <v>0.5</v>
      </c>
      <c r="Z362" s="25">
        <v>0.5</v>
      </c>
      <c r="AA362" s="22"/>
      <c r="AB362" s="22"/>
      <c r="AC362" s="23" t="s">
        <v>901</v>
      </c>
      <c r="AD362" s="17" t="s">
        <v>446</v>
      </c>
      <c r="AE362" s="17">
        <v>4.25</v>
      </c>
      <c r="AF362" s="17" t="s">
        <v>862</v>
      </c>
      <c r="AG362" s="17" t="s">
        <v>1040</v>
      </c>
      <c r="AH362" t="s">
        <v>903</v>
      </c>
      <c r="AJ362" s="15">
        <f>VLOOKUP(Tabla1[[#This Row],[CPC]],[1]Sheet3!$A:$D,4,0)</f>
        <v>0.5</v>
      </c>
      <c r="AK362" t="s">
        <v>908</v>
      </c>
    </row>
    <row r="363" spans="1:37" ht="15" hidden="1" customHeight="1" x14ac:dyDescent="0.25">
      <c r="A363" s="1">
        <v>362</v>
      </c>
      <c r="B363" s="1">
        <v>41029</v>
      </c>
      <c r="C363" s="30"/>
      <c r="D363" s="1">
        <v>285</v>
      </c>
      <c r="E363" s="1">
        <v>28501</v>
      </c>
      <c r="F363" s="1">
        <v>28501</v>
      </c>
      <c r="G363" s="27" t="s">
        <v>521</v>
      </c>
      <c r="H363" s="27" t="s">
        <v>61</v>
      </c>
      <c r="I363" s="27" t="s">
        <v>894</v>
      </c>
      <c r="J363" s="27" t="s">
        <v>279</v>
      </c>
      <c r="K363" s="27" t="s">
        <v>279</v>
      </c>
      <c r="L363" s="27" t="s">
        <v>895</v>
      </c>
      <c r="M363" s="27" t="s">
        <v>279</v>
      </c>
      <c r="N363" s="27" t="s">
        <v>895</v>
      </c>
      <c r="O363" s="27" t="s">
        <v>325</v>
      </c>
      <c r="P363" s="27" t="s">
        <v>896</v>
      </c>
      <c r="Q363" s="27" t="s">
        <v>897</v>
      </c>
      <c r="R363" s="1">
        <v>40976</v>
      </c>
      <c r="S363" s="27" t="s">
        <v>518</v>
      </c>
      <c r="T363" s="27" t="s">
        <v>1151</v>
      </c>
      <c r="U363" s="1">
        <v>138</v>
      </c>
      <c r="V363" s="27" t="s">
        <v>900</v>
      </c>
      <c r="W363" s="1">
        <v>908</v>
      </c>
      <c r="X363" s="28">
        <v>3.3</v>
      </c>
      <c r="Y363" s="32">
        <v>0.4</v>
      </c>
      <c r="Z363" s="32">
        <v>0.6</v>
      </c>
      <c r="AA363" s="26"/>
      <c r="AB363" s="26"/>
      <c r="AC363" s="27" t="s">
        <v>901</v>
      </c>
      <c r="AD363" t="s">
        <v>519</v>
      </c>
      <c r="AE363">
        <v>4.25</v>
      </c>
      <c r="AF363" t="s">
        <v>279</v>
      </c>
      <c r="AG363" t="s">
        <v>902</v>
      </c>
      <c r="AH363" t="s">
        <v>903</v>
      </c>
      <c r="AJ363" s="15">
        <f>VLOOKUP(Tabla1[[#This Row],[CPC]],[1]Sheet3!$A:$D,4,0)</f>
        <v>0.39999998167340417</v>
      </c>
      <c r="AK363" t="s">
        <v>904</v>
      </c>
    </row>
    <row r="364" spans="1:37" ht="15" hidden="1" customHeight="1" x14ac:dyDescent="0.25">
      <c r="A364" s="8">
        <v>363</v>
      </c>
      <c r="B364" s="21">
        <v>41034</v>
      </c>
      <c r="C364" s="22"/>
      <c r="D364" s="21">
        <v>443</v>
      </c>
      <c r="E364" s="21">
        <v>44302</v>
      </c>
      <c r="F364" s="21">
        <v>44302</v>
      </c>
      <c r="G364" s="23" t="s">
        <v>452</v>
      </c>
      <c r="H364" s="23" t="s">
        <v>61</v>
      </c>
      <c r="I364" s="23" t="s">
        <v>894</v>
      </c>
      <c r="J364" s="23" t="s">
        <v>279</v>
      </c>
      <c r="K364" s="23" t="s">
        <v>279</v>
      </c>
      <c r="L364" s="23" t="s">
        <v>895</v>
      </c>
      <c r="M364" s="23" t="s">
        <v>279</v>
      </c>
      <c r="N364" s="23" t="s">
        <v>895</v>
      </c>
      <c r="O364" s="23" t="s">
        <v>450</v>
      </c>
      <c r="P364" s="23" t="s">
        <v>896</v>
      </c>
      <c r="Q364" s="23" t="s">
        <v>897</v>
      </c>
      <c r="R364" s="21">
        <v>40978</v>
      </c>
      <c r="S364" s="23" t="s">
        <v>1146</v>
      </c>
      <c r="T364" s="23" t="s">
        <v>1151</v>
      </c>
      <c r="U364" s="21">
        <v>138</v>
      </c>
      <c r="V364" s="23" t="s">
        <v>900</v>
      </c>
      <c r="W364" s="21">
        <v>908</v>
      </c>
      <c r="X364" s="24">
        <v>3.3</v>
      </c>
      <c r="Y364" s="25">
        <v>0.4</v>
      </c>
      <c r="Z364" s="25">
        <v>0.6</v>
      </c>
      <c r="AA364" s="22"/>
      <c r="AB364" s="22"/>
      <c r="AC364" s="23" t="s">
        <v>901</v>
      </c>
      <c r="AD364" s="17" t="s">
        <v>453</v>
      </c>
      <c r="AE364" s="17">
        <v>4.25</v>
      </c>
      <c r="AF364" s="17" t="s">
        <v>279</v>
      </c>
      <c r="AG364" s="17" t="s">
        <v>1147</v>
      </c>
      <c r="AH364" t="s">
        <v>903</v>
      </c>
      <c r="AJ364" s="15"/>
      <c r="AK364" t="s">
        <v>904</v>
      </c>
    </row>
    <row r="365" spans="1:37" ht="15" hidden="1" customHeight="1" x14ac:dyDescent="0.25">
      <c r="A365" s="1">
        <v>364</v>
      </c>
      <c r="B365" s="1">
        <v>41049</v>
      </c>
      <c r="C365" s="30"/>
      <c r="D365" s="1">
        <v>256</v>
      </c>
      <c r="E365" s="1">
        <v>25602</v>
      </c>
      <c r="F365" s="1">
        <v>25602</v>
      </c>
      <c r="G365" s="27" t="s">
        <v>177</v>
      </c>
      <c r="H365" s="27" t="s">
        <v>176</v>
      </c>
      <c r="I365" s="27" t="s">
        <v>894</v>
      </c>
      <c r="J365" s="27" t="s">
        <v>123</v>
      </c>
      <c r="K365" s="27" t="s">
        <v>123</v>
      </c>
      <c r="L365" s="27" t="s">
        <v>901</v>
      </c>
      <c r="M365" s="27" t="s">
        <v>123</v>
      </c>
      <c r="N365" s="27" t="s">
        <v>901</v>
      </c>
      <c r="O365" s="27" t="s">
        <v>364</v>
      </c>
      <c r="P365" s="27" t="s">
        <v>896</v>
      </c>
      <c r="Q365" s="27" t="s">
        <v>897</v>
      </c>
      <c r="R365" s="1">
        <v>40996</v>
      </c>
      <c r="S365" s="27" t="s">
        <v>1141</v>
      </c>
      <c r="T365" s="27" t="s">
        <v>1143</v>
      </c>
      <c r="U365" s="1">
        <v>136</v>
      </c>
      <c r="V365" s="27" t="s">
        <v>913</v>
      </c>
      <c r="W365" s="1">
        <v>1</v>
      </c>
      <c r="X365" s="28">
        <v>2.06</v>
      </c>
      <c r="Y365" s="32">
        <v>0.5</v>
      </c>
      <c r="Z365" s="32">
        <v>0.5</v>
      </c>
      <c r="AA365" s="26"/>
      <c r="AB365" s="26"/>
      <c r="AC365" s="27" t="s">
        <v>901</v>
      </c>
      <c r="AD365" t="s">
        <v>365</v>
      </c>
      <c r="AE365">
        <v>1</v>
      </c>
      <c r="AF365" t="s">
        <v>123</v>
      </c>
      <c r="AG365" t="s">
        <v>902</v>
      </c>
      <c r="AH365" t="s">
        <v>903</v>
      </c>
      <c r="AJ365" s="15"/>
      <c r="AK365" t="s">
        <v>908</v>
      </c>
    </row>
    <row r="366" spans="1:37" ht="15" hidden="1" customHeight="1" x14ac:dyDescent="0.25">
      <c r="A366" s="1">
        <v>365</v>
      </c>
      <c r="B366" s="21">
        <v>41051</v>
      </c>
      <c r="C366" s="22"/>
      <c r="D366" s="34">
        <v>267</v>
      </c>
      <c r="E366" s="34">
        <v>26701</v>
      </c>
      <c r="F366" s="34">
        <v>26701</v>
      </c>
      <c r="G366" s="23" t="s">
        <v>82</v>
      </c>
      <c r="H366" s="23" t="s">
        <v>81</v>
      </c>
      <c r="I366" s="23" t="s">
        <v>894</v>
      </c>
      <c r="J366" s="23" t="s">
        <v>6</v>
      </c>
      <c r="K366" s="23" t="s">
        <v>36</v>
      </c>
      <c r="L366" s="23" t="s">
        <v>901</v>
      </c>
      <c r="M366" s="23" t="s">
        <v>905</v>
      </c>
      <c r="N366" s="23" t="s">
        <v>36</v>
      </c>
      <c r="O366" s="23" t="s">
        <v>325</v>
      </c>
      <c r="P366" s="23" t="s">
        <v>896</v>
      </c>
      <c r="Q366" s="23" t="s">
        <v>897</v>
      </c>
      <c r="R366" s="21">
        <v>40997</v>
      </c>
      <c r="S366" s="23" t="s">
        <v>81</v>
      </c>
      <c r="T366" s="23" t="s">
        <v>1120</v>
      </c>
      <c r="U366" s="21">
        <v>128</v>
      </c>
      <c r="V366" s="23" t="s">
        <v>900</v>
      </c>
      <c r="W366" s="21">
        <v>908</v>
      </c>
      <c r="X366" s="24">
        <v>1.64</v>
      </c>
      <c r="Y366" s="25">
        <v>0.45</v>
      </c>
      <c r="Z366" s="25">
        <v>0.55000000000000004</v>
      </c>
      <c r="AA366" s="22"/>
      <c r="AB366" s="22"/>
      <c r="AC366" s="23" t="s">
        <v>901</v>
      </c>
      <c r="AD366" s="17" t="s">
        <v>341</v>
      </c>
      <c r="AE366" s="17">
        <v>4.25</v>
      </c>
      <c r="AF366" s="17" t="s">
        <v>6</v>
      </c>
      <c r="AG366" s="17" t="s">
        <v>1040</v>
      </c>
      <c r="AH366" t="s">
        <v>903</v>
      </c>
      <c r="AJ366" s="15">
        <f>VLOOKUP(Tabla1[[#This Row],[CPC]],[1]Sheet3!$A:$D,4,0)</f>
        <v>0.45020325203252043</v>
      </c>
      <c r="AK366" t="s">
        <v>908</v>
      </c>
    </row>
    <row r="367" spans="1:37" ht="15" hidden="1" customHeight="1" x14ac:dyDescent="0.25">
      <c r="A367" s="8">
        <v>366</v>
      </c>
      <c r="B367" s="1">
        <v>41129</v>
      </c>
      <c r="C367" s="26"/>
      <c r="D367" s="26"/>
      <c r="E367" s="26" t="s">
        <v>1020</v>
      </c>
      <c r="F367" s="26" t="s">
        <v>1020</v>
      </c>
      <c r="G367" s="27" t="s">
        <v>454</v>
      </c>
      <c r="H367" s="27" t="s">
        <v>61</v>
      </c>
      <c r="I367" s="27" t="s">
        <v>894</v>
      </c>
      <c r="J367" s="27" t="s">
        <v>279</v>
      </c>
      <c r="K367" s="27" t="s">
        <v>279</v>
      </c>
      <c r="L367" s="27" t="s">
        <v>895</v>
      </c>
      <c r="M367" s="27" t="s">
        <v>279</v>
      </c>
      <c r="N367" s="27" t="s">
        <v>895</v>
      </c>
      <c r="O367" s="27" t="s">
        <v>450</v>
      </c>
      <c r="P367" s="27" t="s">
        <v>896</v>
      </c>
      <c r="Q367" s="27" t="s">
        <v>897</v>
      </c>
      <c r="R367" s="1">
        <v>41016</v>
      </c>
      <c r="S367" s="27" t="s">
        <v>1152</v>
      </c>
      <c r="T367" s="27" t="s">
        <v>899</v>
      </c>
      <c r="U367" s="1">
        <v>58</v>
      </c>
      <c r="V367" s="27" t="s">
        <v>900</v>
      </c>
      <c r="W367" s="1">
        <v>908</v>
      </c>
      <c r="X367" s="28">
        <v>2.99</v>
      </c>
      <c r="Y367" s="29">
        <v>0.3</v>
      </c>
      <c r="Z367" s="29">
        <v>0.7</v>
      </c>
      <c r="AA367" s="26"/>
      <c r="AB367" s="26"/>
      <c r="AC367" s="27" t="s">
        <v>901</v>
      </c>
      <c r="AD367" t="s">
        <v>455</v>
      </c>
      <c r="AE367">
        <v>4.25</v>
      </c>
      <c r="AF367" t="s">
        <v>279</v>
      </c>
      <c r="AG367" t="s">
        <v>1147</v>
      </c>
      <c r="AH367" t="s">
        <v>903</v>
      </c>
      <c r="AJ367" s="15">
        <f>VLOOKUP(Tabla1[[#This Row],[CPC]],[1]Sheet3!$A:$D,4,0)</f>
        <v>0.30000042697528656</v>
      </c>
      <c r="AK367" t="s">
        <v>904</v>
      </c>
    </row>
    <row r="368" spans="1:37" ht="15" hidden="1" customHeight="1" x14ac:dyDescent="0.25">
      <c r="A368" s="1">
        <v>368</v>
      </c>
      <c r="B368" s="21">
        <v>41149</v>
      </c>
      <c r="C368" s="31"/>
      <c r="D368" s="34">
        <v>265</v>
      </c>
      <c r="E368" s="34">
        <v>26501</v>
      </c>
      <c r="F368" s="34">
        <v>26501</v>
      </c>
      <c r="G368" s="23" t="s">
        <v>259</v>
      </c>
      <c r="H368" s="23" t="s">
        <v>258</v>
      </c>
      <c r="I368" s="23" t="s">
        <v>894</v>
      </c>
      <c r="J368" s="23" t="s">
        <v>6</v>
      </c>
      <c r="K368" s="23" t="s">
        <v>257</v>
      </c>
      <c r="L368" s="23" t="s">
        <v>901</v>
      </c>
      <c r="M368" s="23" t="s">
        <v>905</v>
      </c>
      <c r="N368" s="23" t="s">
        <v>257</v>
      </c>
      <c r="O368" s="23" t="s">
        <v>325</v>
      </c>
      <c r="P368" s="23" t="s">
        <v>896</v>
      </c>
      <c r="Q368" s="23" t="s">
        <v>897</v>
      </c>
      <c r="R368" s="21">
        <v>41036</v>
      </c>
      <c r="S368" s="23" t="s">
        <v>258</v>
      </c>
      <c r="T368" s="23" t="s">
        <v>1143</v>
      </c>
      <c r="U368" s="21">
        <v>136</v>
      </c>
      <c r="V368" s="23" t="s">
        <v>900</v>
      </c>
      <c r="W368" s="21">
        <v>908</v>
      </c>
      <c r="X368" s="24">
        <v>2.06</v>
      </c>
      <c r="Y368" s="33">
        <v>0.5</v>
      </c>
      <c r="Z368" s="33">
        <v>0.5</v>
      </c>
      <c r="AA368" s="22"/>
      <c r="AB368" s="22"/>
      <c r="AC368" s="23" t="s">
        <v>901</v>
      </c>
      <c r="AD368" s="17" t="s">
        <v>441</v>
      </c>
      <c r="AE368" s="17">
        <v>4.25</v>
      </c>
      <c r="AF368" s="17" t="s">
        <v>6</v>
      </c>
      <c r="AG368" s="17" t="s">
        <v>1040</v>
      </c>
      <c r="AH368" t="s">
        <v>903</v>
      </c>
      <c r="AJ368" s="15">
        <f>VLOOKUP(Tabla1[[#This Row],[CPC]],[1]Sheet3!$A:$D,4,0)</f>
        <v>0.5</v>
      </c>
      <c r="AK368" t="s">
        <v>908</v>
      </c>
    </row>
    <row r="369" spans="1:37" ht="15" hidden="1" customHeight="1" x14ac:dyDescent="0.25">
      <c r="A369" s="1">
        <v>370</v>
      </c>
      <c r="B369" s="1">
        <v>41177</v>
      </c>
      <c r="C369" s="26"/>
      <c r="D369" s="1">
        <v>207</v>
      </c>
      <c r="E369" s="1">
        <v>57</v>
      </c>
      <c r="F369" s="1">
        <v>57</v>
      </c>
      <c r="G369" s="27" t="s">
        <v>88</v>
      </c>
      <c r="H369" s="27" t="s">
        <v>87</v>
      </c>
      <c r="I369" s="27" t="s">
        <v>894</v>
      </c>
      <c r="J369" s="27" t="s">
        <v>12</v>
      </c>
      <c r="K369" s="27" t="s">
        <v>36</v>
      </c>
      <c r="L369" s="27" t="s">
        <v>901</v>
      </c>
      <c r="M369" s="27" t="s">
        <v>905</v>
      </c>
      <c r="N369" s="27" t="s">
        <v>36</v>
      </c>
      <c r="O369" s="27" t="s">
        <v>122</v>
      </c>
      <c r="P369" s="27" t="s">
        <v>896</v>
      </c>
      <c r="Q369" s="27" t="s">
        <v>897</v>
      </c>
      <c r="R369" s="1">
        <v>41058</v>
      </c>
      <c r="S369" s="27" t="s">
        <v>87</v>
      </c>
      <c r="T369" s="27" t="s">
        <v>1131</v>
      </c>
      <c r="U369" s="1">
        <v>137</v>
      </c>
      <c r="V369" s="27" t="s">
        <v>900</v>
      </c>
      <c r="W369" s="1">
        <v>908</v>
      </c>
      <c r="X369" s="28">
        <v>2.4700000000000002</v>
      </c>
      <c r="Y369" s="29">
        <v>0.5</v>
      </c>
      <c r="Z369" s="29">
        <v>0.5</v>
      </c>
      <c r="AA369" s="26"/>
      <c r="AB369" s="26"/>
      <c r="AC369" s="27" t="s">
        <v>901</v>
      </c>
      <c r="AD369" t="s">
        <v>350</v>
      </c>
      <c r="AE369">
        <v>4.25</v>
      </c>
      <c r="AF369" t="s">
        <v>862</v>
      </c>
      <c r="AG369" t="s">
        <v>1040</v>
      </c>
      <c r="AH369" t="s">
        <v>903</v>
      </c>
      <c r="AJ369" s="15">
        <f>VLOOKUP(Tabla1[[#This Row],[CPC]],[1]Sheet3!$A:$D,4,0)</f>
        <v>0.50000001197146815</v>
      </c>
      <c r="AK369" t="s">
        <v>908</v>
      </c>
    </row>
    <row r="370" spans="1:37" ht="15" hidden="1" customHeight="1" x14ac:dyDescent="0.25">
      <c r="A370" s="1">
        <v>371</v>
      </c>
      <c r="B370" s="21">
        <v>41178</v>
      </c>
      <c r="C370" s="34">
        <v>41177</v>
      </c>
      <c r="D370" s="21">
        <v>207</v>
      </c>
      <c r="E370" s="21">
        <v>56</v>
      </c>
      <c r="F370" s="21">
        <v>56</v>
      </c>
      <c r="G370" s="23" t="s">
        <v>90</v>
      </c>
      <c r="H370" s="23" t="s">
        <v>87</v>
      </c>
      <c r="I370" s="23" t="s">
        <v>894</v>
      </c>
      <c r="J370" s="23" t="s">
        <v>12</v>
      </c>
      <c r="K370" s="23" t="s">
        <v>36</v>
      </c>
      <c r="L370" s="23" t="s">
        <v>901</v>
      </c>
      <c r="M370" s="23" t="s">
        <v>905</v>
      </c>
      <c r="N370" s="23" t="s">
        <v>36</v>
      </c>
      <c r="O370" s="23" t="s">
        <v>122</v>
      </c>
      <c r="P370" s="23" t="s">
        <v>896</v>
      </c>
      <c r="Q370" s="23" t="s">
        <v>897</v>
      </c>
      <c r="R370" s="21">
        <v>41058</v>
      </c>
      <c r="S370" s="23" t="s">
        <v>87</v>
      </c>
      <c r="T370" s="23" t="s">
        <v>1090</v>
      </c>
      <c r="U370" s="21">
        <v>0</v>
      </c>
      <c r="V370" s="23" t="s">
        <v>900</v>
      </c>
      <c r="W370" s="21">
        <v>641</v>
      </c>
      <c r="X370" s="24">
        <v>0</v>
      </c>
      <c r="Y370" s="31"/>
      <c r="Z370" s="31"/>
      <c r="AA370" s="22"/>
      <c r="AB370" s="22"/>
      <c r="AC370" s="23" t="s">
        <v>901</v>
      </c>
      <c r="AD370" s="17" t="s">
        <v>350</v>
      </c>
      <c r="AE370" s="17">
        <v>4.25</v>
      </c>
      <c r="AF370" s="17" t="s">
        <v>862</v>
      </c>
      <c r="AG370" s="17" t="s">
        <v>1040</v>
      </c>
      <c r="AH370" t="s">
        <v>903</v>
      </c>
      <c r="AJ370" s="15"/>
      <c r="AK370" t="s">
        <v>908</v>
      </c>
    </row>
    <row r="371" spans="1:37" ht="15" hidden="1" customHeight="1" x14ac:dyDescent="0.25">
      <c r="A371" s="8">
        <v>372</v>
      </c>
      <c r="B371" s="1">
        <v>41181</v>
      </c>
      <c r="C371" s="26"/>
      <c r="D371" s="1">
        <v>225</v>
      </c>
      <c r="E371" s="1">
        <v>22502</v>
      </c>
      <c r="F371" s="1">
        <v>22502</v>
      </c>
      <c r="G371" s="27" t="s">
        <v>106</v>
      </c>
      <c r="H371" s="27" t="s">
        <v>104</v>
      </c>
      <c r="I371" s="27" t="s">
        <v>894</v>
      </c>
      <c r="J371" s="27" t="s">
        <v>12</v>
      </c>
      <c r="K371" s="27" t="s">
        <v>36</v>
      </c>
      <c r="L371" s="27" t="s">
        <v>901</v>
      </c>
      <c r="M371" s="27" t="s">
        <v>905</v>
      </c>
      <c r="N371" s="27" t="s">
        <v>36</v>
      </c>
      <c r="O371" s="27" t="s">
        <v>122</v>
      </c>
      <c r="P371" s="27" t="s">
        <v>896</v>
      </c>
      <c r="Q371" s="27" t="s">
        <v>897</v>
      </c>
      <c r="R371" s="1">
        <v>41059</v>
      </c>
      <c r="S371" s="27" t="s">
        <v>1153</v>
      </c>
      <c r="T371" s="27" t="s">
        <v>1131</v>
      </c>
      <c r="U371" s="1">
        <v>137</v>
      </c>
      <c r="V371" s="27" t="s">
        <v>900</v>
      </c>
      <c r="W371" s="1">
        <v>908</v>
      </c>
      <c r="X371" s="28">
        <v>2.4700000000000002</v>
      </c>
      <c r="Y371" s="29">
        <v>0.5</v>
      </c>
      <c r="Z371" s="29">
        <v>0.5</v>
      </c>
      <c r="AA371" s="26"/>
      <c r="AB371" s="26"/>
      <c r="AC371" s="27" t="s">
        <v>901</v>
      </c>
      <c r="AD371" t="s">
        <v>351</v>
      </c>
      <c r="AE371">
        <v>4.25</v>
      </c>
      <c r="AF371" t="s">
        <v>862</v>
      </c>
      <c r="AG371" t="s">
        <v>1040</v>
      </c>
      <c r="AH371" t="s">
        <v>903</v>
      </c>
      <c r="AJ371" s="15">
        <f>VLOOKUP(Tabla1[[#This Row],[CPC]],[1]Sheet3!$A:$D,4,0)</f>
        <v>0.50000002461493787</v>
      </c>
      <c r="AK371" t="s">
        <v>908</v>
      </c>
    </row>
    <row r="372" spans="1:37" ht="15" hidden="1" customHeight="1" x14ac:dyDescent="0.25">
      <c r="A372" s="1">
        <v>373</v>
      </c>
      <c r="B372" s="21">
        <v>41182</v>
      </c>
      <c r="C372" s="34">
        <v>41181</v>
      </c>
      <c r="D372" s="21">
        <v>225</v>
      </c>
      <c r="E372" s="21">
        <v>83</v>
      </c>
      <c r="F372" s="21">
        <v>83</v>
      </c>
      <c r="G372" s="23" t="s">
        <v>108</v>
      </c>
      <c r="H372" s="23" t="s">
        <v>104</v>
      </c>
      <c r="I372" s="23" t="s">
        <v>894</v>
      </c>
      <c r="J372" s="23" t="s">
        <v>12</v>
      </c>
      <c r="K372" s="23" t="s">
        <v>36</v>
      </c>
      <c r="L372" s="23" t="s">
        <v>901</v>
      </c>
      <c r="M372" s="23" t="s">
        <v>905</v>
      </c>
      <c r="N372" s="23" t="s">
        <v>36</v>
      </c>
      <c r="O372" s="23" t="s">
        <v>122</v>
      </c>
      <c r="P372" s="23" t="s">
        <v>896</v>
      </c>
      <c r="Q372" s="23" t="s">
        <v>897</v>
      </c>
      <c r="R372" s="21">
        <v>41059</v>
      </c>
      <c r="S372" s="23" t="s">
        <v>1153</v>
      </c>
      <c r="T372" s="23" t="s">
        <v>1090</v>
      </c>
      <c r="U372" s="21">
        <v>0</v>
      </c>
      <c r="V372" s="23" t="s">
        <v>900</v>
      </c>
      <c r="W372" s="21">
        <v>641</v>
      </c>
      <c r="X372" s="24">
        <v>0</v>
      </c>
      <c r="Y372" s="31"/>
      <c r="Z372" s="31"/>
      <c r="AA372" s="22"/>
      <c r="AB372" s="22"/>
      <c r="AC372" s="23" t="s">
        <v>901</v>
      </c>
      <c r="AD372" s="17" t="s">
        <v>351</v>
      </c>
      <c r="AE372" s="17">
        <v>4.25</v>
      </c>
      <c r="AF372" s="17" t="s">
        <v>862</v>
      </c>
      <c r="AG372" s="17" t="s">
        <v>1040</v>
      </c>
      <c r="AH372" t="s">
        <v>903</v>
      </c>
      <c r="AJ372" s="15"/>
      <c r="AK372" t="s">
        <v>908</v>
      </c>
    </row>
    <row r="373" spans="1:37" ht="15" hidden="1" customHeight="1" x14ac:dyDescent="0.25">
      <c r="A373" s="1">
        <v>374</v>
      </c>
      <c r="B373" s="1">
        <v>41233</v>
      </c>
      <c r="C373" s="26"/>
      <c r="D373" s="30"/>
      <c r="E373" s="30"/>
      <c r="F373" s="30"/>
      <c r="G373" s="27" t="s">
        <v>221</v>
      </c>
      <c r="H373" s="27" t="s">
        <v>219</v>
      </c>
      <c r="I373" s="27" t="s">
        <v>894</v>
      </c>
      <c r="J373" s="27" t="s">
        <v>123</v>
      </c>
      <c r="K373" s="27" t="s">
        <v>123</v>
      </c>
      <c r="L373" s="27" t="s">
        <v>901</v>
      </c>
      <c r="M373" s="27" t="s">
        <v>123</v>
      </c>
      <c r="N373" s="27" t="s">
        <v>901</v>
      </c>
      <c r="O373" s="27" t="s">
        <v>86</v>
      </c>
      <c r="P373" s="27" t="s">
        <v>896</v>
      </c>
      <c r="Q373" s="27" t="s">
        <v>897</v>
      </c>
      <c r="R373" s="1">
        <v>41076</v>
      </c>
      <c r="S373" s="27" t="s">
        <v>219</v>
      </c>
      <c r="T373" s="27" t="s">
        <v>1143</v>
      </c>
      <c r="U373" s="1">
        <v>136</v>
      </c>
      <c r="V373" s="27" t="s">
        <v>913</v>
      </c>
      <c r="W373" s="1">
        <v>1</v>
      </c>
      <c r="X373" s="28">
        <v>2.06</v>
      </c>
      <c r="Y373" s="29">
        <v>0.6</v>
      </c>
      <c r="Z373" s="29">
        <v>0.4</v>
      </c>
      <c r="AA373" s="26"/>
      <c r="AB373" s="26"/>
      <c r="AC373" s="27" t="s">
        <v>901</v>
      </c>
      <c r="AD373" t="s">
        <v>376</v>
      </c>
      <c r="AE373">
        <v>1</v>
      </c>
      <c r="AF373" t="s">
        <v>123</v>
      </c>
      <c r="AG373" t="s">
        <v>1075</v>
      </c>
      <c r="AH373" t="s">
        <v>903</v>
      </c>
      <c r="AI373" t="s">
        <v>1076</v>
      </c>
      <c r="AJ373" s="15">
        <f>VLOOKUP(Tabla1[[#This Row],[CPC]],[1]Sheet3!$A:$D,4,0)</f>
        <v>0.60072815533980584</v>
      </c>
      <c r="AK373" t="s">
        <v>908</v>
      </c>
    </row>
    <row r="374" spans="1:37" ht="15" hidden="1" customHeight="1" x14ac:dyDescent="0.25">
      <c r="A374" s="8">
        <v>375</v>
      </c>
      <c r="B374" s="21">
        <v>41235</v>
      </c>
      <c r="C374" s="22"/>
      <c r="D374" s="31"/>
      <c r="E374" s="31" t="s">
        <v>1020</v>
      </c>
      <c r="F374" s="31" t="s">
        <v>1020</v>
      </c>
      <c r="G374" s="23" t="s">
        <v>222</v>
      </c>
      <c r="H374" s="23" t="s">
        <v>219</v>
      </c>
      <c r="I374" s="23" t="s">
        <v>894</v>
      </c>
      <c r="J374" s="23" t="s">
        <v>123</v>
      </c>
      <c r="K374" s="23" t="s">
        <v>123</v>
      </c>
      <c r="L374" s="23" t="s">
        <v>901</v>
      </c>
      <c r="M374" s="23" t="s">
        <v>123</v>
      </c>
      <c r="N374" s="23" t="s">
        <v>901</v>
      </c>
      <c r="O374" s="23" t="s">
        <v>86</v>
      </c>
      <c r="P374" s="23" t="s">
        <v>896</v>
      </c>
      <c r="Q374" s="23" t="s">
        <v>897</v>
      </c>
      <c r="R374" s="21">
        <v>41077</v>
      </c>
      <c r="S374" s="23" t="s">
        <v>219</v>
      </c>
      <c r="T374" s="23" t="s">
        <v>1120</v>
      </c>
      <c r="U374" s="21">
        <v>128</v>
      </c>
      <c r="V374" s="23" t="s">
        <v>900</v>
      </c>
      <c r="W374" s="21">
        <v>641</v>
      </c>
      <c r="X374" s="24">
        <v>1.64</v>
      </c>
      <c r="Y374" s="25">
        <v>0.6</v>
      </c>
      <c r="Z374" s="25">
        <v>0.4</v>
      </c>
      <c r="AA374" s="22"/>
      <c r="AB374" s="22"/>
      <c r="AC374" s="23" t="s">
        <v>901</v>
      </c>
      <c r="AD374" s="17" t="s">
        <v>376</v>
      </c>
      <c r="AE374" s="17">
        <v>4.25</v>
      </c>
      <c r="AF374" s="17" t="s">
        <v>123</v>
      </c>
      <c r="AG374" s="17" t="s">
        <v>1075</v>
      </c>
      <c r="AH374" t="s">
        <v>903</v>
      </c>
      <c r="AI374" t="s">
        <v>1076</v>
      </c>
      <c r="AJ374" s="15">
        <f>VLOOKUP(Tabla1[[#This Row],[CPC]],[1]Sheet3!$A:$D,4,0)</f>
        <v>0.60000107467049435</v>
      </c>
      <c r="AK374" t="s">
        <v>908</v>
      </c>
    </row>
    <row r="375" spans="1:37" ht="15" hidden="1" customHeight="1" x14ac:dyDescent="0.25">
      <c r="A375" s="1">
        <v>376</v>
      </c>
      <c r="B375" s="1">
        <v>41236</v>
      </c>
      <c r="C375" s="35">
        <v>41235</v>
      </c>
      <c r="D375" s="30"/>
      <c r="E375" s="30"/>
      <c r="F375" s="30"/>
      <c r="G375" s="27" t="s">
        <v>220</v>
      </c>
      <c r="H375" s="27" t="s">
        <v>219</v>
      </c>
      <c r="I375" s="27" t="s">
        <v>894</v>
      </c>
      <c r="J375" s="27" t="s">
        <v>123</v>
      </c>
      <c r="K375" s="27" t="s">
        <v>123</v>
      </c>
      <c r="L375" s="27" t="s">
        <v>901</v>
      </c>
      <c r="M375" s="27" t="s">
        <v>123</v>
      </c>
      <c r="N375" s="27" t="s">
        <v>901</v>
      </c>
      <c r="O375" s="27" t="s">
        <v>86</v>
      </c>
      <c r="P375" s="27" t="s">
        <v>896</v>
      </c>
      <c r="Q375" s="27" t="s">
        <v>897</v>
      </c>
      <c r="R375" s="1">
        <v>41077</v>
      </c>
      <c r="S375" s="27" t="s">
        <v>219</v>
      </c>
      <c r="T375" s="27" t="s">
        <v>1090</v>
      </c>
      <c r="U375" s="1">
        <v>0</v>
      </c>
      <c r="V375" s="27" t="s">
        <v>900</v>
      </c>
      <c r="W375" s="1">
        <v>908</v>
      </c>
      <c r="X375" s="28">
        <v>0</v>
      </c>
      <c r="Y375" s="30"/>
      <c r="Z375" s="30"/>
      <c r="AA375" s="26"/>
      <c r="AB375" s="26"/>
      <c r="AC375" s="27" t="s">
        <v>901</v>
      </c>
      <c r="AD375" t="s">
        <v>376</v>
      </c>
      <c r="AE375">
        <v>4.25</v>
      </c>
      <c r="AF375" t="s">
        <v>123</v>
      </c>
      <c r="AG375" t="s">
        <v>1075</v>
      </c>
      <c r="AH375" t="s">
        <v>903</v>
      </c>
      <c r="AI375" t="s">
        <v>1076</v>
      </c>
      <c r="AJ375" s="15"/>
      <c r="AK375" t="s">
        <v>908</v>
      </c>
    </row>
    <row r="376" spans="1:37" ht="15" hidden="1" customHeight="1" x14ac:dyDescent="0.25">
      <c r="A376" s="1">
        <v>377</v>
      </c>
      <c r="B376" s="21">
        <v>41247</v>
      </c>
      <c r="C376" s="31"/>
      <c r="D376" s="21">
        <v>381</v>
      </c>
      <c r="E376" s="21">
        <v>38101</v>
      </c>
      <c r="F376" s="21">
        <v>38101</v>
      </c>
      <c r="G376" s="23" t="s">
        <v>70</v>
      </c>
      <c r="H376" s="23" t="s">
        <v>68</v>
      </c>
      <c r="I376" s="23" t="s">
        <v>894</v>
      </c>
      <c r="J376" s="23" t="s">
        <v>6</v>
      </c>
      <c r="K376" s="23" t="s">
        <v>36</v>
      </c>
      <c r="L376" s="23" t="s">
        <v>901</v>
      </c>
      <c r="M376" s="23" t="s">
        <v>905</v>
      </c>
      <c r="N376" s="23" t="s">
        <v>36</v>
      </c>
      <c r="O376" s="23" t="s">
        <v>346</v>
      </c>
      <c r="P376" s="23" t="s">
        <v>896</v>
      </c>
      <c r="Q376" s="23" t="s">
        <v>897</v>
      </c>
      <c r="R376" s="21">
        <v>41078</v>
      </c>
      <c r="S376" s="23" t="s">
        <v>1154</v>
      </c>
      <c r="T376" s="23" t="s">
        <v>1143</v>
      </c>
      <c r="U376" s="21">
        <v>136</v>
      </c>
      <c r="V376" s="23" t="s">
        <v>900</v>
      </c>
      <c r="W376" s="21">
        <v>908</v>
      </c>
      <c r="X376" s="24">
        <v>2.06</v>
      </c>
      <c r="Y376" s="33">
        <v>0.45</v>
      </c>
      <c r="Z376" s="33">
        <v>0.55000000000000004</v>
      </c>
      <c r="AA376" s="22"/>
      <c r="AB376" s="22"/>
      <c r="AC376" s="23" t="s">
        <v>901</v>
      </c>
      <c r="AD376" s="17" t="s">
        <v>348</v>
      </c>
      <c r="AE376" s="17">
        <v>4.25</v>
      </c>
      <c r="AF376" s="17" t="s">
        <v>6</v>
      </c>
      <c r="AG376" s="17" t="s">
        <v>1040</v>
      </c>
      <c r="AH376" t="s">
        <v>903</v>
      </c>
      <c r="AJ376" s="15">
        <f>VLOOKUP(Tabla1[[#This Row],[CPC]],[1]Sheet3!$A:$D,4,0)</f>
        <v>0.44999425779835128</v>
      </c>
      <c r="AK376" t="s">
        <v>908</v>
      </c>
    </row>
    <row r="377" spans="1:37" ht="15" hidden="1" customHeight="1" x14ac:dyDescent="0.25">
      <c r="A377" s="8">
        <v>378</v>
      </c>
      <c r="B377" s="1">
        <v>41329</v>
      </c>
      <c r="C377" s="26"/>
      <c r="D377" s="1">
        <v>267</v>
      </c>
      <c r="E377" s="1">
        <v>26702</v>
      </c>
      <c r="F377" s="1">
        <v>26702</v>
      </c>
      <c r="G377" s="27" t="s">
        <v>82</v>
      </c>
      <c r="H377" s="27" t="s">
        <v>81</v>
      </c>
      <c r="I377" s="27" t="s">
        <v>894</v>
      </c>
      <c r="J377" s="27" t="s">
        <v>6</v>
      </c>
      <c r="K377" s="27" t="s">
        <v>36</v>
      </c>
      <c r="L377" s="27" t="s">
        <v>901</v>
      </c>
      <c r="M377" s="27" t="s">
        <v>905</v>
      </c>
      <c r="N377" s="27" t="s">
        <v>36</v>
      </c>
      <c r="O377" s="27" t="s">
        <v>325</v>
      </c>
      <c r="P377" s="27" t="s">
        <v>896</v>
      </c>
      <c r="Q377" s="27" t="s">
        <v>897</v>
      </c>
      <c r="R377" s="1">
        <v>41096</v>
      </c>
      <c r="S377" s="27" t="s">
        <v>81</v>
      </c>
      <c r="T377" s="27" t="s">
        <v>1143</v>
      </c>
      <c r="U377" s="1">
        <v>136</v>
      </c>
      <c r="V377" s="27" t="s">
        <v>900</v>
      </c>
      <c r="W377" s="1">
        <v>908</v>
      </c>
      <c r="X377" s="28">
        <v>2.06</v>
      </c>
      <c r="Y377" s="29">
        <v>0.45</v>
      </c>
      <c r="Z377" s="29">
        <v>0.55000000000000004</v>
      </c>
      <c r="AA377" s="26"/>
      <c r="AB377" s="26"/>
      <c r="AC377" s="27" t="s">
        <v>901</v>
      </c>
      <c r="AD377" t="s">
        <v>341</v>
      </c>
      <c r="AE377">
        <v>4.25</v>
      </c>
      <c r="AF377" t="s">
        <v>6</v>
      </c>
      <c r="AG377" t="s">
        <v>1040</v>
      </c>
      <c r="AH377" t="s">
        <v>903</v>
      </c>
      <c r="AJ377" s="15">
        <f>VLOOKUP(Tabla1[[#This Row],[CPC]],[1]Sheet3!$A:$D,4,0)</f>
        <v>0.44999995303154333</v>
      </c>
      <c r="AK377" t="s">
        <v>908</v>
      </c>
    </row>
    <row r="378" spans="1:37" ht="15" hidden="1" customHeight="1" x14ac:dyDescent="0.25">
      <c r="A378" s="1">
        <v>379</v>
      </c>
      <c r="B378" s="21">
        <v>41449</v>
      </c>
      <c r="C378" s="31"/>
      <c r="D378" s="21">
        <v>441</v>
      </c>
      <c r="E378" s="21">
        <v>44102</v>
      </c>
      <c r="F378" s="21">
        <v>44102</v>
      </c>
      <c r="G378" s="23" t="s">
        <v>458</v>
      </c>
      <c r="H378" s="23" t="s">
        <v>61</v>
      </c>
      <c r="I378" s="23" t="s">
        <v>894</v>
      </c>
      <c r="J378" s="23" t="s">
        <v>279</v>
      </c>
      <c r="K378" s="23" t="s">
        <v>279</v>
      </c>
      <c r="L378" s="23" t="s">
        <v>895</v>
      </c>
      <c r="M378" s="23" t="s">
        <v>279</v>
      </c>
      <c r="N378" s="23" t="s">
        <v>895</v>
      </c>
      <c r="O378" s="23" t="s">
        <v>450</v>
      </c>
      <c r="P378" s="23" t="s">
        <v>896</v>
      </c>
      <c r="Q378" s="23" t="s">
        <v>897</v>
      </c>
      <c r="R378" s="21">
        <v>41116</v>
      </c>
      <c r="S378" s="23" t="s">
        <v>1148</v>
      </c>
      <c r="T378" s="23" t="s">
        <v>899</v>
      </c>
      <c r="U378" s="21">
        <v>58</v>
      </c>
      <c r="V378" s="23" t="s">
        <v>900</v>
      </c>
      <c r="W378" s="21">
        <v>908</v>
      </c>
      <c r="X378" s="24">
        <v>2.99</v>
      </c>
      <c r="Y378" s="33">
        <v>0.3</v>
      </c>
      <c r="Z378" s="33">
        <v>0.7</v>
      </c>
      <c r="AA378" s="22"/>
      <c r="AB378" s="22"/>
      <c r="AC378" s="23" t="s">
        <v>901</v>
      </c>
      <c r="AD378" s="17" t="s">
        <v>459</v>
      </c>
      <c r="AE378" s="17">
        <v>4.25</v>
      </c>
      <c r="AF378" s="17" t="s">
        <v>279</v>
      </c>
      <c r="AG378" s="17" t="s">
        <v>1147</v>
      </c>
      <c r="AH378" t="s">
        <v>903</v>
      </c>
      <c r="AJ378" s="15"/>
      <c r="AK378" t="s">
        <v>904</v>
      </c>
    </row>
    <row r="379" spans="1:37" ht="15" hidden="1" customHeight="1" x14ac:dyDescent="0.25">
      <c r="A379" s="1">
        <v>380</v>
      </c>
      <c r="B379" s="1">
        <v>41529</v>
      </c>
      <c r="C379" s="26"/>
      <c r="D379" s="1">
        <v>382</v>
      </c>
      <c r="E379" s="1">
        <v>38201</v>
      </c>
      <c r="F379" s="1">
        <v>38201</v>
      </c>
      <c r="G379" s="27" t="s">
        <v>60</v>
      </c>
      <c r="H379" s="27" t="s">
        <v>59</v>
      </c>
      <c r="I379" s="27" t="s">
        <v>894</v>
      </c>
      <c r="J379" s="27" t="s">
        <v>6</v>
      </c>
      <c r="K379" s="27" t="s">
        <v>36</v>
      </c>
      <c r="L379" s="27" t="s">
        <v>901</v>
      </c>
      <c r="M379" s="27" t="s">
        <v>905</v>
      </c>
      <c r="N379" s="27" t="s">
        <v>36</v>
      </c>
      <c r="O379" s="27" t="s">
        <v>346</v>
      </c>
      <c r="P379" s="27" t="s">
        <v>896</v>
      </c>
      <c r="Q379" s="27" t="s">
        <v>897</v>
      </c>
      <c r="R379" s="1">
        <v>41136</v>
      </c>
      <c r="S379" s="27" t="s">
        <v>59</v>
      </c>
      <c r="T379" s="27" t="s">
        <v>1143</v>
      </c>
      <c r="U379" s="1">
        <v>136</v>
      </c>
      <c r="V379" s="27" t="s">
        <v>900</v>
      </c>
      <c r="W379" s="1">
        <v>908</v>
      </c>
      <c r="X379" s="28">
        <v>2.06</v>
      </c>
      <c r="Y379" s="29">
        <v>0.45</v>
      </c>
      <c r="Z379" s="29">
        <v>0.55000000000000004</v>
      </c>
      <c r="AA379" s="26"/>
      <c r="AB379" s="26"/>
      <c r="AC379" s="27" t="s">
        <v>901</v>
      </c>
      <c r="AD379" t="s">
        <v>347</v>
      </c>
      <c r="AE379">
        <v>4.25</v>
      </c>
      <c r="AF379" t="s">
        <v>6</v>
      </c>
      <c r="AG379" t="s">
        <v>1040</v>
      </c>
      <c r="AH379" t="s">
        <v>903</v>
      </c>
      <c r="AJ379" s="15">
        <f>VLOOKUP(Tabla1[[#This Row],[CPC]],[1]Sheet3!$A:$D,4,0)</f>
        <v>0.45002968154573864</v>
      </c>
      <c r="AK379" t="s">
        <v>908</v>
      </c>
    </row>
    <row r="380" spans="1:37" ht="15" hidden="1" customHeight="1" x14ac:dyDescent="0.25">
      <c r="A380" s="8">
        <v>381</v>
      </c>
      <c r="B380" s="21">
        <v>41533</v>
      </c>
      <c r="C380" s="22"/>
      <c r="D380" s="21">
        <v>582</v>
      </c>
      <c r="E380" s="21">
        <v>58201</v>
      </c>
      <c r="F380" s="21">
        <v>58201</v>
      </c>
      <c r="G380" s="23" t="s">
        <v>494</v>
      </c>
      <c r="H380" s="23" t="s">
        <v>61</v>
      </c>
      <c r="I380" s="23" t="s">
        <v>894</v>
      </c>
      <c r="J380" s="23" t="s">
        <v>279</v>
      </c>
      <c r="K380" s="23" t="s">
        <v>279</v>
      </c>
      <c r="L380" s="23" t="s">
        <v>895</v>
      </c>
      <c r="M380" s="23" t="s">
        <v>279</v>
      </c>
      <c r="N380" s="23" t="s">
        <v>895</v>
      </c>
      <c r="O380" s="23" t="s">
        <v>491</v>
      </c>
      <c r="P380" s="23" t="s">
        <v>909</v>
      </c>
      <c r="Q380" s="23" t="s">
        <v>897</v>
      </c>
      <c r="R380" s="21">
        <v>41176</v>
      </c>
      <c r="S380" s="23" t="s">
        <v>1155</v>
      </c>
      <c r="T380" s="23" t="s">
        <v>899</v>
      </c>
      <c r="U380" s="21">
        <v>58</v>
      </c>
      <c r="V380" s="23" t="s">
        <v>900</v>
      </c>
      <c r="W380" s="21">
        <v>908</v>
      </c>
      <c r="X380" s="24">
        <v>2.99</v>
      </c>
      <c r="Y380" s="25">
        <v>0.3</v>
      </c>
      <c r="Z380" s="25">
        <v>0.7</v>
      </c>
      <c r="AA380" s="22"/>
      <c r="AB380" s="22"/>
      <c r="AC380" s="23" t="s">
        <v>901</v>
      </c>
      <c r="AD380" s="17" t="s">
        <v>492</v>
      </c>
      <c r="AE380" s="17">
        <v>4.25</v>
      </c>
      <c r="AF380" s="17" t="s">
        <v>279</v>
      </c>
      <c r="AG380" s="17"/>
      <c r="AH380" t="s">
        <v>903</v>
      </c>
      <c r="AJ380" s="15"/>
      <c r="AK380" t="s">
        <v>904</v>
      </c>
    </row>
    <row r="381" spans="1:37" ht="15" hidden="1" customHeight="1" x14ac:dyDescent="0.25">
      <c r="A381" s="1">
        <v>382</v>
      </c>
      <c r="B381" s="1">
        <v>41589</v>
      </c>
      <c r="C381" s="26"/>
      <c r="D381" s="1">
        <v>566</v>
      </c>
      <c r="E381" s="1">
        <v>56601</v>
      </c>
      <c r="F381" s="1">
        <v>56601</v>
      </c>
      <c r="G381" s="27" t="s">
        <v>94</v>
      </c>
      <c r="H381" s="27" t="s">
        <v>92</v>
      </c>
      <c r="I381" s="27" t="s">
        <v>894</v>
      </c>
      <c r="J381" s="27" t="s">
        <v>36</v>
      </c>
      <c r="K381" s="27" t="s">
        <v>1119</v>
      </c>
      <c r="L381" s="27" t="s">
        <v>901</v>
      </c>
      <c r="M381" s="27" t="s">
        <v>905</v>
      </c>
      <c r="N381" s="27" t="s">
        <v>36</v>
      </c>
      <c r="O381" s="27" t="s">
        <v>307</v>
      </c>
      <c r="P381" s="27" t="s">
        <v>896</v>
      </c>
      <c r="Q381" s="27" t="s">
        <v>897</v>
      </c>
      <c r="R381" s="1">
        <v>41177</v>
      </c>
      <c r="S381" s="27" t="s">
        <v>93</v>
      </c>
      <c r="T381" s="27" t="s">
        <v>1120</v>
      </c>
      <c r="U381" s="1">
        <v>128</v>
      </c>
      <c r="V381" s="27" t="s">
        <v>900</v>
      </c>
      <c r="W381" s="1">
        <v>908</v>
      </c>
      <c r="X381" s="28">
        <v>1.64</v>
      </c>
      <c r="Y381" s="29">
        <v>0.4</v>
      </c>
      <c r="Z381" s="29">
        <v>0.6</v>
      </c>
      <c r="AA381" s="26"/>
      <c r="AB381" s="26"/>
      <c r="AC381" s="27" t="s">
        <v>901</v>
      </c>
      <c r="AD381" t="s">
        <v>353</v>
      </c>
      <c r="AE381">
        <v>4.25</v>
      </c>
      <c r="AF381" t="s">
        <v>862</v>
      </c>
      <c r="AG381" t="s">
        <v>1040</v>
      </c>
      <c r="AH381" t="s">
        <v>903</v>
      </c>
      <c r="AJ381" s="15">
        <f>VLOOKUP(Tabla1[[#This Row],[CPC]],[1]Sheet3!$A:$D,4,0)</f>
        <v>0.39997168628402702</v>
      </c>
      <c r="AK381" t="s">
        <v>908</v>
      </c>
    </row>
    <row r="382" spans="1:37" ht="15" hidden="1" customHeight="1" x14ac:dyDescent="0.25">
      <c r="A382" s="1">
        <v>383</v>
      </c>
      <c r="B382" s="21">
        <v>41593</v>
      </c>
      <c r="C382" s="22"/>
      <c r="D382" s="21">
        <v>568</v>
      </c>
      <c r="E382" s="21">
        <v>56801</v>
      </c>
      <c r="F382" s="21">
        <v>56801</v>
      </c>
      <c r="G382" s="23" t="s">
        <v>20</v>
      </c>
      <c r="H382" s="23" t="s">
        <v>19</v>
      </c>
      <c r="I382" s="23" t="s">
        <v>894</v>
      </c>
      <c r="J382" s="23" t="s">
        <v>12</v>
      </c>
      <c r="K382" s="23" t="s">
        <v>5</v>
      </c>
      <c r="L382" s="23" t="s">
        <v>901</v>
      </c>
      <c r="M382" s="23" t="s">
        <v>905</v>
      </c>
      <c r="N382" s="23" t="s">
        <v>5</v>
      </c>
      <c r="O382" s="23" t="s">
        <v>307</v>
      </c>
      <c r="P382" s="23" t="s">
        <v>896</v>
      </c>
      <c r="Q382" s="23" t="s">
        <v>897</v>
      </c>
      <c r="R382" s="21">
        <v>41178</v>
      </c>
      <c r="S382" s="23" t="s">
        <v>1121</v>
      </c>
      <c r="T382" s="23" t="s">
        <v>1118</v>
      </c>
      <c r="U382" s="21">
        <v>135</v>
      </c>
      <c r="V382" s="23" t="s">
        <v>900</v>
      </c>
      <c r="W382" s="21">
        <v>908</v>
      </c>
      <c r="X382" s="24">
        <v>1.23</v>
      </c>
      <c r="Y382" s="25">
        <v>0.4</v>
      </c>
      <c r="Z382" s="25">
        <v>0.6</v>
      </c>
      <c r="AA382" s="22"/>
      <c r="AB382" s="22"/>
      <c r="AC382" s="23" t="s">
        <v>901</v>
      </c>
      <c r="AD382" s="17" t="s">
        <v>308</v>
      </c>
      <c r="AE382" s="17">
        <v>4.25</v>
      </c>
      <c r="AF382" s="17" t="s">
        <v>862</v>
      </c>
      <c r="AG382" s="17" t="s">
        <v>1040</v>
      </c>
      <c r="AH382" t="s">
        <v>903</v>
      </c>
      <c r="AJ382" s="15"/>
      <c r="AK382" t="s">
        <v>908</v>
      </c>
    </row>
    <row r="383" spans="1:37" ht="15" hidden="1" customHeight="1" x14ac:dyDescent="0.25">
      <c r="A383" s="8">
        <v>384</v>
      </c>
      <c r="B383" s="1">
        <v>41594</v>
      </c>
      <c r="C383" s="35">
        <v>41593</v>
      </c>
      <c r="D383" s="1">
        <v>568</v>
      </c>
      <c r="E383" s="1">
        <v>56802</v>
      </c>
      <c r="F383" s="1">
        <v>56802</v>
      </c>
      <c r="G383" s="27" t="s">
        <v>21</v>
      </c>
      <c r="H383" s="27" t="s">
        <v>19</v>
      </c>
      <c r="I383" s="27" t="s">
        <v>894</v>
      </c>
      <c r="J383" s="27" t="s">
        <v>12</v>
      </c>
      <c r="K383" s="27" t="s">
        <v>5</v>
      </c>
      <c r="L383" s="27" t="s">
        <v>901</v>
      </c>
      <c r="M383" s="27" t="s">
        <v>905</v>
      </c>
      <c r="N383" s="27" t="s">
        <v>5</v>
      </c>
      <c r="O383" s="27" t="s">
        <v>307</v>
      </c>
      <c r="P383" s="27" t="s">
        <v>896</v>
      </c>
      <c r="Q383" s="27" t="s">
        <v>897</v>
      </c>
      <c r="R383" s="1">
        <v>41178</v>
      </c>
      <c r="S383" s="27" t="s">
        <v>1121</v>
      </c>
      <c r="T383" s="27" t="s">
        <v>1090</v>
      </c>
      <c r="U383" s="1">
        <v>0</v>
      </c>
      <c r="V383" s="27" t="s">
        <v>900</v>
      </c>
      <c r="W383" s="1">
        <v>641</v>
      </c>
      <c r="X383" s="28">
        <v>0</v>
      </c>
      <c r="Y383" s="30"/>
      <c r="Z383" s="30"/>
      <c r="AA383" s="26"/>
      <c r="AB383" s="26"/>
      <c r="AC383" s="27" t="s">
        <v>901</v>
      </c>
      <c r="AD383" t="s">
        <v>308</v>
      </c>
      <c r="AE383">
        <v>4.25</v>
      </c>
      <c r="AF383" t="s">
        <v>862</v>
      </c>
      <c r="AG383" t="s">
        <v>1040</v>
      </c>
      <c r="AH383" t="s">
        <v>903</v>
      </c>
      <c r="AJ383" s="15"/>
      <c r="AK383" t="s">
        <v>908</v>
      </c>
    </row>
    <row r="384" spans="1:37" ht="15" hidden="1" customHeight="1" x14ac:dyDescent="0.25">
      <c r="A384" s="1">
        <v>385</v>
      </c>
      <c r="B384" s="21">
        <v>41597</v>
      </c>
      <c r="C384" s="22"/>
      <c r="D384" s="34">
        <v>572</v>
      </c>
      <c r="E384" s="34">
        <v>57201</v>
      </c>
      <c r="F384" s="34">
        <v>57201</v>
      </c>
      <c r="G384" s="23" t="s">
        <v>117</v>
      </c>
      <c r="H384" s="23" t="s">
        <v>115</v>
      </c>
      <c r="I384" s="23" t="s">
        <v>894</v>
      </c>
      <c r="J384" s="23" t="s">
        <v>12</v>
      </c>
      <c r="K384" s="23" t="s">
        <v>36</v>
      </c>
      <c r="L384" s="23" t="s">
        <v>901</v>
      </c>
      <c r="M384" s="23" t="s">
        <v>905</v>
      </c>
      <c r="N384" s="23" t="s">
        <v>36</v>
      </c>
      <c r="O384" s="23" t="s">
        <v>307</v>
      </c>
      <c r="P384" s="23" t="s">
        <v>896</v>
      </c>
      <c r="Q384" s="23" t="s">
        <v>897</v>
      </c>
      <c r="R384" s="21">
        <v>41179</v>
      </c>
      <c r="S384" s="23" t="s">
        <v>115</v>
      </c>
      <c r="T384" s="23" t="s">
        <v>1120</v>
      </c>
      <c r="U384" s="21">
        <v>128</v>
      </c>
      <c r="V384" s="23" t="s">
        <v>900</v>
      </c>
      <c r="W384" s="21">
        <v>908</v>
      </c>
      <c r="X384" s="24">
        <v>1.64</v>
      </c>
      <c r="Y384" s="25">
        <v>0.45</v>
      </c>
      <c r="Z384" s="25">
        <v>0.55000000000000004</v>
      </c>
      <c r="AA384" s="22"/>
      <c r="AB384" s="22"/>
      <c r="AC384" s="23" t="s">
        <v>901</v>
      </c>
      <c r="AD384" s="17" t="s">
        <v>355</v>
      </c>
      <c r="AE384" s="17">
        <v>4.25</v>
      </c>
      <c r="AF384" s="17" t="s">
        <v>862</v>
      </c>
      <c r="AG384" s="17"/>
      <c r="AH384" t="s">
        <v>903</v>
      </c>
      <c r="AJ384" s="15"/>
      <c r="AK384" t="s">
        <v>908</v>
      </c>
    </row>
    <row r="385" spans="1:37" ht="15" hidden="1" customHeight="1" x14ac:dyDescent="0.25">
      <c r="A385" s="1">
        <v>386</v>
      </c>
      <c r="B385" s="1">
        <v>41598</v>
      </c>
      <c r="C385" s="35">
        <v>41597</v>
      </c>
      <c r="D385" s="35">
        <v>572</v>
      </c>
      <c r="E385" s="35">
        <v>57202</v>
      </c>
      <c r="F385" s="35">
        <v>57202</v>
      </c>
      <c r="G385" s="27" t="s">
        <v>116</v>
      </c>
      <c r="H385" s="27" t="s">
        <v>115</v>
      </c>
      <c r="I385" s="27" t="s">
        <v>894</v>
      </c>
      <c r="J385" s="27" t="s">
        <v>12</v>
      </c>
      <c r="K385" s="27" t="s">
        <v>36</v>
      </c>
      <c r="L385" s="27" t="s">
        <v>901</v>
      </c>
      <c r="M385" s="27" t="s">
        <v>905</v>
      </c>
      <c r="N385" s="27" t="s">
        <v>36</v>
      </c>
      <c r="O385" s="27" t="s">
        <v>307</v>
      </c>
      <c r="P385" s="27" t="s">
        <v>896</v>
      </c>
      <c r="Q385" s="27" t="s">
        <v>897</v>
      </c>
      <c r="R385" s="1">
        <v>41179</v>
      </c>
      <c r="S385" s="27" t="s">
        <v>115</v>
      </c>
      <c r="T385" s="27" t="s">
        <v>1090</v>
      </c>
      <c r="U385" s="1">
        <v>0</v>
      </c>
      <c r="V385" s="27" t="s">
        <v>900</v>
      </c>
      <c r="W385" s="1">
        <v>641</v>
      </c>
      <c r="X385" s="28">
        <v>0</v>
      </c>
      <c r="Y385" s="30"/>
      <c r="Z385" s="30"/>
      <c r="AA385" s="26"/>
      <c r="AB385" s="26"/>
      <c r="AC385" s="27" t="s">
        <v>901</v>
      </c>
      <c r="AD385" t="s">
        <v>355</v>
      </c>
      <c r="AE385">
        <v>4.25</v>
      </c>
      <c r="AF385" t="s">
        <v>862</v>
      </c>
      <c r="AH385" t="s">
        <v>903</v>
      </c>
      <c r="AJ385" s="15"/>
      <c r="AK385" t="s">
        <v>908</v>
      </c>
    </row>
    <row r="386" spans="1:37" ht="15" hidden="1" customHeight="1" x14ac:dyDescent="0.25">
      <c r="A386" s="8">
        <v>387</v>
      </c>
      <c r="B386" s="21">
        <v>41601</v>
      </c>
      <c r="C386" s="22"/>
      <c r="D386" s="21">
        <v>570</v>
      </c>
      <c r="E386" s="21">
        <v>57001</v>
      </c>
      <c r="F386" s="21">
        <v>57001</v>
      </c>
      <c r="G386" s="23" t="s">
        <v>180</v>
      </c>
      <c r="H386" s="23" t="s">
        <v>179</v>
      </c>
      <c r="I386" s="23" t="s">
        <v>894</v>
      </c>
      <c r="J386" s="23" t="s">
        <v>123</v>
      </c>
      <c r="K386" s="23" t="s">
        <v>123</v>
      </c>
      <c r="L386" s="23" t="s">
        <v>901</v>
      </c>
      <c r="M386" s="23" t="s">
        <v>123</v>
      </c>
      <c r="N386" s="23" t="s">
        <v>901</v>
      </c>
      <c r="O386" s="23" t="s">
        <v>1144</v>
      </c>
      <c r="P386" s="23" t="s">
        <v>896</v>
      </c>
      <c r="Q386" s="23" t="s">
        <v>897</v>
      </c>
      <c r="R386" s="21">
        <v>41180</v>
      </c>
      <c r="S386" s="23" t="s">
        <v>179</v>
      </c>
      <c r="T386" s="23" t="s">
        <v>1131</v>
      </c>
      <c r="U386" s="21">
        <v>137</v>
      </c>
      <c r="V386" s="23" t="s">
        <v>900</v>
      </c>
      <c r="W386" s="21">
        <v>908</v>
      </c>
      <c r="X386" s="24">
        <v>2.4700000000000002</v>
      </c>
      <c r="Y386" s="25">
        <v>0.35</v>
      </c>
      <c r="Z386" s="25">
        <v>0.65</v>
      </c>
      <c r="AA386" s="22"/>
      <c r="AB386" s="22"/>
      <c r="AC386" s="23" t="s">
        <v>901</v>
      </c>
      <c r="AD386" s="17" t="s">
        <v>368</v>
      </c>
      <c r="AE386" s="17">
        <v>4.25</v>
      </c>
      <c r="AF386" s="17" t="s">
        <v>123</v>
      </c>
      <c r="AG386" s="17"/>
      <c r="AH386" t="s">
        <v>903</v>
      </c>
      <c r="AJ386" s="15"/>
      <c r="AK386" t="s">
        <v>908</v>
      </c>
    </row>
    <row r="387" spans="1:37" ht="15" hidden="1" customHeight="1" x14ac:dyDescent="0.25">
      <c r="A387" s="1">
        <v>388</v>
      </c>
      <c r="B387" s="1">
        <v>41603</v>
      </c>
      <c r="C387" s="26"/>
      <c r="D387" s="1">
        <v>574</v>
      </c>
      <c r="E387" s="1">
        <v>57401</v>
      </c>
      <c r="F387" s="1">
        <v>57401</v>
      </c>
      <c r="G387" s="27" t="s">
        <v>499</v>
      </c>
      <c r="H387" s="27" t="s">
        <v>61</v>
      </c>
      <c r="I387" s="27" t="s">
        <v>894</v>
      </c>
      <c r="J387" s="27" t="s">
        <v>279</v>
      </c>
      <c r="K387" s="27" t="s">
        <v>279</v>
      </c>
      <c r="L387" s="27" t="s">
        <v>895</v>
      </c>
      <c r="M387" s="27" t="s">
        <v>279</v>
      </c>
      <c r="N387" s="27" t="s">
        <v>895</v>
      </c>
      <c r="O387" s="27" t="s">
        <v>497</v>
      </c>
      <c r="P387" s="27" t="s">
        <v>909</v>
      </c>
      <c r="Q387" s="27" t="s">
        <v>897</v>
      </c>
      <c r="R387" s="1">
        <v>41181</v>
      </c>
      <c r="S387" s="27" t="s">
        <v>1108</v>
      </c>
      <c r="T387" s="27" t="s">
        <v>899</v>
      </c>
      <c r="U387" s="1">
        <v>58</v>
      </c>
      <c r="V387" s="27" t="s">
        <v>900</v>
      </c>
      <c r="W387" s="1">
        <v>908</v>
      </c>
      <c r="X387" s="28">
        <v>2.99</v>
      </c>
      <c r="Y387" s="29">
        <v>0.3</v>
      </c>
      <c r="Z387" s="29">
        <v>0.7</v>
      </c>
      <c r="AA387" s="26"/>
      <c r="AB387" s="26"/>
      <c r="AC387" s="27" t="s">
        <v>901</v>
      </c>
      <c r="AD387" t="s">
        <v>498</v>
      </c>
      <c r="AE387">
        <v>4.25</v>
      </c>
      <c r="AF387" t="s">
        <v>279</v>
      </c>
      <c r="AH387" t="s">
        <v>903</v>
      </c>
      <c r="AJ387" s="15"/>
      <c r="AK387" t="s">
        <v>908</v>
      </c>
    </row>
    <row r="388" spans="1:37" ht="15" hidden="1" customHeight="1" x14ac:dyDescent="0.25">
      <c r="A388" s="1">
        <v>389</v>
      </c>
      <c r="B388" s="21">
        <v>41633</v>
      </c>
      <c r="C388" s="22"/>
      <c r="D388" s="21">
        <v>343</v>
      </c>
      <c r="E388" s="21">
        <v>34301</v>
      </c>
      <c r="F388" s="21">
        <v>34301</v>
      </c>
      <c r="G388" s="23" t="s">
        <v>244</v>
      </c>
      <c r="H388" s="23" t="s">
        <v>242</v>
      </c>
      <c r="I388" s="23" t="s">
        <v>894</v>
      </c>
      <c r="J388" s="23" t="s">
        <v>123</v>
      </c>
      <c r="K388" s="23" t="s">
        <v>123</v>
      </c>
      <c r="L388" s="23" t="s">
        <v>901</v>
      </c>
      <c r="M388" s="23" t="s">
        <v>123</v>
      </c>
      <c r="N388" s="23" t="s">
        <v>901</v>
      </c>
      <c r="O388" s="23" t="s">
        <v>325</v>
      </c>
      <c r="P388" s="23" t="s">
        <v>896</v>
      </c>
      <c r="Q388" s="23" t="s">
        <v>897</v>
      </c>
      <c r="R388" s="21">
        <v>41184</v>
      </c>
      <c r="S388" s="23" t="s">
        <v>242</v>
      </c>
      <c r="T388" s="23" t="s">
        <v>899</v>
      </c>
      <c r="U388" s="21">
        <v>58</v>
      </c>
      <c r="V388" s="23" t="s">
        <v>900</v>
      </c>
      <c r="W388" s="21">
        <v>908</v>
      </c>
      <c r="X388" s="24">
        <v>2.99</v>
      </c>
      <c r="Y388" s="25">
        <v>0.35</v>
      </c>
      <c r="Z388" s="25">
        <v>0.65</v>
      </c>
      <c r="AA388" s="22"/>
      <c r="AB388" s="22"/>
      <c r="AC388" s="23" t="s">
        <v>901</v>
      </c>
      <c r="AD388" s="17" t="s">
        <v>370</v>
      </c>
      <c r="AE388" s="17">
        <v>4.25</v>
      </c>
      <c r="AF388" s="17" t="s">
        <v>123</v>
      </c>
      <c r="AG388" s="17" t="s">
        <v>902</v>
      </c>
      <c r="AH388" t="s">
        <v>903</v>
      </c>
      <c r="AJ388" s="15">
        <f>VLOOKUP(Tabla1[[#This Row],[CPC]],[1]Sheet3!$A:$D,4,0)</f>
        <v>0.35015180863399004</v>
      </c>
      <c r="AK388" t="s">
        <v>908</v>
      </c>
    </row>
    <row r="389" spans="1:37" ht="15" hidden="1" customHeight="1" x14ac:dyDescent="0.25">
      <c r="A389" s="8">
        <v>390</v>
      </c>
      <c r="B389" s="1">
        <v>41636</v>
      </c>
      <c r="C389" s="26"/>
      <c r="D389" s="1">
        <v>291</v>
      </c>
      <c r="E389" s="1">
        <v>29101</v>
      </c>
      <c r="F389" s="1">
        <v>29101</v>
      </c>
      <c r="G389" s="27" t="s">
        <v>186</v>
      </c>
      <c r="H389" s="27" t="s">
        <v>185</v>
      </c>
      <c r="I389" s="27" t="s">
        <v>894</v>
      </c>
      <c r="J389" s="27" t="s">
        <v>123</v>
      </c>
      <c r="K389" s="27" t="s">
        <v>123</v>
      </c>
      <c r="L389" s="27" t="s">
        <v>901</v>
      </c>
      <c r="M389" s="27" t="s">
        <v>123</v>
      </c>
      <c r="N389" s="27" t="s">
        <v>901</v>
      </c>
      <c r="O389" s="27" t="s">
        <v>325</v>
      </c>
      <c r="P389" s="27" t="s">
        <v>896</v>
      </c>
      <c r="Q389" s="27" t="s">
        <v>897</v>
      </c>
      <c r="R389" s="1">
        <v>41186</v>
      </c>
      <c r="S389" s="27" t="s">
        <v>1097</v>
      </c>
      <c r="T389" s="27" t="s">
        <v>899</v>
      </c>
      <c r="U389" s="1">
        <v>58</v>
      </c>
      <c r="V389" s="27" t="s">
        <v>900</v>
      </c>
      <c r="W389" s="1">
        <v>908</v>
      </c>
      <c r="X389" s="28">
        <v>2.99</v>
      </c>
      <c r="Y389" s="29">
        <v>0.35</v>
      </c>
      <c r="Z389" s="29">
        <v>0.65</v>
      </c>
      <c r="AA389" s="26"/>
      <c r="AB389" s="26"/>
      <c r="AC389" s="27" t="s">
        <v>901</v>
      </c>
      <c r="AD389" t="s">
        <v>373</v>
      </c>
      <c r="AE389">
        <v>4.25</v>
      </c>
      <c r="AF389" t="s">
        <v>123</v>
      </c>
      <c r="AG389" t="s">
        <v>902</v>
      </c>
      <c r="AH389" t="s">
        <v>903</v>
      </c>
      <c r="AJ389" s="15">
        <f>VLOOKUP(Tabla1[[#This Row],[CPC]],[1]Sheet3!$A:$D,4,0)</f>
        <v>0.35004107258111888</v>
      </c>
      <c r="AK389" t="s">
        <v>908</v>
      </c>
    </row>
    <row r="390" spans="1:37" ht="15" hidden="1" customHeight="1" x14ac:dyDescent="0.25">
      <c r="A390" s="1">
        <v>391</v>
      </c>
      <c r="B390" s="21">
        <v>41638</v>
      </c>
      <c r="C390" s="31"/>
      <c r="D390" s="21">
        <v>284</v>
      </c>
      <c r="E390" s="21">
        <v>28401</v>
      </c>
      <c r="F390" s="21">
        <v>28401</v>
      </c>
      <c r="G390" s="23" t="s">
        <v>520</v>
      </c>
      <c r="H390" s="23" t="s">
        <v>61</v>
      </c>
      <c r="I390" s="23" t="s">
        <v>894</v>
      </c>
      <c r="J390" s="23" t="s">
        <v>279</v>
      </c>
      <c r="K390" s="23" t="s">
        <v>279</v>
      </c>
      <c r="L390" s="23" t="s">
        <v>895</v>
      </c>
      <c r="M390" s="23" t="s">
        <v>279</v>
      </c>
      <c r="N390" s="23" t="s">
        <v>895</v>
      </c>
      <c r="O390" s="23" t="s">
        <v>325</v>
      </c>
      <c r="P390" s="23" t="s">
        <v>896</v>
      </c>
      <c r="Q390" s="23" t="s">
        <v>897</v>
      </c>
      <c r="R390" s="21">
        <v>41187</v>
      </c>
      <c r="S390" s="23" t="s">
        <v>518</v>
      </c>
      <c r="T390" s="23" t="s">
        <v>1151</v>
      </c>
      <c r="U390" s="21">
        <v>138</v>
      </c>
      <c r="V390" s="23" t="s">
        <v>900</v>
      </c>
      <c r="W390" s="21">
        <v>908</v>
      </c>
      <c r="X390" s="24">
        <v>3.3</v>
      </c>
      <c r="Y390" s="33">
        <v>0.25</v>
      </c>
      <c r="Z390" s="33">
        <v>0.75</v>
      </c>
      <c r="AA390" s="22"/>
      <c r="AB390" s="22"/>
      <c r="AC390" s="23" t="s">
        <v>901</v>
      </c>
      <c r="AD390" s="17" t="s">
        <v>519</v>
      </c>
      <c r="AE390" s="17">
        <v>4.25</v>
      </c>
      <c r="AF390" s="17" t="s">
        <v>279</v>
      </c>
      <c r="AG390" s="17" t="s">
        <v>902</v>
      </c>
      <c r="AH390" t="s">
        <v>903</v>
      </c>
      <c r="AJ390" s="15">
        <f>VLOOKUP(Tabla1[[#This Row],[CPC]],[1]Sheet3!$A:$D,4,0)</f>
        <v>0.25026043094467887</v>
      </c>
      <c r="AK390" t="s">
        <v>904</v>
      </c>
    </row>
    <row r="391" spans="1:37" ht="15" hidden="1" customHeight="1" x14ac:dyDescent="0.25">
      <c r="A391" s="1">
        <v>392</v>
      </c>
      <c r="B391" s="1">
        <v>41640</v>
      </c>
      <c r="C391" s="26"/>
      <c r="D391" s="30"/>
      <c r="E391" s="30"/>
      <c r="F391" s="30"/>
      <c r="G391" s="27" t="s">
        <v>566</v>
      </c>
      <c r="H391" s="27" t="s">
        <v>61</v>
      </c>
      <c r="I391" s="27" t="s">
        <v>894</v>
      </c>
      <c r="J391" s="27" t="s">
        <v>279</v>
      </c>
      <c r="K391" s="27" t="s">
        <v>279</v>
      </c>
      <c r="L391" s="27" t="s">
        <v>895</v>
      </c>
      <c r="M391" s="27" t="s">
        <v>279</v>
      </c>
      <c r="N391" s="27" t="s">
        <v>895</v>
      </c>
      <c r="O391" s="27" t="s">
        <v>290</v>
      </c>
      <c r="P391" s="27" t="s">
        <v>909</v>
      </c>
      <c r="Q391" s="27" t="s">
        <v>897</v>
      </c>
      <c r="R391" s="1">
        <v>41188</v>
      </c>
      <c r="S391" s="27" t="s">
        <v>1123</v>
      </c>
      <c r="T391" s="27" t="s">
        <v>899</v>
      </c>
      <c r="U391" s="1">
        <v>58</v>
      </c>
      <c r="V391" s="27" t="s">
        <v>900</v>
      </c>
      <c r="W391" s="1">
        <v>908</v>
      </c>
      <c r="X391" s="28">
        <v>2.99</v>
      </c>
      <c r="Y391" s="29">
        <v>0.3</v>
      </c>
      <c r="Z391" s="29">
        <v>0.7</v>
      </c>
      <c r="AA391" s="26"/>
      <c r="AB391" s="26"/>
      <c r="AC391" s="27" t="s">
        <v>901</v>
      </c>
      <c r="AD391" t="s">
        <v>565</v>
      </c>
      <c r="AE391">
        <v>4.25</v>
      </c>
      <c r="AF391" t="s">
        <v>279</v>
      </c>
      <c r="AH391" t="s">
        <v>903</v>
      </c>
      <c r="AJ391" s="15"/>
      <c r="AK391" t="s">
        <v>904</v>
      </c>
    </row>
    <row r="392" spans="1:37" ht="15" hidden="1" customHeight="1" x14ac:dyDescent="0.25">
      <c r="A392" s="8">
        <v>393</v>
      </c>
      <c r="B392" s="21">
        <v>41644</v>
      </c>
      <c r="C392" s="22"/>
      <c r="D392" s="31"/>
      <c r="E392" s="31"/>
      <c r="F392" s="31"/>
      <c r="G392" s="23" t="s">
        <v>8</v>
      </c>
      <c r="H392" s="23" t="s">
        <v>7</v>
      </c>
      <c r="I392" s="23" t="s">
        <v>894</v>
      </c>
      <c r="J392" s="23" t="s">
        <v>6</v>
      </c>
      <c r="K392" s="23" t="s">
        <v>5</v>
      </c>
      <c r="L392" s="23" t="s">
        <v>901</v>
      </c>
      <c r="M392" s="23" t="s">
        <v>905</v>
      </c>
      <c r="N392" s="23" t="s">
        <v>5</v>
      </c>
      <c r="O392" s="23" t="s">
        <v>290</v>
      </c>
      <c r="P392" s="23" t="s">
        <v>896</v>
      </c>
      <c r="Q392" s="23" t="s">
        <v>897</v>
      </c>
      <c r="R392" s="21">
        <v>41189</v>
      </c>
      <c r="S392" s="23" t="s">
        <v>7</v>
      </c>
      <c r="T392" s="23" t="s">
        <v>1143</v>
      </c>
      <c r="U392" s="21">
        <v>136</v>
      </c>
      <c r="V392" s="23" t="s">
        <v>900</v>
      </c>
      <c r="W392" s="21">
        <v>908</v>
      </c>
      <c r="X392" s="24">
        <v>2.06</v>
      </c>
      <c r="Y392" s="25">
        <v>0.4</v>
      </c>
      <c r="Z392" s="25">
        <v>0.6</v>
      </c>
      <c r="AA392" s="22"/>
      <c r="AB392" s="22"/>
      <c r="AC392" s="23" t="s">
        <v>901</v>
      </c>
      <c r="AD392" s="17" t="s">
        <v>291</v>
      </c>
      <c r="AE392" s="17">
        <v>4.25</v>
      </c>
      <c r="AF392" s="17" t="s">
        <v>6</v>
      </c>
      <c r="AG392" t="s">
        <v>1040</v>
      </c>
      <c r="AH392" t="s">
        <v>903</v>
      </c>
      <c r="AJ392" s="15">
        <f>VLOOKUP(Tabla1[[#This Row],[CPC]],[1]Sheet3!$A:$D,4,0)</f>
        <v>0.40000237813542361</v>
      </c>
      <c r="AK392" t="s">
        <v>908</v>
      </c>
    </row>
    <row r="393" spans="1:37" ht="15" hidden="1" customHeight="1" x14ac:dyDescent="0.25">
      <c r="A393" s="1">
        <v>394</v>
      </c>
      <c r="B393" s="1">
        <v>41648</v>
      </c>
      <c r="C393" s="30"/>
      <c r="D393" s="1">
        <v>287</v>
      </c>
      <c r="E393" s="1">
        <v>28701</v>
      </c>
      <c r="F393" s="1">
        <v>28701</v>
      </c>
      <c r="G393" s="27" t="s">
        <v>526</v>
      </c>
      <c r="H393" s="27" t="s">
        <v>61</v>
      </c>
      <c r="I393" s="27" t="s">
        <v>894</v>
      </c>
      <c r="J393" s="27" t="s">
        <v>279</v>
      </c>
      <c r="K393" s="27" t="s">
        <v>279</v>
      </c>
      <c r="L393" s="27" t="s">
        <v>895</v>
      </c>
      <c r="M393" s="27" t="s">
        <v>279</v>
      </c>
      <c r="N393" s="27" t="s">
        <v>895</v>
      </c>
      <c r="O393" s="27" t="s">
        <v>325</v>
      </c>
      <c r="P393" s="27" t="s">
        <v>896</v>
      </c>
      <c r="Q393" s="27" t="s">
        <v>897</v>
      </c>
      <c r="R393" s="1">
        <v>41190</v>
      </c>
      <c r="S393" s="27" t="s">
        <v>1132</v>
      </c>
      <c r="T393" s="27" t="s">
        <v>1133</v>
      </c>
      <c r="U393" s="1">
        <v>59</v>
      </c>
      <c r="V393" s="27" t="s">
        <v>900</v>
      </c>
      <c r="W393" s="1">
        <v>908</v>
      </c>
      <c r="X393" s="28">
        <v>3.49</v>
      </c>
      <c r="Y393" s="32">
        <v>0.25</v>
      </c>
      <c r="Z393" s="32">
        <v>0.75</v>
      </c>
      <c r="AA393" s="26"/>
      <c r="AB393" s="26"/>
      <c r="AC393" s="27" t="s">
        <v>901</v>
      </c>
      <c r="AD393" t="s">
        <v>527</v>
      </c>
      <c r="AE393">
        <v>4.25</v>
      </c>
      <c r="AF393" t="s">
        <v>279</v>
      </c>
      <c r="AH393" t="s">
        <v>903</v>
      </c>
      <c r="AJ393" s="15"/>
      <c r="AK393" t="s">
        <v>904</v>
      </c>
    </row>
    <row r="394" spans="1:37" ht="15" hidden="1" customHeight="1" x14ac:dyDescent="0.25">
      <c r="A394" s="1">
        <v>395</v>
      </c>
      <c r="B394" s="21">
        <v>41650</v>
      </c>
      <c r="C394" s="22"/>
      <c r="D394" s="21">
        <v>268</v>
      </c>
      <c r="E394" s="21">
        <v>26801</v>
      </c>
      <c r="F394" s="21">
        <v>26801</v>
      </c>
      <c r="G394" s="23" t="s">
        <v>83</v>
      </c>
      <c r="H394" s="23" t="s">
        <v>81</v>
      </c>
      <c r="I394" s="23" t="s">
        <v>894</v>
      </c>
      <c r="J394" s="23" t="s">
        <v>6</v>
      </c>
      <c r="K394" s="23" t="s">
        <v>36</v>
      </c>
      <c r="L394" s="23" t="s">
        <v>901</v>
      </c>
      <c r="M394" s="23" t="s">
        <v>905</v>
      </c>
      <c r="N394" s="23" t="s">
        <v>36</v>
      </c>
      <c r="O394" s="23" t="s">
        <v>325</v>
      </c>
      <c r="P394" s="23" t="s">
        <v>896</v>
      </c>
      <c r="Q394" s="23" t="s">
        <v>897</v>
      </c>
      <c r="R394" s="21">
        <v>41191</v>
      </c>
      <c r="S394" s="23" t="s">
        <v>81</v>
      </c>
      <c r="T394" s="23" t="s">
        <v>1143</v>
      </c>
      <c r="U394" s="21">
        <v>136</v>
      </c>
      <c r="V394" s="23" t="s">
        <v>900</v>
      </c>
      <c r="W394" s="21">
        <v>908</v>
      </c>
      <c r="X394" s="24">
        <v>2.06</v>
      </c>
      <c r="Y394" s="25">
        <v>0.35</v>
      </c>
      <c r="Z394" s="25">
        <v>0.65</v>
      </c>
      <c r="AA394" s="22"/>
      <c r="AB394" s="22"/>
      <c r="AC394" s="23" t="s">
        <v>901</v>
      </c>
      <c r="AD394" s="17" t="s">
        <v>341</v>
      </c>
      <c r="AE394" s="17">
        <v>4.25</v>
      </c>
      <c r="AF394" s="17" t="s">
        <v>6</v>
      </c>
      <c r="AG394" s="17" t="s">
        <v>1040</v>
      </c>
      <c r="AH394" t="s">
        <v>903</v>
      </c>
      <c r="AJ394" s="15">
        <f>VLOOKUP(Tabla1[[#This Row],[CPC]],[1]Sheet3!$A:$D,4,0)</f>
        <v>0.34997191687394802</v>
      </c>
      <c r="AK394" t="s">
        <v>908</v>
      </c>
    </row>
    <row r="395" spans="1:37" ht="15" hidden="1" customHeight="1" x14ac:dyDescent="0.25">
      <c r="A395" s="8">
        <v>396</v>
      </c>
      <c r="B395" s="1">
        <v>41652</v>
      </c>
      <c r="C395" s="26"/>
      <c r="D395" s="1">
        <v>266</v>
      </c>
      <c r="E395" s="1">
        <v>26601</v>
      </c>
      <c r="F395" s="1">
        <v>26601</v>
      </c>
      <c r="G395" s="27" t="s">
        <v>260</v>
      </c>
      <c r="H395" s="27" t="s">
        <v>258</v>
      </c>
      <c r="I395" s="27" t="s">
        <v>894</v>
      </c>
      <c r="J395" s="27" t="s">
        <v>6</v>
      </c>
      <c r="K395" s="27" t="s">
        <v>257</v>
      </c>
      <c r="L395" s="27" t="s">
        <v>901</v>
      </c>
      <c r="M395" s="27" t="s">
        <v>905</v>
      </c>
      <c r="N395" s="27" t="s">
        <v>257</v>
      </c>
      <c r="O395" s="27" t="s">
        <v>325</v>
      </c>
      <c r="P395" s="27" t="s">
        <v>896</v>
      </c>
      <c r="Q395" s="27" t="s">
        <v>897</v>
      </c>
      <c r="R395" s="1">
        <v>41192</v>
      </c>
      <c r="S395" s="27" t="s">
        <v>258</v>
      </c>
      <c r="T395" s="27" t="s">
        <v>1143</v>
      </c>
      <c r="U395" s="1">
        <v>136</v>
      </c>
      <c r="V395" s="27" t="s">
        <v>900</v>
      </c>
      <c r="W395" s="1">
        <v>908</v>
      </c>
      <c r="X395" s="28">
        <v>2.06</v>
      </c>
      <c r="Y395" s="29">
        <v>0.4</v>
      </c>
      <c r="Z395" s="29">
        <v>0.6</v>
      </c>
      <c r="AA395" s="26"/>
      <c r="AB395" s="26"/>
      <c r="AC395" s="27" t="s">
        <v>901</v>
      </c>
      <c r="AD395" t="s">
        <v>441</v>
      </c>
      <c r="AE395">
        <v>4.25</v>
      </c>
      <c r="AF395" t="s">
        <v>6</v>
      </c>
      <c r="AG395" t="s">
        <v>1040</v>
      </c>
      <c r="AH395" t="s">
        <v>903</v>
      </c>
      <c r="AJ395" s="15">
        <f>VLOOKUP(Tabla1[[#This Row],[CPC]],[1]Sheet3!$A:$D,4,0)</f>
        <v>0.40002442945404126</v>
      </c>
      <c r="AK395" t="s">
        <v>908</v>
      </c>
    </row>
    <row r="396" spans="1:37" ht="15" hidden="1" customHeight="1" x14ac:dyDescent="0.25">
      <c r="A396" s="1">
        <v>397</v>
      </c>
      <c r="B396" s="21">
        <v>41654</v>
      </c>
      <c r="C396" s="22"/>
      <c r="D396" s="21">
        <v>433</v>
      </c>
      <c r="E396" s="21">
        <v>43302</v>
      </c>
      <c r="F396" s="21">
        <v>43302</v>
      </c>
      <c r="G396" s="23" t="s">
        <v>25</v>
      </c>
      <c r="H396" s="23" t="s">
        <v>24</v>
      </c>
      <c r="I396" s="23" t="s">
        <v>894</v>
      </c>
      <c r="J396" s="23" t="s">
        <v>12</v>
      </c>
      <c r="K396" s="23" t="s">
        <v>5</v>
      </c>
      <c r="L396" s="23" t="s">
        <v>901</v>
      </c>
      <c r="M396" s="23" t="s">
        <v>905</v>
      </c>
      <c r="N396" s="23" t="s">
        <v>5</v>
      </c>
      <c r="O396" s="23" t="s">
        <v>305</v>
      </c>
      <c r="P396" s="23" t="s">
        <v>896</v>
      </c>
      <c r="Q396" s="23" t="s">
        <v>897</v>
      </c>
      <c r="R396" s="21">
        <v>41193</v>
      </c>
      <c r="S396" s="23" t="s">
        <v>1140</v>
      </c>
      <c r="T396" s="23" t="s">
        <v>1118</v>
      </c>
      <c r="U396" s="21">
        <v>135</v>
      </c>
      <c r="V396" s="23" t="s">
        <v>900</v>
      </c>
      <c r="W396" s="21">
        <v>908</v>
      </c>
      <c r="X396" s="24">
        <v>1.23</v>
      </c>
      <c r="Y396" s="25">
        <v>0.5</v>
      </c>
      <c r="Z396" s="25">
        <v>0.5</v>
      </c>
      <c r="AA396" s="22"/>
      <c r="AB396" s="22"/>
      <c r="AC396" s="23" t="s">
        <v>901</v>
      </c>
      <c r="AD396" s="17" t="s">
        <v>306</v>
      </c>
      <c r="AE396" s="17">
        <v>4.25</v>
      </c>
      <c r="AF396" s="17" t="s">
        <v>862</v>
      </c>
      <c r="AG396" s="17" t="s">
        <v>1040</v>
      </c>
      <c r="AH396" t="s">
        <v>903</v>
      </c>
      <c r="AJ396" s="15"/>
      <c r="AK396" t="s">
        <v>908</v>
      </c>
    </row>
    <row r="397" spans="1:37" ht="15" hidden="1" customHeight="1" x14ac:dyDescent="0.25">
      <c r="A397" s="1">
        <v>398</v>
      </c>
      <c r="B397" s="1">
        <v>41655</v>
      </c>
      <c r="C397" s="35">
        <v>41654</v>
      </c>
      <c r="D397" s="1">
        <v>433</v>
      </c>
      <c r="E397" s="1">
        <v>43301</v>
      </c>
      <c r="F397" s="1">
        <v>43301</v>
      </c>
      <c r="G397" s="27" t="s">
        <v>28</v>
      </c>
      <c r="H397" s="27" t="s">
        <v>24</v>
      </c>
      <c r="I397" s="27" t="s">
        <v>894</v>
      </c>
      <c r="J397" s="27" t="s">
        <v>12</v>
      </c>
      <c r="K397" s="27" t="s">
        <v>5</v>
      </c>
      <c r="L397" s="27" t="s">
        <v>901</v>
      </c>
      <c r="M397" s="27" t="s">
        <v>905</v>
      </c>
      <c r="N397" s="27" t="s">
        <v>5</v>
      </c>
      <c r="O397" s="27" t="s">
        <v>305</v>
      </c>
      <c r="P397" s="27" t="s">
        <v>896</v>
      </c>
      <c r="Q397" s="27" t="s">
        <v>897</v>
      </c>
      <c r="R397" s="1">
        <v>41193</v>
      </c>
      <c r="S397" s="27" t="s">
        <v>1140</v>
      </c>
      <c r="T397" s="27" t="s">
        <v>1090</v>
      </c>
      <c r="U397" s="1">
        <v>0</v>
      </c>
      <c r="V397" s="27" t="s">
        <v>900</v>
      </c>
      <c r="W397" s="1">
        <v>641</v>
      </c>
      <c r="X397" s="28">
        <v>0</v>
      </c>
      <c r="Y397" s="30"/>
      <c r="Z397" s="30"/>
      <c r="AA397" s="26"/>
      <c r="AB397" s="26"/>
      <c r="AC397" s="27" t="s">
        <v>901</v>
      </c>
      <c r="AD397" t="s">
        <v>306</v>
      </c>
      <c r="AE397">
        <v>4.25</v>
      </c>
      <c r="AF397" t="s">
        <v>862</v>
      </c>
      <c r="AG397" t="s">
        <v>1040</v>
      </c>
      <c r="AH397" t="s">
        <v>903</v>
      </c>
      <c r="AJ397" s="15"/>
      <c r="AK397" t="s">
        <v>908</v>
      </c>
    </row>
    <row r="398" spans="1:37" ht="15" hidden="1" customHeight="1" x14ac:dyDescent="0.25">
      <c r="A398" s="8">
        <v>399</v>
      </c>
      <c r="B398" s="21">
        <v>41659</v>
      </c>
      <c r="C398" s="22"/>
      <c r="D398" s="21">
        <v>379</v>
      </c>
      <c r="E398" s="21">
        <v>37901</v>
      </c>
      <c r="F398" s="21">
        <v>37901</v>
      </c>
      <c r="G398" s="23" t="s">
        <v>493</v>
      </c>
      <c r="H398" s="23" t="s">
        <v>61</v>
      </c>
      <c r="I398" s="23" t="s">
        <v>894</v>
      </c>
      <c r="J398" s="23" t="s">
        <v>279</v>
      </c>
      <c r="K398" s="23" t="s">
        <v>279</v>
      </c>
      <c r="L398" s="23" t="s">
        <v>895</v>
      </c>
      <c r="M398" s="23" t="s">
        <v>279</v>
      </c>
      <c r="N398" s="23" t="s">
        <v>895</v>
      </c>
      <c r="O398" s="23" t="s">
        <v>491</v>
      </c>
      <c r="P398" s="23" t="s">
        <v>896</v>
      </c>
      <c r="Q398" s="23" t="s">
        <v>897</v>
      </c>
      <c r="R398" s="21">
        <v>41197</v>
      </c>
      <c r="S398" s="23" t="s">
        <v>1155</v>
      </c>
      <c r="T398" s="23" t="s">
        <v>899</v>
      </c>
      <c r="U398" s="21">
        <v>58</v>
      </c>
      <c r="V398" s="23" t="s">
        <v>900</v>
      </c>
      <c r="W398" s="21">
        <v>908</v>
      </c>
      <c r="X398" s="24">
        <v>2.99</v>
      </c>
      <c r="Y398" s="25">
        <v>0.3</v>
      </c>
      <c r="Z398" s="25">
        <v>0.7</v>
      </c>
      <c r="AA398" s="22"/>
      <c r="AB398" s="22"/>
      <c r="AC398" s="23" t="s">
        <v>901</v>
      </c>
      <c r="AD398" s="17" t="s">
        <v>492</v>
      </c>
      <c r="AE398" s="17">
        <v>4.25</v>
      </c>
      <c r="AF398" s="17" t="s">
        <v>279</v>
      </c>
      <c r="AG398" s="17" t="s">
        <v>902</v>
      </c>
      <c r="AH398" t="s">
        <v>903</v>
      </c>
      <c r="AJ398" s="15"/>
      <c r="AK398" t="s">
        <v>904</v>
      </c>
    </row>
    <row r="399" spans="1:37" ht="15" hidden="1" customHeight="1" x14ac:dyDescent="0.25">
      <c r="A399" s="1">
        <v>400</v>
      </c>
      <c r="B399" s="1">
        <v>41663</v>
      </c>
      <c r="C399" s="26"/>
      <c r="D399" s="35">
        <v>503</v>
      </c>
      <c r="E399" s="35">
        <v>50302</v>
      </c>
      <c r="F399" s="35">
        <v>50302</v>
      </c>
      <c r="G399" s="27" t="s">
        <v>630</v>
      </c>
      <c r="H399" s="27" t="s">
        <v>61</v>
      </c>
      <c r="I399" s="27" t="s">
        <v>894</v>
      </c>
      <c r="J399" s="27" t="s">
        <v>279</v>
      </c>
      <c r="K399" s="27" t="s">
        <v>279</v>
      </c>
      <c r="L399" s="27" t="s">
        <v>895</v>
      </c>
      <c r="M399" s="27" t="s">
        <v>279</v>
      </c>
      <c r="N399" s="27" t="s">
        <v>895</v>
      </c>
      <c r="O399" s="27" t="s">
        <v>601</v>
      </c>
      <c r="P399" s="27" t="s">
        <v>896</v>
      </c>
      <c r="Q399" s="27" t="s">
        <v>897</v>
      </c>
      <c r="R399" s="1">
        <v>41198</v>
      </c>
      <c r="S399" s="27" t="s">
        <v>1029</v>
      </c>
      <c r="T399" s="27" t="s">
        <v>899</v>
      </c>
      <c r="U399" s="1">
        <v>58</v>
      </c>
      <c r="V399" s="27" t="s">
        <v>900</v>
      </c>
      <c r="W399" s="1">
        <v>908</v>
      </c>
      <c r="X399" s="28">
        <v>2.99</v>
      </c>
      <c r="Y399" s="29">
        <v>0.3</v>
      </c>
      <c r="Z399" s="29">
        <v>0.7</v>
      </c>
      <c r="AA399" s="26"/>
      <c r="AB399" s="26"/>
      <c r="AC399" s="27" t="s">
        <v>901</v>
      </c>
      <c r="AD399" t="s">
        <v>629</v>
      </c>
      <c r="AE399">
        <v>4.25</v>
      </c>
      <c r="AF399" t="s">
        <v>279</v>
      </c>
      <c r="AH399" t="s">
        <v>903</v>
      </c>
      <c r="AJ399" s="15"/>
      <c r="AK399" t="s">
        <v>904</v>
      </c>
    </row>
    <row r="400" spans="1:37" ht="15" hidden="1" customHeight="1" x14ac:dyDescent="0.25">
      <c r="A400" s="1">
        <v>401</v>
      </c>
      <c r="B400" s="21">
        <v>41664</v>
      </c>
      <c r="C400" s="34">
        <v>41663</v>
      </c>
      <c r="D400" s="34">
        <v>503</v>
      </c>
      <c r="E400" s="34">
        <v>50301</v>
      </c>
      <c r="F400" s="34">
        <v>50301</v>
      </c>
      <c r="G400" s="23" t="s">
        <v>632</v>
      </c>
      <c r="H400" s="23" t="s">
        <v>61</v>
      </c>
      <c r="I400" s="23" t="s">
        <v>894</v>
      </c>
      <c r="J400" s="23" t="s">
        <v>279</v>
      </c>
      <c r="K400" s="23" t="s">
        <v>279</v>
      </c>
      <c r="L400" s="23" t="s">
        <v>895</v>
      </c>
      <c r="M400" s="23" t="s">
        <v>279</v>
      </c>
      <c r="N400" s="23" t="s">
        <v>895</v>
      </c>
      <c r="O400" s="23" t="s">
        <v>601</v>
      </c>
      <c r="P400" s="23" t="s">
        <v>896</v>
      </c>
      <c r="Q400" s="23" t="s">
        <v>897</v>
      </c>
      <c r="R400" s="21">
        <v>41198</v>
      </c>
      <c r="S400" s="23" t="s">
        <v>1029</v>
      </c>
      <c r="T400" s="23" t="s">
        <v>1090</v>
      </c>
      <c r="U400" s="21">
        <v>0</v>
      </c>
      <c r="V400" s="23" t="s">
        <v>900</v>
      </c>
      <c r="W400" s="21">
        <v>641</v>
      </c>
      <c r="X400" s="24">
        <v>0</v>
      </c>
      <c r="Y400" s="31"/>
      <c r="Z400" s="31"/>
      <c r="AA400" s="22"/>
      <c r="AB400" s="22"/>
      <c r="AC400" s="23" t="s">
        <v>901</v>
      </c>
      <c r="AD400" s="17" t="s">
        <v>629</v>
      </c>
      <c r="AE400" s="17">
        <v>4.25</v>
      </c>
      <c r="AF400" s="17" t="s">
        <v>279</v>
      </c>
      <c r="AG400" s="17"/>
      <c r="AH400" t="s">
        <v>903</v>
      </c>
      <c r="AJ400" s="15"/>
      <c r="AK400" t="s">
        <v>904</v>
      </c>
    </row>
    <row r="401" spans="1:37" ht="15" hidden="1" customHeight="1" x14ac:dyDescent="0.25">
      <c r="A401" s="8">
        <v>402</v>
      </c>
      <c r="B401" s="1">
        <v>41667</v>
      </c>
      <c r="C401" s="30"/>
      <c r="D401" s="35">
        <v>506</v>
      </c>
      <c r="E401" s="35">
        <v>50601</v>
      </c>
      <c r="F401" s="35">
        <v>50601</v>
      </c>
      <c r="G401" s="27" t="s">
        <v>634</v>
      </c>
      <c r="H401" s="27" t="s">
        <v>61</v>
      </c>
      <c r="I401" s="27" t="s">
        <v>894</v>
      </c>
      <c r="J401" s="27" t="s">
        <v>279</v>
      </c>
      <c r="K401" s="27" t="s">
        <v>279</v>
      </c>
      <c r="L401" s="27" t="s">
        <v>895</v>
      </c>
      <c r="M401" s="27" t="s">
        <v>279</v>
      </c>
      <c r="N401" s="27" t="s">
        <v>895</v>
      </c>
      <c r="O401" s="27" t="s">
        <v>601</v>
      </c>
      <c r="P401" s="27" t="s">
        <v>909</v>
      </c>
      <c r="Q401" s="27" t="s">
        <v>897</v>
      </c>
      <c r="R401" s="1">
        <v>41199</v>
      </c>
      <c r="S401" s="27" t="s">
        <v>1031</v>
      </c>
      <c r="T401" s="27" t="s">
        <v>899</v>
      </c>
      <c r="U401" s="1">
        <v>58</v>
      </c>
      <c r="V401" s="27" t="s">
        <v>900</v>
      </c>
      <c r="W401" s="1">
        <v>908</v>
      </c>
      <c r="X401" s="28">
        <v>2.99</v>
      </c>
      <c r="Y401" s="32">
        <v>0.3</v>
      </c>
      <c r="Z401" s="32">
        <v>0.7</v>
      </c>
      <c r="AA401" s="26"/>
      <c r="AB401" s="26"/>
      <c r="AC401" s="27" t="s">
        <v>901</v>
      </c>
      <c r="AD401" t="s">
        <v>635</v>
      </c>
      <c r="AE401">
        <v>4.25</v>
      </c>
      <c r="AF401" t="s">
        <v>279</v>
      </c>
      <c r="AH401" t="s">
        <v>903</v>
      </c>
      <c r="AJ401" s="15"/>
      <c r="AK401" t="s">
        <v>904</v>
      </c>
    </row>
    <row r="402" spans="1:37" ht="15" hidden="1" customHeight="1" x14ac:dyDescent="0.25">
      <c r="A402" s="1">
        <v>403</v>
      </c>
      <c r="B402" s="21">
        <v>41671</v>
      </c>
      <c r="C402" s="22"/>
      <c r="D402" s="21">
        <v>487</v>
      </c>
      <c r="E402" s="21">
        <v>48701</v>
      </c>
      <c r="F402" s="21">
        <v>48701</v>
      </c>
      <c r="G402" s="23" t="s">
        <v>636</v>
      </c>
      <c r="H402" s="23" t="s">
        <v>61</v>
      </c>
      <c r="I402" s="23" t="s">
        <v>894</v>
      </c>
      <c r="J402" s="23" t="s">
        <v>279</v>
      </c>
      <c r="K402" s="23" t="s">
        <v>279</v>
      </c>
      <c r="L402" s="23" t="s">
        <v>895</v>
      </c>
      <c r="M402" s="23" t="s">
        <v>279</v>
      </c>
      <c r="N402" s="23" t="s">
        <v>895</v>
      </c>
      <c r="O402" s="23" t="s">
        <v>601</v>
      </c>
      <c r="P402" s="23" t="s">
        <v>896</v>
      </c>
      <c r="Q402" s="23" t="s">
        <v>897</v>
      </c>
      <c r="R402" s="21">
        <v>41200</v>
      </c>
      <c r="S402" s="23" t="s">
        <v>1010</v>
      </c>
      <c r="T402" s="23" t="s">
        <v>899</v>
      </c>
      <c r="U402" s="21">
        <v>58</v>
      </c>
      <c r="V402" s="23" t="s">
        <v>900</v>
      </c>
      <c r="W402" s="21">
        <v>908</v>
      </c>
      <c r="X402" s="24">
        <v>2.99</v>
      </c>
      <c r="Y402" s="25">
        <v>0.3</v>
      </c>
      <c r="Z402" s="25">
        <v>0.7</v>
      </c>
      <c r="AA402" s="22"/>
      <c r="AB402" s="22"/>
      <c r="AC402" s="23" t="s">
        <v>901</v>
      </c>
      <c r="AD402" s="17" t="s">
        <v>614</v>
      </c>
      <c r="AE402" s="17">
        <v>4.25</v>
      </c>
      <c r="AF402" s="17" t="s">
        <v>279</v>
      </c>
      <c r="AG402" s="17"/>
      <c r="AH402" t="s">
        <v>903</v>
      </c>
      <c r="AJ402" s="15"/>
      <c r="AK402" t="s">
        <v>904</v>
      </c>
    </row>
    <row r="403" spans="1:37" ht="15" hidden="1" customHeight="1" x14ac:dyDescent="0.25">
      <c r="A403" s="1">
        <v>404</v>
      </c>
      <c r="B403" s="1">
        <v>41675</v>
      </c>
      <c r="C403" s="30"/>
      <c r="D403" s="1">
        <v>508</v>
      </c>
      <c r="E403" s="1">
        <v>50801</v>
      </c>
      <c r="F403" s="1">
        <v>50801</v>
      </c>
      <c r="G403" s="27" t="s">
        <v>637</v>
      </c>
      <c r="H403" s="27" t="s">
        <v>61</v>
      </c>
      <c r="I403" s="27" t="s">
        <v>894</v>
      </c>
      <c r="J403" s="27" t="s">
        <v>279</v>
      </c>
      <c r="K403" s="27" t="s">
        <v>279</v>
      </c>
      <c r="L403" s="27" t="s">
        <v>895</v>
      </c>
      <c r="M403" s="27" t="s">
        <v>279</v>
      </c>
      <c r="N403" s="27" t="s">
        <v>895</v>
      </c>
      <c r="O403" s="27" t="s">
        <v>601</v>
      </c>
      <c r="P403" s="27" t="s">
        <v>896</v>
      </c>
      <c r="Q403" s="27" t="s">
        <v>897</v>
      </c>
      <c r="R403" s="1">
        <v>41201</v>
      </c>
      <c r="S403" s="27" t="s">
        <v>992</v>
      </c>
      <c r="T403" s="27" t="s">
        <v>899</v>
      </c>
      <c r="U403" s="1">
        <v>58</v>
      </c>
      <c r="V403" s="27" t="s">
        <v>900</v>
      </c>
      <c r="W403" s="1">
        <v>908</v>
      </c>
      <c r="X403" s="28">
        <v>2.99</v>
      </c>
      <c r="Y403" s="32">
        <v>0.3</v>
      </c>
      <c r="Z403" s="32">
        <v>0.7</v>
      </c>
      <c r="AA403" s="26"/>
      <c r="AB403" s="26"/>
      <c r="AC403" s="27" t="s">
        <v>901</v>
      </c>
      <c r="AD403" t="s">
        <v>638</v>
      </c>
      <c r="AE403">
        <v>4.25</v>
      </c>
      <c r="AF403" t="s">
        <v>279</v>
      </c>
      <c r="AG403" t="s">
        <v>902</v>
      </c>
      <c r="AH403" t="s">
        <v>903</v>
      </c>
      <c r="AJ403" s="15">
        <f>VLOOKUP(Tabla1[[#This Row],[CPC]],[1]Sheet3!$A:$D,4,0)</f>
        <v>0.3001514482236386</v>
      </c>
      <c r="AK403" t="s">
        <v>904</v>
      </c>
    </row>
    <row r="404" spans="1:37" ht="15" hidden="1" customHeight="1" x14ac:dyDescent="0.25">
      <c r="A404" s="8">
        <v>405</v>
      </c>
      <c r="B404" s="21">
        <v>41680</v>
      </c>
      <c r="C404" s="22"/>
      <c r="D404" s="21">
        <v>489</v>
      </c>
      <c r="E404" s="21">
        <v>48901</v>
      </c>
      <c r="F404" s="21">
        <v>48901</v>
      </c>
      <c r="G404" s="23" t="s">
        <v>639</v>
      </c>
      <c r="H404" s="23" t="s">
        <v>61</v>
      </c>
      <c r="I404" s="23" t="s">
        <v>894</v>
      </c>
      <c r="J404" s="23" t="s">
        <v>279</v>
      </c>
      <c r="K404" s="23" t="s">
        <v>279</v>
      </c>
      <c r="L404" s="23" t="s">
        <v>895</v>
      </c>
      <c r="M404" s="23" t="s">
        <v>279</v>
      </c>
      <c r="N404" s="23" t="s">
        <v>895</v>
      </c>
      <c r="O404" s="23" t="s">
        <v>601</v>
      </c>
      <c r="P404" s="23" t="s">
        <v>896</v>
      </c>
      <c r="Q404" s="23" t="s">
        <v>897</v>
      </c>
      <c r="R404" s="21">
        <v>41203</v>
      </c>
      <c r="S404" s="23" t="s">
        <v>1004</v>
      </c>
      <c r="T404" s="23" t="s">
        <v>899</v>
      </c>
      <c r="U404" s="21">
        <v>58</v>
      </c>
      <c r="V404" s="23" t="s">
        <v>900</v>
      </c>
      <c r="W404" s="21">
        <v>908</v>
      </c>
      <c r="X404" s="24">
        <v>2.99</v>
      </c>
      <c r="Y404" s="25">
        <v>0.3</v>
      </c>
      <c r="Z404" s="25">
        <v>0.7</v>
      </c>
      <c r="AA404" s="22"/>
      <c r="AB404" s="22"/>
      <c r="AC404" s="23" t="s">
        <v>901</v>
      </c>
      <c r="AD404" s="17" t="s">
        <v>616</v>
      </c>
      <c r="AE404" s="17">
        <v>4.25</v>
      </c>
      <c r="AF404" s="17" t="s">
        <v>279</v>
      </c>
      <c r="AG404" s="17"/>
      <c r="AH404" t="s">
        <v>903</v>
      </c>
      <c r="AJ404" s="15"/>
      <c r="AK404" t="s">
        <v>904</v>
      </c>
    </row>
    <row r="405" spans="1:37" ht="15" hidden="1" customHeight="1" x14ac:dyDescent="0.25">
      <c r="A405" s="1">
        <v>406</v>
      </c>
      <c r="B405" s="1">
        <v>41692</v>
      </c>
      <c r="C405" s="26"/>
      <c r="D405" s="1">
        <v>450</v>
      </c>
      <c r="E405" s="1">
        <v>45001</v>
      </c>
      <c r="F405" s="1">
        <v>45001</v>
      </c>
      <c r="G405" s="27" t="s">
        <v>486</v>
      </c>
      <c r="H405" s="27" t="s">
        <v>61</v>
      </c>
      <c r="I405" s="27" t="s">
        <v>894</v>
      </c>
      <c r="J405" s="27" t="s">
        <v>279</v>
      </c>
      <c r="K405" s="27" t="s">
        <v>279</v>
      </c>
      <c r="L405" s="27" t="s">
        <v>895</v>
      </c>
      <c r="M405" s="27" t="s">
        <v>279</v>
      </c>
      <c r="N405" s="27" t="s">
        <v>895</v>
      </c>
      <c r="O405" s="27" t="s">
        <v>474</v>
      </c>
      <c r="P405" s="27" t="s">
        <v>909</v>
      </c>
      <c r="Q405" s="27" t="s">
        <v>897</v>
      </c>
      <c r="R405" s="1">
        <v>41206</v>
      </c>
      <c r="S405" s="27" t="s">
        <v>1095</v>
      </c>
      <c r="T405" s="27" t="s">
        <v>899</v>
      </c>
      <c r="U405" s="1">
        <v>58</v>
      </c>
      <c r="V405" s="27" t="s">
        <v>900</v>
      </c>
      <c r="W405" s="1">
        <v>908</v>
      </c>
      <c r="X405" s="28">
        <v>2.99</v>
      </c>
      <c r="Y405" s="29">
        <v>0.3</v>
      </c>
      <c r="Z405" s="29">
        <v>0.7</v>
      </c>
      <c r="AA405" s="26"/>
      <c r="AB405" s="26"/>
      <c r="AC405" s="27" t="s">
        <v>901</v>
      </c>
      <c r="AD405" t="s">
        <v>482</v>
      </c>
      <c r="AE405">
        <v>4.25</v>
      </c>
      <c r="AF405" t="s">
        <v>279</v>
      </c>
      <c r="AH405" t="s">
        <v>903</v>
      </c>
      <c r="AJ405" s="15"/>
      <c r="AK405" t="s">
        <v>904</v>
      </c>
    </row>
    <row r="406" spans="1:37" ht="15" hidden="1" customHeight="1" x14ac:dyDescent="0.25">
      <c r="A406" s="1">
        <v>407</v>
      </c>
      <c r="B406" s="21">
        <v>41696</v>
      </c>
      <c r="C406" s="22"/>
      <c r="D406" s="31"/>
      <c r="E406" s="31"/>
      <c r="F406" s="31"/>
      <c r="G406" s="23" t="s">
        <v>69</v>
      </c>
      <c r="H406" s="23" t="s">
        <v>68</v>
      </c>
      <c r="I406" s="23" t="s">
        <v>894</v>
      </c>
      <c r="J406" s="23" t="s">
        <v>6</v>
      </c>
      <c r="K406" s="23" t="s">
        <v>36</v>
      </c>
      <c r="L406" s="23" t="s">
        <v>901</v>
      </c>
      <c r="M406" s="23" t="s">
        <v>905</v>
      </c>
      <c r="N406" s="23" t="s">
        <v>36</v>
      </c>
      <c r="O406" s="23" t="s">
        <v>346</v>
      </c>
      <c r="P406" s="23" t="s">
        <v>896</v>
      </c>
      <c r="Q406" s="23" t="s">
        <v>897</v>
      </c>
      <c r="R406" s="21">
        <v>41207</v>
      </c>
      <c r="S406" s="23" t="s">
        <v>1154</v>
      </c>
      <c r="T406" s="23" t="s">
        <v>1143</v>
      </c>
      <c r="U406" s="21">
        <v>136</v>
      </c>
      <c r="V406" s="23" t="s">
        <v>900</v>
      </c>
      <c r="W406" s="21">
        <v>908</v>
      </c>
      <c r="X406" s="24">
        <v>2.06</v>
      </c>
      <c r="Y406" s="25">
        <v>0.4</v>
      </c>
      <c r="Z406" s="25">
        <v>0.6</v>
      </c>
      <c r="AA406" s="22"/>
      <c r="AB406" s="22"/>
      <c r="AC406" s="23" t="s">
        <v>901</v>
      </c>
      <c r="AD406" s="17" t="s">
        <v>348</v>
      </c>
      <c r="AE406" s="17">
        <v>4.25</v>
      </c>
      <c r="AF406" s="17" t="s">
        <v>6</v>
      </c>
      <c r="AG406" s="17"/>
      <c r="AH406" t="s">
        <v>903</v>
      </c>
      <c r="AJ406" s="15"/>
      <c r="AK406" t="s">
        <v>908</v>
      </c>
    </row>
    <row r="407" spans="1:37" ht="15" hidden="1" customHeight="1" x14ac:dyDescent="0.25">
      <c r="A407" s="8">
        <v>408</v>
      </c>
      <c r="B407" s="1">
        <v>41700</v>
      </c>
      <c r="C407" s="26"/>
      <c r="D407" s="30"/>
      <c r="E407" s="30"/>
      <c r="F407" s="30"/>
      <c r="G407" s="27" t="s">
        <v>102</v>
      </c>
      <c r="H407" s="27" t="s">
        <v>99</v>
      </c>
      <c r="I407" s="27" t="s">
        <v>894</v>
      </c>
      <c r="J407" s="27" t="s">
        <v>12</v>
      </c>
      <c r="K407" s="27" t="s">
        <v>36</v>
      </c>
      <c r="L407" s="27" t="s">
        <v>901</v>
      </c>
      <c r="M407" s="27" t="s">
        <v>905</v>
      </c>
      <c r="N407" s="27" t="s">
        <v>36</v>
      </c>
      <c r="O407" s="27" t="s">
        <v>334</v>
      </c>
      <c r="P407" s="27" t="s">
        <v>896</v>
      </c>
      <c r="Q407" s="27" t="s">
        <v>897</v>
      </c>
      <c r="R407" s="1">
        <v>41208</v>
      </c>
      <c r="S407" s="27" t="s">
        <v>1149</v>
      </c>
      <c r="T407" s="27" t="s">
        <v>1125</v>
      </c>
      <c r="U407" s="1">
        <v>130</v>
      </c>
      <c r="V407" s="27" t="s">
        <v>900</v>
      </c>
      <c r="W407" s="1">
        <v>908</v>
      </c>
      <c r="X407" s="28">
        <v>0.82</v>
      </c>
      <c r="Y407" s="29">
        <v>0.43</v>
      </c>
      <c r="Z407" s="29">
        <v>0.56999999999999995</v>
      </c>
      <c r="AA407" s="26"/>
      <c r="AB407" s="26"/>
      <c r="AC407" s="27" t="s">
        <v>901</v>
      </c>
      <c r="AD407" t="s">
        <v>349</v>
      </c>
      <c r="AE407">
        <v>4.25</v>
      </c>
      <c r="AF407" t="s">
        <v>862</v>
      </c>
      <c r="AH407" t="s">
        <v>903</v>
      </c>
      <c r="AJ407" s="15"/>
      <c r="AK407" t="s">
        <v>908</v>
      </c>
    </row>
    <row r="408" spans="1:37" ht="15" hidden="1" customHeight="1" x14ac:dyDescent="0.25">
      <c r="A408" s="1">
        <v>409</v>
      </c>
      <c r="B408" s="21">
        <v>41701</v>
      </c>
      <c r="C408" s="34">
        <v>41700</v>
      </c>
      <c r="D408" s="22"/>
      <c r="E408" s="22"/>
      <c r="F408" s="22"/>
      <c r="G408" s="23" t="s">
        <v>101</v>
      </c>
      <c r="H408" s="23" t="s">
        <v>99</v>
      </c>
      <c r="I408" s="23" t="s">
        <v>894</v>
      </c>
      <c r="J408" s="23" t="s">
        <v>12</v>
      </c>
      <c r="K408" s="23" t="s">
        <v>36</v>
      </c>
      <c r="L408" s="23" t="s">
        <v>901</v>
      </c>
      <c r="M408" s="23" t="s">
        <v>905</v>
      </c>
      <c r="N408" s="23" t="s">
        <v>36</v>
      </c>
      <c r="O408" s="23" t="s">
        <v>334</v>
      </c>
      <c r="P408" s="23" t="s">
        <v>896</v>
      </c>
      <c r="Q408" s="23" t="s">
        <v>897</v>
      </c>
      <c r="R408" s="21">
        <v>41208</v>
      </c>
      <c r="S408" s="23" t="s">
        <v>1149</v>
      </c>
      <c r="T408" s="23" t="s">
        <v>1090</v>
      </c>
      <c r="U408" s="21">
        <v>0</v>
      </c>
      <c r="V408" s="23" t="s">
        <v>900</v>
      </c>
      <c r="W408" s="21">
        <v>641</v>
      </c>
      <c r="X408" s="24">
        <v>0</v>
      </c>
      <c r="Y408" s="31"/>
      <c r="Z408" s="31"/>
      <c r="AA408" s="22"/>
      <c r="AB408" s="22"/>
      <c r="AC408" s="23" t="s">
        <v>901</v>
      </c>
      <c r="AD408" s="17" t="s">
        <v>349</v>
      </c>
      <c r="AE408" s="17">
        <v>4.25</v>
      </c>
      <c r="AF408" s="17" t="s">
        <v>862</v>
      </c>
      <c r="AG408" s="17"/>
      <c r="AH408" t="s">
        <v>903</v>
      </c>
      <c r="AJ408" s="15"/>
      <c r="AK408" t="s">
        <v>908</v>
      </c>
    </row>
    <row r="409" spans="1:37" ht="15" hidden="1" customHeight="1" x14ac:dyDescent="0.25">
      <c r="A409" s="1">
        <v>410</v>
      </c>
      <c r="B409" s="1">
        <v>41758</v>
      </c>
      <c r="C409" s="26"/>
      <c r="D409" s="35">
        <v>432</v>
      </c>
      <c r="E409" s="35">
        <v>43202</v>
      </c>
      <c r="F409" s="35">
        <v>43202</v>
      </c>
      <c r="G409" s="27" t="s">
        <v>111</v>
      </c>
      <c r="H409" s="27" t="s">
        <v>109</v>
      </c>
      <c r="I409" s="27" t="s">
        <v>894</v>
      </c>
      <c r="J409" s="27" t="s">
        <v>12</v>
      </c>
      <c r="K409" s="27" t="s">
        <v>36</v>
      </c>
      <c r="L409" s="27" t="s">
        <v>901</v>
      </c>
      <c r="M409" s="27" t="s">
        <v>905</v>
      </c>
      <c r="N409" s="27" t="s">
        <v>36</v>
      </c>
      <c r="O409" s="27" t="s">
        <v>305</v>
      </c>
      <c r="P409" s="27" t="s">
        <v>896</v>
      </c>
      <c r="Q409" s="27" t="s">
        <v>897</v>
      </c>
      <c r="R409" s="1">
        <v>41219</v>
      </c>
      <c r="S409" s="27" t="s">
        <v>109</v>
      </c>
      <c r="T409" s="27" t="s">
        <v>1118</v>
      </c>
      <c r="U409" s="1">
        <v>135</v>
      </c>
      <c r="V409" s="27" t="s">
        <v>900</v>
      </c>
      <c r="W409" s="1">
        <v>908</v>
      </c>
      <c r="X409" s="28">
        <v>1.23</v>
      </c>
      <c r="Y409" s="29">
        <v>0.5</v>
      </c>
      <c r="Z409" s="29">
        <v>0.5</v>
      </c>
      <c r="AA409" s="26"/>
      <c r="AB409" s="26"/>
      <c r="AC409" s="27" t="s">
        <v>901</v>
      </c>
      <c r="AD409" t="s">
        <v>352</v>
      </c>
      <c r="AE409">
        <v>4.25</v>
      </c>
      <c r="AF409" t="s">
        <v>862</v>
      </c>
      <c r="AG409" t="s">
        <v>1040</v>
      </c>
      <c r="AH409" t="s">
        <v>903</v>
      </c>
      <c r="AJ409" s="15"/>
      <c r="AK409" t="s">
        <v>908</v>
      </c>
    </row>
    <row r="410" spans="1:37" ht="15" hidden="1" customHeight="1" x14ac:dyDescent="0.25">
      <c r="A410" s="8">
        <v>411</v>
      </c>
      <c r="B410" s="21">
        <v>41759</v>
      </c>
      <c r="C410" s="34">
        <v>41758</v>
      </c>
      <c r="D410" s="34">
        <v>432</v>
      </c>
      <c r="E410" s="34">
        <v>43201</v>
      </c>
      <c r="F410" s="34">
        <v>43201</v>
      </c>
      <c r="G410" s="23" t="s">
        <v>110</v>
      </c>
      <c r="H410" s="23" t="s">
        <v>109</v>
      </c>
      <c r="I410" s="23" t="s">
        <v>894</v>
      </c>
      <c r="J410" s="23" t="s">
        <v>12</v>
      </c>
      <c r="K410" s="23" t="s">
        <v>36</v>
      </c>
      <c r="L410" s="23" t="s">
        <v>901</v>
      </c>
      <c r="M410" s="23" t="s">
        <v>905</v>
      </c>
      <c r="N410" s="23" t="s">
        <v>36</v>
      </c>
      <c r="O410" s="23" t="s">
        <v>305</v>
      </c>
      <c r="P410" s="23" t="s">
        <v>896</v>
      </c>
      <c r="Q410" s="23" t="s">
        <v>897</v>
      </c>
      <c r="R410" s="21">
        <v>41219</v>
      </c>
      <c r="S410" s="23" t="s">
        <v>109</v>
      </c>
      <c r="T410" s="23" t="s">
        <v>1090</v>
      </c>
      <c r="U410" s="21">
        <v>0</v>
      </c>
      <c r="V410" s="23" t="s">
        <v>900</v>
      </c>
      <c r="W410" s="21">
        <v>641</v>
      </c>
      <c r="X410" s="24">
        <v>0</v>
      </c>
      <c r="Y410" s="31"/>
      <c r="Z410" s="31"/>
      <c r="AA410" s="22"/>
      <c r="AB410" s="22"/>
      <c r="AC410" s="23" t="s">
        <v>901</v>
      </c>
      <c r="AD410" s="17" t="s">
        <v>352</v>
      </c>
      <c r="AE410" s="17">
        <v>4.25</v>
      </c>
      <c r="AF410" s="17" t="s">
        <v>862</v>
      </c>
      <c r="AG410" s="17" t="s">
        <v>1040</v>
      </c>
      <c r="AH410" t="s">
        <v>903</v>
      </c>
      <c r="AJ410" s="15"/>
      <c r="AK410" t="s">
        <v>908</v>
      </c>
    </row>
    <row r="411" spans="1:37" ht="15" hidden="1" customHeight="1" x14ac:dyDescent="0.25">
      <c r="A411" s="1">
        <v>412</v>
      </c>
      <c r="B411" s="1">
        <v>41762</v>
      </c>
      <c r="C411" s="26"/>
      <c r="D411" s="35">
        <v>480</v>
      </c>
      <c r="E411" s="35">
        <v>48001</v>
      </c>
      <c r="F411" s="35">
        <v>48001</v>
      </c>
      <c r="G411" s="27" t="s">
        <v>631</v>
      </c>
      <c r="H411" s="27" t="s">
        <v>61</v>
      </c>
      <c r="I411" s="27" t="s">
        <v>894</v>
      </c>
      <c r="J411" s="27" t="s">
        <v>279</v>
      </c>
      <c r="K411" s="27" t="s">
        <v>279</v>
      </c>
      <c r="L411" s="27" t="s">
        <v>925</v>
      </c>
      <c r="M411" s="27" t="s">
        <v>279</v>
      </c>
      <c r="N411" s="27" t="s">
        <v>925</v>
      </c>
      <c r="O411" s="27" t="s">
        <v>601</v>
      </c>
      <c r="P411" s="27" t="s">
        <v>896</v>
      </c>
      <c r="Q411" s="27" t="s">
        <v>897</v>
      </c>
      <c r="R411" s="1">
        <v>41220</v>
      </c>
      <c r="S411" s="27" t="s">
        <v>1005</v>
      </c>
      <c r="T411" s="27" t="s">
        <v>899</v>
      </c>
      <c r="U411" s="1">
        <v>58</v>
      </c>
      <c r="V411" s="27" t="s">
        <v>900</v>
      </c>
      <c r="W411" s="1">
        <v>908</v>
      </c>
      <c r="X411" s="28">
        <v>2.99</v>
      </c>
      <c r="Y411" s="29">
        <v>0.3</v>
      </c>
      <c r="Z411" s="29">
        <v>0.7</v>
      </c>
      <c r="AA411" s="26"/>
      <c r="AB411" s="26"/>
      <c r="AC411" s="27" t="s">
        <v>901</v>
      </c>
      <c r="AD411" t="s">
        <v>609</v>
      </c>
      <c r="AE411">
        <v>4.25</v>
      </c>
      <c r="AF411" t="s">
        <v>279</v>
      </c>
      <c r="AH411" t="s">
        <v>903</v>
      </c>
      <c r="AJ411" s="15"/>
      <c r="AK411" t="s">
        <v>904</v>
      </c>
    </row>
    <row r="412" spans="1:37" ht="15" hidden="1" customHeight="1" x14ac:dyDescent="0.25">
      <c r="A412" s="1">
        <v>413</v>
      </c>
      <c r="B412" s="21">
        <v>41764</v>
      </c>
      <c r="C412" s="22"/>
      <c r="D412" s="34">
        <v>495</v>
      </c>
      <c r="E412" s="34">
        <v>49501</v>
      </c>
      <c r="F412" s="34">
        <v>49501</v>
      </c>
      <c r="G412" s="23" t="s">
        <v>642</v>
      </c>
      <c r="H412" s="23" t="s">
        <v>61</v>
      </c>
      <c r="I412" s="23" t="s">
        <v>894</v>
      </c>
      <c r="J412" s="23" t="s">
        <v>279</v>
      </c>
      <c r="K412" s="23" t="s">
        <v>279</v>
      </c>
      <c r="L412" s="23" t="s">
        <v>895</v>
      </c>
      <c r="M412" s="23" t="s">
        <v>279</v>
      </c>
      <c r="N412" s="23" t="s">
        <v>895</v>
      </c>
      <c r="O412" s="23" t="s">
        <v>601</v>
      </c>
      <c r="P412" s="23" t="s">
        <v>896</v>
      </c>
      <c r="Q412" s="23" t="s">
        <v>897</v>
      </c>
      <c r="R412" s="21">
        <v>41221</v>
      </c>
      <c r="S412" s="23" t="s">
        <v>1008</v>
      </c>
      <c r="T412" s="23" t="s">
        <v>899</v>
      </c>
      <c r="U412" s="21">
        <v>58</v>
      </c>
      <c r="V412" s="23" t="s">
        <v>900</v>
      </c>
      <c r="W412" s="21">
        <v>908</v>
      </c>
      <c r="X412" s="24">
        <v>2.99</v>
      </c>
      <c r="Y412" s="25">
        <v>0.3</v>
      </c>
      <c r="Z412" s="25">
        <v>0.7</v>
      </c>
      <c r="AA412" s="22"/>
      <c r="AB412" s="22"/>
      <c r="AC412" s="23" t="s">
        <v>901</v>
      </c>
      <c r="AD412" s="17" t="s">
        <v>622</v>
      </c>
      <c r="AE412" s="17">
        <v>4.25</v>
      </c>
      <c r="AF412" s="17" t="s">
        <v>279</v>
      </c>
      <c r="AG412" s="17"/>
      <c r="AH412" t="s">
        <v>903</v>
      </c>
      <c r="AJ412" s="15"/>
      <c r="AK412" t="s">
        <v>904</v>
      </c>
    </row>
    <row r="413" spans="1:37" ht="15" hidden="1" customHeight="1" x14ac:dyDescent="0.25">
      <c r="A413" s="8">
        <v>414</v>
      </c>
      <c r="B413" s="1">
        <v>41766</v>
      </c>
      <c r="C413" s="26"/>
      <c r="D413" s="35">
        <v>491</v>
      </c>
      <c r="E413" s="35">
        <v>49101</v>
      </c>
      <c r="F413" s="35">
        <v>49101</v>
      </c>
      <c r="G413" s="27" t="s">
        <v>602</v>
      </c>
      <c r="H413" s="27" t="s">
        <v>61</v>
      </c>
      <c r="I413" s="27" t="s">
        <v>894</v>
      </c>
      <c r="J413" s="27" t="s">
        <v>279</v>
      </c>
      <c r="K413" s="27" t="s">
        <v>279</v>
      </c>
      <c r="L413" s="27" t="s">
        <v>895</v>
      </c>
      <c r="M413" s="27" t="s">
        <v>279</v>
      </c>
      <c r="N413" s="27" t="s">
        <v>895</v>
      </c>
      <c r="O413" s="27" t="s">
        <v>601</v>
      </c>
      <c r="P413" s="27" t="s">
        <v>896</v>
      </c>
      <c r="Q413" s="27" t="s">
        <v>897</v>
      </c>
      <c r="R413" s="1">
        <v>41222</v>
      </c>
      <c r="S413" s="27" t="s">
        <v>1037</v>
      </c>
      <c r="T413" s="27" t="s">
        <v>899</v>
      </c>
      <c r="U413" s="1">
        <v>58</v>
      </c>
      <c r="V413" s="27" t="s">
        <v>900</v>
      </c>
      <c r="W413" s="1">
        <v>908</v>
      </c>
      <c r="X413" s="28">
        <v>2.99</v>
      </c>
      <c r="Y413" s="29">
        <v>0.3</v>
      </c>
      <c r="Z413" s="29">
        <v>0.7</v>
      </c>
      <c r="AA413" s="26"/>
      <c r="AB413" s="26"/>
      <c r="AC413" s="27" t="s">
        <v>901</v>
      </c>
      <c r="AD413" t="s">
        <v>603</v>
      </c>
      <c r="AE413">
        <v>4.25</v>
      </c>
      <c r="AF413" t="s">
        <v>279</v>
      </c>
      <c r="AH413" t="s">
        <v>903</v>
      </c>
      <c r="AJ413" s="15"/>
      <c r="AK413" t="s">
        <v>904</v>
      </c>
    </row>
    <row r="414" spans="1:37" ht="15" hidden="1" customHeight="1" x14ac:dyDescent="0.25">
      <c r="A414" s="1">
        <v>415</v>
      </c>
      <c r="B414" s="21">
        <v>41788</v>
      </c>
      <c r="C414" s="22"/>
      <c r="D414" s="34">
        <v>448</v>
      </c>
      <c r="E414" s="34">
        <v>44801</v>
      </c>
      <c r="F414" s="34">
        <v>44801</v>
      </c>
      <c r="G414" s="23" t="s">
        <v>484</v>
      </c>
      <c r="H414" s="23" t="s">
        <v>61</v>
      </c>
      <c r="I414" s="23" t="s">
        <v>894</v>
      </c>
      <c r="J414" s="23" t="s">
        <v>279</v>
      </c>
      <c r="K414" s="23" t="s">
        <v>279</v>
      </c>
      <c r="L414" s="23" t="s">
        <v>895</v>
      </c>
      <c r="M414" s="23" t="s">
        <v>279</v>
      </c>
      <c r="N414" s="23" t="s">
        <v>895</v>
      </c>
      <c r="O414" s="23" t="s">
        <v>474</v>
      </c>
      <c r="P414" s="23" t="s">
        <v>909</v>
      </c>
      <c r="Q414" s="23" t="s">
        <v>897</v>
      </c>
      <c r="R414" s="21">
        <v>41223</v>
      </c>
      <c r="S414" s="23" t="s">
        <v>1096</v>
      </c>
      <c r="T414" s="23" t="s">
        <v>899</v>
      </c>
      <c r="U414" s="21">
        <v>58</v>
      </c>
      <c r="V414" s="23" t="s">
        <v>900</v>
      </c>
      <c r="W414" s="21">
        <v>908</v>
      </c>
      <c r="X414" s="24">
        <v>2.99</v>
      </c>
      <c r="Y414" s="25">
        <v>0.3</v>
      </c>
      <c r="Z414" s="25">
        <v>0.7</v>
      </c>
      <c r="AA414" s="22"/>
      <c r="AB414" s="22"/>
      <c r="AC414" s="23" t="s">
        <v>901</v>
      </c>
      <c r="AD414" s="17" t="s">
        <v>483</v>
      </c>
      <c r="AE414" s="17">
        <v>4.25</v>
      </c>
      <c r="AF414" s="17" t="s">
        <v>279</v>
      </c>
      <c r="AG414" s="17"/>
      <c r="AH414" t="s">
        <v>903</v>
      </c>
      <c r="AJ414" s="15"/>
      <c r="AK414" t="s">
        <v>904</v>
      </c>
    </row>
    <row r="415" spans="1:37" ht="15" hidden="1" customHeight="1" x14ac:dyDescent="0.25">
      <c r="A415" s="1">
        <v>416</v>
      </c>
      <c r="B415" s="1">
        <v>41790</v>
      </c>
      <c r="C415" s="26"/>
      <c r="D415" s="26"/>
      <c r="E415" s="26"/>
      <c r="F415" s="26"/>
      <c r="G415" s="27" t="s">
        <v>250</v>
      </c>
      <c r="H415" s="27" t="s">
        <v>249</v>
      </c>
      <c r="I415" s="27" t="s">
        <v>894</v>
      </c>
      <c r="J415" s="27" t="s">
        <v>123</v>
      </c>
      <c r="K415" s="27" t="s">
        <v>123</v>
      </c>
      <c r="L415" s="27" t="s">
        <v>901</v>
      </c>
      <c r="M415" s="27" t="s">
        <v>123</v>
      </c>
      <c r="N415" s="27" t="s">
        <v>901</v>
      </c>
      <c r="O415" s="27" t="s">
        <v>122</v>
      </c>
      <c r="P415" s="27" t="s">
        <v>896</v>
      </c>
      <c r="Q415" s="27" t="s">
        <v>897</v>
      </c>
      <c r="R415" s="1">
        <v>41224</v>
      </c>
      <c r="S415" s="27" t="s">
        <v>1156</v>
      </c>
      <c r="T415" s="27" t="s">
        <v>971</v>
      </c>
      <c r="U415" s="1">
        <v>56</v>
      </c>
      <c r="V415" s="27" t="s">
        <v>900</v>
      </c>
      <c r="W415" s="1">
        <v>908</v>
      </c>
      <c r="X415" s="28">
        <v>1.99</v>
      </c>
      <c r="Y415" s="29">
        <v>0.45</v>
      </c>
      <c r="Z415" s="29">
        <v>0.55000000000000004</v>
      </c>
      <c r="AA415" s="26"/>
      <c r="AB415" s="26"/>
      <c r="AC415" s="27" t="s">
        <v>901</v>
      </c>
      <c r="AD415" t="s">
        <v>359</v>
      </c>
      <c r="AE415">
        <v>4.25</v>
      </c>
      <c r="AF415" t="s">
        <v>123</v>
      </c>
      <c r="AH415" t="s">
        <v>903</v>
      </c>
      <c r="AJ415" s="15"/>
      <c r="AK415" t="s">
        <v>908</v>
      </c>
    </row>
    <row r="416" spans="1:37" ht="15" hidden="1" customHeight="1" x14ac:dyDescent="0.25">
      <c r="A416" s="8">
        <v>417</v>
      </c>
      <c r="B416" s="21">
        <v>41792</v>
      </c>
      <c r="C416" s="31"/>
      <c r="D416" s="22"/>
      <c r="E416" s="22"/>
      <c r="F416" s="22"/>
      <c r="G416" s="23" t="s">
        <v>49</v>
      </c>
      <c r="H416" s="23" t="s">
        <v>47</v>
      </c>
      <c r="I416" s="23" t="s">
        <v>894</v>
      </c>
      <c r="J416" s="23" t="s">
        <v>43</v>
      </c>
      <c r="K416" s="23" t="s">
        <v>36</v>
      </c>
      <c r="L416" s="23" t="s">
        <v>901</v>
      </c>
      <c r="M416" s="23" t="s">
        <v>905</v>
      </c>
      <c r="N416" s="23" t="s">
        <v>36</v>
      </c>
      <c r="O416" s="23" t="s">
        <v>122</v>
      </c>
      <c r="P416" s="23" t="s">
        <v>896</v>
      </c>
      <c r="Q416" s="23" t="s">
        <v>897</v>
      </c>
      <c r="R416" s="21">
        <v>41225</v>
      </c>
      <c r="S416" s="23" t="s">
        <v>1107</v>
      </c>
      <c r="T416" s="23" t="s">
        <v>971</v>
      </c>
      <c r="U416" s="21">
        <v>56</v>
      </c>
      <c r="V416" s="23" t="s">
        <v>900</v>
      </c>
      <c r="W416" s="21">
        <v>908</v>
      </c>
      <c r="X416" s="24">
        <v>1.99</v>
      </c>
      <c r="Y416" s="33">
        <v>0.4</v>
      </c>
      <c r="Z416" s="33">
        <v>0.6</v>
      </c>
      <c r="AA416" s="22"/>
      <c r="AB416" s="22"/>
      <c r="AC416" s="23" t="s">
        <v>901</v>
      </c>
      <c r="AD416" s="17" t="s">
        <v>332</v>
      </c>
      <c r="AE416" s="17">
        <v>4.25</v>
      </c>
      <c r="AF416" s="17" t="s">
        <v>43</v>
      </c>
      <c r="AG416" s="17"/>
      <c r="AH416" t="s">
        <v>903</v>
      </c>
      <c r="AJ416" s="15"/>
      <c r="AK416" t="s">
        <v>908</v>
      </c>
    </row>
    <row r="417" spans="1:37" ht="15" hidden="1" customHeight="1" x14ac:dyDescent="0.25">
      <c r="A417" s="1">
        <v>418</v>
      </c>
      <c r="B417" s="1">
        <v>41794</v>
      </c>
      <c r="C417" s="26"/>
      <c r="D417" s="26"/>
      <c r="E417" s="26"/>
      <c r="F417" s="26"/>
      <c r="G417" s="27" t="s">
        <v>17</v>
      </c>
      <c r="H417" s="27" t="s">
        <v>16</v>
      </c>
      <c r="I417" s="27" t="s">
        <v>894</v>
      </c>
      <c r="J417" s="27" t="s">
        <v>12</v>
      </c>
      <c r="K417" s="27" t="s">
        <v>5</v>
      </c>
      <c r="L417" s="27" t="s">
        <v>901</v>
      </c>
      <c r="M417" s="27" t="s">
        <v>905</v>
      </c>
      <c r="N417" s="27" t="s">
        <v>5</v>
      </c>
      <c r="O417" s="27" t="s">
        <v>122</v>
      </c>
      <c r="P417" s="27" t="s">
        <v>896</v>
      </c>
      <c r="Q417" s="27" t="s">
        <v>897</v>
      </c>
      <c r="R417" s="1">
        <v>41226</v>
      </c>
      <c r="S417" s="27" t="s">
        <v>1150</v>
      </c>
      <c r="T417" s="27" t="s">
        <v>1120</v>
      </c>
      <c r="U417" s="1">
        <v>128</v>
      </c>
      <c r="V417" s="27" t="s">
        <v>900</v>
      </c>
      <c r="W417" s="1">
        <v>908</v>
      </c>
      <c r="X417" s="28">
        <v>1.64</v>
      </c>
      <c r="Y417" s="29">
        <v>0.4</v>
      </c>
      <c r="Z417" s="29">
        <v>0.6</v>
      </c>
      <c r="AA417" s="26"/>
      <c r="AB417" s="26"/>
      <c r="AC417" s="27" t="s">
        <v>901</v>
      </c>
      <c r="AD417" t="s">
        <v>304</v>
      </c>
      <c r="AE417">
        <v>4.25</v>
      </c>
      <c r="AF417" t="s">
        <v>862</v>
      </c>
      <c r="AG417" t="s">
        <v>1040</v>
      </c>
      <c r="AH417" t="s">
        <v>903</v>
      </c>
      <c r="AJ417" s="15">
        <f>VLOOKUP(Tabla1[[#This Row],[CPC]],[1]Sheet3!$A:$D,4,0)</f>
        <v>0.40026298640849023</v>
      </c>
      <c r="AK417" t="s">
        <v>908</v>
      </c>
    </row>
    <row r="418" spans="1:37" ht="15" hidden="1" customHeight="1" x14ac:dyDescent="0.25">
      <c r="A418" s="1">
        <v>419</v>
      </c>
      <c r="B418" s="21">
        <v>41796</v>
      </c>
      <c r="C418" s="31"/>
      <c r="D418" s="22"/>
      <c r="E418" s="22"/>
      <c r="F418" s="22"/>
      <c r="G418" s="23" t="s">
        <v>58</v>
      </c>
      <c r="H418" s="23" t="s">
        <v>57</v>
      </c>
      <c r="I418" s="23" t="s">
        <v>894</v>
      </c>
      <c r="J418" s="23" t="s">
        <v>6</v>
      </c>
      <c r="K418" s="23" t="s">
        <v>36</v>
      </c>
      <c r="L418" s="23" t="s">
        <v>901</v>
      </c>
      <c r="M418" s="23" t="s">
        <v>905</v>
      </c>
      <c r="N418" s="23" t="s">
        <v>36</v>
      </c>
      <c r="O418" s="23" t="s">
        <v>122</v>
      </c>
      <c r="P418" s="23" t="s">
        <v>896</v>
      </c>
      <c r="Q418" s="23" t="s">
        <v>897</v>
      </c>
      <c r="R418" s="21">
        <v>41227</v>
      </c>
      <c r="S418" s="23" t="s">
        <v>57</v>
      </c>
      <c r="T418" s="23" t="s">
        <v>971</v>
      </c>
      <c r="U418" s="21">
        <v>56</v>
      </c>
      <c r="V418" s="23" t="s">
        <v>900</v>
      </c>
      <c r="W418" s="21">
        <v>908</v>
      </c>
      <c r="X418" s="24">
        <v>1.99</v>
      </c>
      <c r="Y418" s="33">
        <v>0.5</v>
      </c>
      <c r="Z418" s="33">
        <v>0.5</v>
      </c>
      <c r="AA418" s="22"/>
      <c r="AB418" s="22"/>
      <c r="AC418" s="23" t="s">
        <v>901</v>
      </c>
      <c r="AD418" s="17" t="s">
        <v>336</v>
      </c>
      <c r="AE418" s="17">
        <v>4.25</v>
      </c>
      <c r="AF418" s="17" t="s">
        <v>6</v>
      </c>
      <c r="AG418" s="17"/>
      <c r="AH418" t="s">
        <v>903</v>
      </c>
      <c r="AJ418" s="15"/>
      <c r="AK418" t="s">
        <v>908</v>
      </c>
    </row>
    <row r="419" spans="1:37" ht="15" hidden="1" customHeight="1" x14ac:dyDescent="0.25">
      <c r="A419" s="8">
        <v>420</v>
      </c>
      <c r="B419" s="1">
        <v>41798</v>
      </c>
      <c r="C419" s="26"/>
      <c r="D419" s="26"/>
      <c r="E419" s="26"/>
      <c r="F419" s="26"/>
      <c r="G419" s="27" t="s">
        <v>66</v>
      </c>
      <c r="H419" s="27" t="s">
        <v>65</v>
      </c>
      <c r="I419" s="27" t="s">
        <v>894</v>
      </c>
      <c r="J419" s="27" t="s">
        <v>6</v>
      </c>
      <c r="K419" s="27" t="s">
        <v>36</v>
      </c>
      <c r="L419" s="27" t="s">
        <v>901</v>
      </c>
      <c r="M419" s="27" t="s">
        <v>905</v>
      </c>
      <c r="N419" s="27" t="s">
        <v>36</v>
      </c>
      <c r="O419" s="27" t="s">
        <v>122</v>
      </c>
      <c r="P419" s="27" t="s">
        <v>896</v>
      </c>
      <c r="Q419" s="27" t="s">
        <v>897</v>
      </c>
      <c r="R419" s="1">
        <v>41228</v>
      </c>
      <c r="S419" s="27" t="s">
        <v>1157</v>
      </c>
      <c r="T419" s="27" t="s">
        <v>1120</v>
      </c>
      <c r="U419" s="1">
        <v>128</v>
      </c>
      <c r="V419" s="27" t="s">
        <v>900</v>
      </c>
      <c r="W419" s="1">
        <v>908</v>
      </c>
      <c r="X419" s="28">
        <v>1.64</v>
      </c>
      <c r="Y419" s="29">
        <v>0.35</v>
      </c>
      <c r="Z419" s="29">
        <v>0.65</v>
      </c>
      <c r="AA419" s="26"/>
      <c r="AB419" s="26"/>
      <c r="AC419" s="27" t="s">
        <v>901</v>
      </c>
      <c r="AD419" t="s">
        <v>337</v>
      </c>
      <c r="AE419">
        <v>4.25</v>
      </c>
      <c r="AF419" t="s">
        <v>6</v>
      </c>
      <c r="AG419" s="17" t="s">
        <v>1040</v>
      </c>
      <c r="AH419" t="s">
        <v>903</v>
      </c>
      <c r="AJ419" s="15">
        <f>VLOOKUP(Tabla1[[#This Row],[CPC]],[1]Sheet3!$A:$D,4,0)</f>
        <v>0.3500537230041903</v>
      </c>
      <c r="AK419" t="s">
        <v>908</v>
      </c>
    </row>
    <row r="420" spans="1:37" ht="15" hidden="1" customHeight="1" x14ac:dyDescent="0.25">
      <c r="A420" s="1">
        <v>421</v>
      </c>
      <c r="B420" s="21">
        <v>41800</v>
      </c>
      <c r="C420" s="22"/>
      <c r="D420" s="22"/>
      <c r="E420" s="22"/>
      <c r="F420" s="22"/>
      <c r="G420" s="23" t="s">
        <v>208</v>
      </c>
      <c r="H420" s="23" t="s">
        <v>206</v>
      </c>
      <c r="I420" s="23" t="s">
        <v>894</v>
      </c>
      <c r="J420" s="23" t="s">
        <v>123</v>
      </c>
      <c r="K420" s="23" t="s">
        <v>123</v>
      </c>
      <c r="L420" s="23" t="s">
        <v>901</v>
      </c>
      <c r="M420" s="23" t="s">
        <v>123</v>
      </c>
      <c r="N420" s="23" t="s">
        <v>901</v>
      </c>
      <c r="O420" s="23" t="s">
        <v>122</v>
      </c>
      <c r="P420" s="23" t="s">
        <v>896</v>
      </c>
      <c r="Q420" s="23" t="s">
        <v>897</v>
      </c>
      <c r="R420" s="21">
        <v>41229</v>
      </c>
      <c r="S420" s="23" t="s">
        <v>1137</v>
      </c>
      <c r="T420" s="23" t="s">
        <v>1120</v>
      </c>
      <c r="U420" s="21">
        <v>128</v>
      </c>
      <c r="V420" s="23" t="s">
        <v>900</v>
      </c>
      <c r="W420" s="21">
        <v>908</v>
      </c>
      <c r="X420" s="24">
        <v>1.64</v>
      </c>
      <c r="Y420" s="25">
        <v>0.35</v>
      </c>
      <c r="Z420" s="25">
        <v>0.65</v>
      </c>
      <c r="AA420" s="22"/>
      <c r="AB420" s="22"/>
      <c r="AC420" s="23" t="s">
        <v>901</v>
      </c>
      <c r="AD420" s="17" t="s">
        <v>358</v>
      </c>
      <c r="AE420" s="17">
        <v>4.25</v>
      </c>
      <c r="AF420" s="17" t="s">
        <v>123</v>
      </c>
      <c r="AG420" s="17"/>
      <c r="AH420" t="s">
        <v>903</v>
      </c>
      <c r="AJ420" s="15"/>
      <c r="AK420" t="s">
        <v>908</v>
      </c>
    </row>
    <row r="421" spans="1:37" ht="15" hidden="1" customHeight="1" x14ac:dyDescent="0.25">
      <c r="A421" s="1">
        <v>422</v>
      </c>
      <c r="B421" s="1">
        <v>41802</v>
      </c>
      <c r="C421" s="26"/>
      <c r="D421" s="26"/>
      <c r="E421" s="26"/>
      <c r="F421" s="26"/>
      <c r="G421" s="27" t="s">
        <v>269</v>
      </c>
      <c r="H421" s="27" t="s">
        <v>267</v>
      </c>
      <c r="I421" s="27" t="s">
        <v>894</v>
      </c>
      <c r="J421" s="27" t="s">
        <v>12</v>
      </c>
      <c r="K421" s="27" t="s">
        <v>257</v>
      </c>
      <c r="L421" s="27" t="s">
        <v>901</v>
      </c>
      <c r="M421" s="27" t="s">
        <v>905</v>
      </c>
      <c r="N421" s="27" t="s">
        <v>257</v>
      </c>
      <c r="O421" s="27" t="s">
        <v>122</v>
      </c>
      <c r="P421" s="27" t="s">
        <v>896</v>
      </c>
      <c r="Q421" s="27" t="s">
        <v>897</v>
      </c>
      <c r="R421" s="1">
        <v>41230</v>
      </c>
      <c r="S421" s="27" t="s">
        <v>267</v>
      </c>
      <c r="T421" s="27" t="s">
        <v>1120</v>
      </c>
      <c r="U421" s="1">
        <v>128</v>
      </c>
      <c r="V421" s="27" t="s">
        <v>900</v>
      </c>
      <c r="W421" s="1">
        <v>908</v>
      </c>
      <c r="X421" s="28">
        <v>1.64</v>
      </c>
      <c r="Y421" s="29">
        <v>0.4</v>
      </c>
      <c r="Z421" s="29">
        <v>0.6</v>
      </c>
      <c r="AA421" s="26"/>
      <c r="AB421" s="26"/>
      <c r="AC421" s="27" t="s">
        <v>901</v>
      </c>
      <c r="AD421" t="s">
        <v>446</v>
      </c>
      <c r="AE421">
        <v>4.25</v>
      </c>
      <c r="AF421" t="s">
        <v>862</v>
      </c>
      <c r="AG421" s="17" t="s">
        <v>1040</v>
      </c>
      <c r="AH421" t="s">
        <v>903</v>
      </c>
      <c r="AJ421" s="15">
        <f>VLOOKUP(Tabla1[[#This Row],[CPC]],[1]Sheet3!$A:$D,4,0)</f>
        <v>0.40056948918545826</v>
      </c>
      <c r="AK421" t="s">
        <v>908</v>
      </c>
    </row>
    <row r="422" spans="1:37" ht="15" hidden="1" customHeight="1" x14ac:dyDescent="0.25">
      <c r="A422" s="8">
        <v>423</v>
      </c>
      <c r="B422" s="21">
        <v>41804</v>
      </c>
      <c r="C422" s="22"/>
      <c r="D422" s="22"/>
      <c r="E422" s="22"/>
      <c r="F422" s="22"/>
      <c r="G422" s="23" t="s">
        <v>105</v>
      </c>
      <c r="H422" s="23" t="s">
        <v>104</v>
      </c>
      <c r="I422" s="23" t="s">
        <v>894</v>
      </c>
      <c r="J422" s="23" t="s">
        <v>12</v>
      </c>
      <c r="K422" s="23" t="s">
        <v>36</v>
      </c>
      <c r="L422" s="23" t="s">
        <v>901</v>
      </c>
      <c r="M422" s="23" t="s">
        <v>905</v>
      </c>
      <c r="N422" s="23" t="s">
        <v>36</v>
      </c>
      <c r="O422" s="23" t="s">
        <v>122</v>
      </c>
      <c r="P422" s="23" t="s">
        <v>896</v>
      </c>
      <c r="Q422" s="23" t="s">
        <v>897</v>
      </c>
      <c r="R422" s="21">
        <v>41231</v>
      </c>
      <c r="S422" s="23" t="s">
        <v>1153</v>
      </c>
      <c r="T422" s="23" t="s">
        <v>1131</v>
      </c>
      <c r="U422" s="21">
        <v>137</v>
      </c>
      <c r="V422" s="23" t="s">
        <v>900</v>
      </c>
      <c r="W422" s="21">
        <v>908</v>
      </c>
      <c r="X422" s="24">
        <v>2.4700000000000002</v>
      </c>
      <c r="Y422" s="25">
        <v>0.4</v>
      </c>
      <c r="Z422" s="25">
        <v>0.6</v>
      </c>
      <c r="AA422" s="22"/>
      <c r="AB422" s="22"/>
      <c r="AC422" s="23" t="s">
        <v>901</v>
      </c>
      <c r="AD422" s="17" t="s">
        <v>351</v>
      </c>
      <c r="AE422" s="17">
        <v>4.25</v>
      </c>
      <c r="AF422" s="17" t="s">
        <v>862</v>
      </c>
      <c r="AG422" s="17" t="s">
        <v>1040</v>
      </c>
      <c r="AH422" t="s">
        <v>903</v>
      </c>
      <c r="AJ422" s="15">
        <f>VLOOKUP(Tabla1[[#This Row],[CPC]],[1]Sheet3!$A:$D,4,0)</f>
        <v>0.40007686051603708</v>
      </c>
      <c r="AK422" t="s">
        <v>908</v>
      </c>
    </row>
    <row r="423" spans="1:37" ht="15" hidden="1" customHeight="1" x14ac:dyDescent="0.25">
      <c r="A423" s="1">
        <v>424</v>
      </c>
      <c r="B423" s="1">
        <v>41805</v>
      </c>
      <c r="C423" s="35">
        <v>41804</v>
      </c>
      <c r="D423" s="26"/>
      <c r="E423" s="26"/>
      <c r="F423" s="26"/>
      <c r="G423" s="27" t="s">
        <v>107</v>
      </c>
      <c r="H423" s="27" t="s">
        <v>104</v>
      </c>
      <c r="I423" s="27" t="s">
        <v>894</v>
      </c>
      <c r="J423" s="27" t="s">
        <v>12</v>
      </c>
      <c r="K423" s="27" t="s">
        <v>36</v>
      </c>
      <c r="L423" s="27" t="s">
        <v>901</v>
      </c>
      <c r="M423" s="27" t="s">
        <v>905</v>
      </c>
      <c r="N423" s="27" t="s">
        <v>36</v>
      </c>
      <c r="O423" s="27" t="s">
        <v>122</v>
      </c>
      <c r="P423" s="27" t="s">
        <v>896</v>
      </c>
      <c r="Q423" s="27" t="s">
        <v>897</v>
      </c>
      <c r="R423" s="1">
        <v>41231</v>
      </c>
      <c r="S423" s="27" t="s">
        <v>1153</v>
      </c>
      <c r="T423" s="27" t="s">
        <v>1090</v>
      </c>
      <c r="U423" s="1">
        <v>0</v>
      </c>
      <c r="V423" s="27" t="s">
        <v>900</v>
      </c>
      <c r="W423" s="1">
        <v>641</v>
      </c>
      <c r="X423" s="28">
        <v>0</v>
      </c>
      <c r="Y423" s="30"/>
      <c r="Z423" s="30"/>
      <c r="AA423" s="26"/>
      <c r="AB423" s="26"/>
      <c r="AC423" s="27" t="s">
        <v>901</v>
      </c>
      <c r="AD423" t="s">
        <v>351</v>
      </c>
      <c r="AE423">
        <v>4.25</v>
      </c>
      <c r="AF423" t="s">
        <v>862</v>
      </c>
      <c r="AG423" s="17" t="s">
        <v>1040</v>
      </c>
      <c r="AH423" t="s">
        <v>903</v>
      </c>
      <c r="AJ423" s="15"/>
      <c r="AK423" t="s">
        <v>908</v>
      </c>
    </row>
    <row r="424" spans="1:37" ht="15" hidden="1" customHeight="1" x14ac:dyDescent="0.25">
      <c r="A424" s="1">
        <v>425</v>
      </c>
      <c r="B424" s="21">
        <v>41809</v>
      </c>
      <c r="C424" s="22"/>
      <c r="D424" s="31"/>
      <c r="E424" s="31"/>
      <c r="F424" s="31"/>
      <c r="G424" s="23" t="s">
        <v>89</v>
      </c>
      <c r="H424" s="23" t="s">
        <v>87</v>
      </c>
      <c r="I424" s="23" t="s">
        <v>894</v>
      </c>
      <c r="J424" s="23" t="s">
        <v>12</v>
      </c>
      <c r="K424" s="23" t="s">
        <v>36</v>
      </c>
      <c r="L424" s="23" t="s">
        <v>901</v>
      </c>
      <c r="M424" s="23" t="s">
        <v>905</v>
      </c>
      <c r="N424" s="23" t="s">
        <v>36</v>
      </c>
      <c r="O424" s="23" t="s">
        <v>122</v>
      </c>
      <c r="P424" s="23" t="s">
        <v>896</v>
      </c>
      <c r="Q424" s="23" t="s">
        <v>897</v>
      </c>
      <c r="R424" s="21">
        <v>41233</v>
      </c>
      <c r="S424" s="23" t="s">
        <v>87</v>
      </c>
      <c r="T424" s="23" t="s">
        <v>1131</v>
      </c>
      <c r="U424" s="21">
        <v>137</v>
      </c>
      <c r="V424" s="23" t="s">
        <v>900</v>
      </c>
      <c r="W424" s="21">
        <v>908</v>
      </c>
      <c r="X424" s="24">
        <v>2.4700000000000002</v>
      </c>
      <c r="Y424" s="25">
        <v>0.4</v>
      </c>
      <c r="Z424" s="25">
        <v>0.6</v>
      </c>
      <c r="AA424" s="22"/>
      <c r="AB424" s="22"/>
      <c r="AC424" s="23" t="s">
        <v>901</v>
      </c>
      <c r="AD424" s="17" t="s">
        <v>350</v>
      </c>
      <c r="AE424" s="17">
        <v>4.25</v>
      </c>
      <c r="AF424" s="17" t="s">
        <v>862</v>
      </c>
      <c r="AG424" s="17" t="s">
        <v>1040</v>
      </c>
      <c r="AH424" t="s">
        <v>903</v>
      </c>
      <c r="AJ424" s="15">
        <f>VLOOKUP(Tabla1[[#This Row],[CPC]],[1]Sheet3!$A:$D,4,0)</f>
        <v>0.40004552623449319</v>
      </c>
      <c r="AK424" t="s">
        <v>908</v>
      </c>
    </row>
    <row r="425" spans="1:37" ht="15" hidden="1" customHeight="1" x14ac:dyDescent="0.25">
      <c r="A425" s="8">
        <v>426</v>
      </c>
      <c r="B425" s="1">
        <v>41810</v>
      </c>
      <c r="C425" s="1">
        <v>41809</v>
      </c>
      <c r="D425" s="30"/>
      <c r="E425" s="30"/>
      <c r="F425" s="30"/>
      <c r="G425" s="27" t="s">
        <v>91</v>
      </c>
      <c r="H425" s="27" t="s">
        <v>87</v>
      </c>
      <c r="I425" s="27" t="s">
        <v>894</v>
      </c>
      <c r="J425" s="27" t="s">
        <v>12</v>
      </c>
      <c r="K425" s="27" t="s">
        <v>36</v>
      </c>
      <c r="L425" s="27" t="s">
        <v>901</v>
      </c>
      <c r="M425" s="27" t="s">
        <v>905</v>
      </c>
      <c r="N425" s="27" t="s">
        <v>36</v>
      </c>
      <c r="O425" s="27" t="s">
        <v>122</v>
      </c>
      <c r="P425" s="27" t="s">
        <v>896</v>
      </c>
      <c r="Q425" s="27" t="s">
        <v>897</v>
      </c>
      <c r="R425" s="1">
        <v>41233</v>
      </c>
      <c r="S425" s="27" t="s">
        <v>87</v>
      </c>
      <c r="T425" s="27" t="s">
        <v>1090</v>
      </c>
      <c r="U425" s="1">
        <v>0</v>
      </c>
      <c r="V425" s="27" t="s">
        <v>900</v>
      </c>
      <c r="W425" s="1">
        <v>641</v>
      </c>
      <c r="X425" s="28">
        <v>0</v>
      </c>
      <c r="Y425" s="26"/>
      <c r="Z425" s="26"/>
      <c r="AA425" s="26"/>
      <c r="AB425" s="26"/>
      <c r="AC425" s="27" t="s">
        <v>901</v>
      </c>
      <c r="AD425" t="s">
        <v>350</v>
      </c>
      <c r="AE425">
        <v>4.25</v>
      </c>
      <c r="AF425" t="s">
        <v>862</v>
      </c>
      <c r="AG425" s="17" t="s">
        <v>1040</v>
      </c>
      <c r="AH425" t="s">
        <v>903</v>
      </c>
      <c r="AJ425" s="15"/>
      <c r="AK425" t="s">
        <v>908</v>
      </c>
    </row>
    <row r="426" spans="1:37" ht="15" hidden="1" customHeight="1" x14ac:dyDescent="0.25">
      <c r="A426" s="1">
        <v>427</v>
      </c>
      <c r="B426" s="21">
        <v>41813</v>
      </c>
      <c r="C426" s="22"/>
      <c r="D426" s="31"/>
      <c r="E426" s="31"/>
      <c r="F426" s="31"/>
      <c r="G426" s="23" t="s">
        <v>575</v>
      </c>
      <c r="H426" s="23" t="s">
        <v>61</v>
      </c>
      <c r="I426" s="23" t="s">
        <v>894</v>
      </c>
      <c r="J426" s="23" t="s">
        <v>279</v>
      </c>
      <c r="K426" s="23" t="s">
        <v>279</v>
      </c>
      <c r="L426" s="23" t="s">
        <v>922</v>
      </c>
      <c r="M426" s="23" t="s">
        <v>279</v>
      </c>
      <c r="N426" s="23" t="s">
        <v>922</v>
      </c>
      <c r="O426" s="23" t="s">
        <v>290</v>
      </c>
      <c r="P426" s="23" t="s">
        <v>896</v>
      </c>
      <c r="Q426" s="23" t="s">
        <v>897</v>
      </c>
      <c r="R426" s="21">
        <v>41234</v>
      </c>
      <c r="S426" s="23" t="s">
        <v>1089</v>
      </c>
      <c r="T426" s="23" t="s">
        <v>899</v>
      </c>
      <c r="U426" s="21">
        <v>58</v>
      </c>
      <c r="V426" s="23" t="s">
        <v>900</v>
      </c>
      <c r="W426" s="21">
        <v>908</v>
      </c>
      <c r="X426" s="24">
        <v>2.99</v>
      </c>
      <c r="Y426" s="25">
        <v>0.3</v>
      </c>
      <c r="Z426" s="25">
        <v>0.7</v>
      </c>
      <c r="AA426" s="22"/>
      <c r="AB426" s="22"/>
      <c r="AC426" s="23" t="s">
        <v>901</v>
      </c>
      <c r="AD426" s="17" t="s">
        <v>569</v>
      </c>
      <c r="AE426" s="17">
        <v>4.25</v>
      </c>
      <c r="AF426" s="17" t="s">
        <v>279</v>
      </c>
      <c r="AG426" s="17"/>
      <c r="AH426" t="s">
        <v>903</v>
      </c>
      <c r="AJ426" s="15"/>
      <c r="AK426" t="s">
        <v>904</v>
      </c>
    </row>
    <row r="427" spans="1:37" ht="15" hidden="1" customHeight="1" x14ac:dyDescent="0.25">
      <c r="A427" s="1">
        <v>428</v>
      </c>
      <c r="B427" s="1">
        <v>41815</v>
      </c>
      <c r="C427" s="26"/>
      <c r="D427" s="30"/>
      <c r="E427" s="30"/>
      <c r="F427" s="30"/>
      <c r="G427" s="27" t="s">
        <v>576</v>
      </c>
      <c r="H427" s="27" t="s">
        <v>61</v>
      </c>
      <c r="I427" s="27" t="s">
        <v>894</v>
      </c>
      <c r="J427" s="27" t="s">
        <v>279</v>
      </c>
      <c r="K427" s="27" t="s">
        <v>279</v>
      </c>
      <c r="L427" s="27" t="s">
        <v>922</v>
      </c>
      <c r="M427" s="27" t="s">
        <v>279</v>
      </c>
      <c r="N427" s="27" t="s">
        <v>922</v>
      </c>
      <c r="O427" s="27" t="s">
        <v>290</v>
      </c>
      <c r="P427" s="27" t="s">
        <v>896</v>
      </c>
      <c r="Q427" s="27" t="s">
        <v>897</v>
      </c>
      <c r="R427" s="1">
        <v>41235</v>
      </c>
      <c r="S427" s="27" t="s">
        <v>1085</v>
      </c>
      <c r="T427" s="27" t="s">
        <v>899</v>
      </c>
      <c r="U427" s="1">
        <v>58</v>
      </c>
      <c r="V427" s="27" t="s">
        <v>900</v>
      </c>
      <c r="W427" s="1">
        <v>908</v>
      </c>
      <c r="X427" s="28">
        <v>2.99</v>
      </c>
      <c r="Y427" s="29">
        <v>0.3</v>
      </c>
      <c r="Z427" s="29">
        <v>0.7</v>
      </c>
      <c r="AA427" s="26"/>
      <c r="AB427" s="26"/>
      <c r="AC427" s="27" t="s">
        <v>901</v>
      </c>
      <c r="AD427" t="s">
        <v>569</v>
      </c>
      <c r="AE427">
        <v>4.25</v>
      </c>
      <c r="AF427" t="s">
        <v>279</v>
      </c>
      <c r="AH427" t="s">
        <v>903</v>
      </c>
      <c r="AJ427" s="15"/>
      <c r="AK427" t="s">
        <v>904</v>
      </c>
    </row>
    <row r="428" spans="1:37" ht="15" hidden="1" customHeight="1" x14ac:dyDescent="0.25">
      <c r="A428" s="8">
        <v>429</v>
      </c>
      <c r="B428" s="21">
        <v>41817</v>
      </c>
      <c r="C428" s="22"/>
      <c r="D428" s="31"/>
      <c r="E428" s="31"/>
      <c r="F428" s="31"/>
      <c r="G428" s="23" t="s">
        <v>586</v>
      </c>
      <c r="H428" s="23" t="s">
        <v>61</v>
      </c>
      <c r="I428" s="23" t="s">
        <v>894</v>
      </c>
      <c r="J428" s="23" t="s">
        <v>279</v>
      </c>
      <c r="K428" s="23" t="s">
        <v>279</v>
      </c>
      <c r="L428" s="23" t="s">
        <v>922</v>
      </c>
      <c r="M428" s="23" t="s">
        <v>279</v>
      </c>
      <c r="N428" s="23" t="s">
        <v>922</v>
      </c>
      <c r="O428" s="23" t="s">
        <v>346</v>
      </c>
      <c r="P428" s="23" t="s">
        <v>896</v>
      </c>
      <c r="Q428" s="23" t="s">
        <v>897</v>
      </c>
      <c r="R428" s="21">
        <v>41236</v>
      </c>
      <c r="S428" s="23" t="s">
        <v>1103</v>
      </c>
      <c r="T428" s="23" t="s">
        <v>899</v>
      </c>
      <c r="U428" s="21">
        <v>58</v>
      </c>
      <c r="V428" s="23" t="s">
        <v>900</v>
      </c>
      <c r="W428" s="21">
        <v>908</v>
      </c>
      <c r="X428" s="24">
        <v>2.99</v>
      </c>
      <c r="Y428" s="25">
        <v>0.3</v>
      </c>
      <c r="Z428" s="25">
        <v>0.7</v>
      </c>
      <c r="AA428" s="22"/>
      <c r="AB428" s="22"/>
      <c r="AC428" s="23" t="s">
        <v>901</v>
      </c>
      <c r="AD428" s="17" t="s">
        <v>569</v>
      </c>
      <c r="AE428" s="17">
        <v>4.25</v>
      </c>
      <c r="AF428" s="17" t="s">
        <v>279</v>
      </c>
      <c r="AG428" s="17"/>
      <c r="AH428" t="s">
        <v>903</v>
      </c>
      <c r="AJ428" s="15"/>
      <c r="AK428" t="s">
        <v>904</v>
      </c>
    </row>
    <row r="429" spans="1:37" ht="15" hidden="1" customHeight="1" x14ac:dyDescent="0.25">
      <c r="A429" s="1">
        <v>430</v>
      </c>
      <c r="B429" s="1">
        <v>41820</v>
      </c>
      <c r="C429" s="26"/>
      <c r="D429" s="30"/>
      <c r="E429" s="30"/>
      <c r="F429" s="30"/>
      <c r="G429" s="27" t="s">
        <v>587</v>
      </c>
      <c r="H429" s="27" t="s">
        <v>61</v>
      </c>
      <c r="I429" s="27" t="s">
        <v>894</v>
      </c>
      <c r="J429" s="27" t="s">
        <v>279</v>
      </c>
      <c r="K429" s="27" t="s">
        <v>279</v>
      </c>
      <c r="L429" s="27" t="s">
        <v>922</v>
      </c>
      <c r="M429" s="27" t="s">
        <v>279</v>
      </c>
      <c r="N429" s="27" t="s">
        <v>922</v>
      </c>
      <c r="O429" s="27" t="s">
        <v>346</v>
      </c>
      <c r="P429" s="27" t="s">
        <v>896</v>
      </c>
      <c r="Q429" s="27" t="s">
        <v>897</v>
      </c>
      <c r="R429" s="1">
        <v>41237</v>
      </c>
      <c r="S429" s="27" t="s">
        <v>1104</v>
      </c>
      <c r="T429" s="27" t="s">
        <v>924</v>
      </c>
      <c r="U429" s="1">
        <v>12</v>
      </c>
      <c r="V429" s="27" t="s">
        <v>900</v>
      </c>
      <c r="W429" s="1">
        <v>908</v>
      </c>
      <c r="X429" s="28">
        <v>5</v>
      </c>
      <c r="Y429" s="29">
        <v>0.3</v>
      </c>
      <c r="Z429" s="29">
        <v>0.7</v>
      </c>
      <c r="AA429" s="26"/>
      <c r="AB429" s="26"/>
      <c r="AC429" s="27" t="s">
        <v>901</v>
      </c>
      <c r="AD429" t="s">
        <v>569</v>
      </c>
      <c r="AE429">
        <v>4.25</v>
      </c>
      <c r="AF429" t="s">
        <v>279</v>
      </c>
      <c r="AH429" t="s">
        <v>903</v>
      </c>
      <c r="AJ429" s="15"/>
      <c r="AK429" t="s">
        <v>904</v>
      </c>
    </row>
    <row r="430" spans="1:37" ht="15" hidden="1" customHeight="1" x14ac:dyDescent="0.25">
      <c r="A430" s="1">
        <v>431</v>
      </c>
      <c r="B430" s="21">
        <v>41822</v>
      </c>
      <c r="C430" s="22"/>
      <c r="D430" s="22"/>
      <c r="E430" s="22"/>
      <c r="F430" s="22"/>
      <c r="G430" s="23" t="s">
        <v>585</v>
      </c>
      <c r="H430" s="23" t="s">
        <v>61</v>
      </c>
      <c r="I430" s="23" t="s">
        <v>894</v>
      </c>
      <c r="J430" s="23" t="s">
        <v>279</v>
      </c>
      <c r="K430" s="23" t="s">
        <v>279</v>
      </c>
      <c r="L430" s="23" t="s">
        <v>922</v>
      </c>
      <c r="M430" s="23" t="s">
        <v>279</v>
      </c>
      <c r="N430" s="23" t="s">
        <v>922</v>
      </c>
      <c r="O430" s="23" t="s">
        <v>346</v>
      </c>
      <c r="P430" s="23" t="s">
        <v>896</v>
      </c>
      <c r="Q430" s="23" t="s">
        <v>897</v>
      </c>
      <c r="R430" s="21">
        <v>41238</v>
      </c>
      <c r="S430" s="23" t="s">
        <v>1105</v>
      </c>
      <c r="T430" s="23" t="s">
        <v>899</v>
      </c>
      <c r="U430" s="21">
        <v>58</v>
      </c>
      <c r="V430" s="23" t="s">
        <v>900</v>
      </c>
      <c r="W430" s="21">
        <v>908</v>
      </c>
      <c r="X430" s="24">
        <v>2.99</v>
      </c>
      <c r="Y430" s="25">
        <v>0.3</v>
      </c>
      <c r="Z430" s="25">
        <v>0.7</v>
      </c>
      <c r="AA430" s="22"/>
      <c r="AB430" s="22"/>
      <c r="AC430" s="23" t="s">
        <v>901</v>
      </c>
      <c r="AD430" s="17" t="s">
        <v>569</v>
      </c>
      <c r="AE430" s="17">
        <v>4.25</v>
      </c>
      <c r="AF430" s="17" t="s">
        <v>279</v>
      </c>
      <c r="AG430" s="17"/>
      <c r="AH430" t="s">
        <v>903</v>
      </c>
      <c r="AJ430" s="15"/>
      <c r="AK430" t="s">
        <v>904</v>
      </c>
    </row>
    <row r="431" spans="1:37" ht="15" hidden="1" customHeight="1" x14ac:dyDescent="0.25">
      <c r="A431" s="8">
        <v>432</v>
      </c>
      <c r="B431" s="1">
        <v>41824</v>
      </c>
      <c r="C431" s="26"/>
      <c r="D431" s="1">
        <v>476</v>
      </c>
      <c r="E431" s="1">
        <v>47602</v>
      </c>
      <c r="F431" s="1">
        <v>47602</v>
      </c>
      <c r="G431" s="27" t="s">
        <v>125</v>
      </c>
      <c r="H431" s="27" t="s">
        <v>124</v>
      </c>
      <c r="I431" s="27" t="s">
        <v>894</v>
      </c>
      <c r="J431" s="27" t="s">
        <v>123</v>
      </c>
      <c r="K431" s="27" t="s">
        <v>123</v>
      </c>
      <c r="L431" s="27" t="s">
        <v>901</v>
      </c>
      <c r="M431" s="27" t="s">
        <v>123</v>
      </c>
      <c r="N431" s="27" t="s">
        <v>901</v>
      </c>
      <c r="O431" s="27" t="s">
        <v>360</v>
      </c>
      <c r="P431" s="27" t="s">
        <v>896</v>
      </c>
      <c r="Q431" s="27" t="s">
        <v>897</v>
      </c>
      <c r="R431" s="1">
        <v>41239</v>
      </c>
      <c r="S431" s="27" t="s">
        <v>124</v>
      </c>
      <c r="T431" s="27" t="s">
        <v>917</v>
      </c>
      <c r="U431" s="1">
        <v>54</v>
      </c>
      <c r="V431" s="27" t="s">
        <v>900</v>
      </c>
      <c r="W431" s="1">
        <v>908</v>
      </c>
      <c r="X431" s="28">
        <v>0.99</v>
      </c>
      <c r="Y431" s="29">
        <v>0.4</v>
      </c>
      <c r="Z431" s="29">
        <v>0.6</v>
      </c>
      <c r="AA431" s="26"/>
      <c r="AB431" s="26"/>
      <c r="AC431" s="27" t="s">
        <v>901</v>
      </c>
      <c r="AD431" t="s">
        <v>361</v>
      </c>
      <c r="AE431">
        <v>4.25</v>
      </c>
      <c r="AF431" t="s">
        <v>123</v>
      </c>
      <c r="AG431" t="s">
        <v>902</v>
      </c>
      <c r="AH431" t="s">
        <v>903</v>
      </c>
      <c r="AJ431" s="15"/>
      <c r="AK431" t="s">
        <v>908</v>
      </c>
    </row>
    <row r="432" spans="1:37" ht="15" hidden="1" customHeight="1" x14ac:dyDescent="0.25">
      <c r="A432" s="1">
        <v>433</v>
      </c>
      <c r="B432" s="21">
        <v>41825</v>
      </c>
      <c r="C432" s="34">
        <v>41824</v>
      </c>
      <c r="D432" s="34">
        <v>476</v>
      </c>
      <c r="E432" s="34">
        <v>47601</v>
      </c>
      <c r="F432" s="34">
        <v>47601</v>
      </c>
      <c r="G432" s="23" t="s">
        <v>126</v>
      </c>
      <c r="H432" s="23" t="s">
        <v>124</v>
      </c>
      <c r="I432" s="23" t="s">
        <v>894</v>
      </c>
      <c r="J432" s="23" t="s">
        <v>123</v>
      </c>
      <c r="K432" s="23" t="s">
        <v>123</v>
      </c>
      <c r="L432" s="23" t="s">
        <v>901</v>
      </c>
      <c r="M432" s="23" t="s">
        <v>123</v>
      </c>
      <c r="N432" s="23" t="s">
        <v>901</v>
      </c>
      <c r="O432" s="23" t="s">
        <v>360</v>
      </c>
      <c r="P432" s="23" t="s">
        <v>896</v>
      </c>
      <c r="Q432" s="23" t="s">
        <v>897</v>
      </c>
      <c r="R432" s="21">
        <v>41239</v>
      </c>
      <c r="S432" s="23" t="s">
        <v>124</v>
      </c>
      <c r="T432" s="23" t="s">
        <v>1090</v>
      </c>
      <c r="U432" s="21">
        <v>0</v>
      </c>
      <c r="V432" s="23" t="s">
        <v>900</v>
      </c>
      <c r="W432" s="21">
        <v>641</v>
      </c>
      <c r="X432" s="24">
        <v>0</v>
      </c>
      <c r="Y432" s="31"/>
      <c r="Z432" s="31"/>
      <c r="AA432" s="22"/>
      <c r="AB432" s="22"/>
      <c r="AC432" s="23" t="s">
        <v>901</v>
      </c>
      <c r="AD432" s="17" t="s">
        <v>361</v>
      </c>
      <c r="AE432" s="17">
        <v>4.25</v>
      </c>
      <c r="AF432" s="17" t="s">
        <v>123</v>
      </c>
      <c r="AG432" s="17" t="s">
        <v>902</v>
      </c>
      <c r="AH432" t="s">
        <v>903</v>
      </c>
      <c r="AJ432" s="15"/>
      <c r="AK432" t="s">
        <v>908</v>
      </c>
    </row>
    <row r="433" spans="1:37" ht="15" hidden="1" customHeight="1" x14ac:dyDescent="0.25">
      <c r="A433" s="1">
        <v>434</v>
      </c>
      <c r="B433" s="1">
        <v>41909</v>
      </c>
      <c r="C433" s="26"/>
      <c r="D433" s="1">
        <v>578</v>
      </c>
      <c r="E433" s="1">
        <v>57801</v>
      </c>
      <c r="F433" s="1">
        <v>57801</v>
      </c>
      <c r="G433" s="27" t="s">
        <v>64</v>
      </c>
      <c r="H433" s="27" t="s">
        <v>63</v>
      </c>
      <c r="I433" s="27" t="s">
        <v>894</v>
      </c>
      <c r="J433" s="27" t="s">
        <v>6</v>
      </c>
      <c r="K433" s="27" t="s">
        <v>36</v>
      </c>
      <c r="L433" s="27" t="s">
        <v>901</v>
      </c>
      <c r="M433" s="27" t="s">
        <v>905</v>
      </c>
      <c r="N433" s="27" t="s">
        <v>36</v>
      </c>
      <c r="O433" s="27" t="s">
        <v>86</v>
      </c>
      <c r="P433" s="27" t="s">
        <v>896</v>
      </c>
      <c r="Q433" s="27" t="s">
        <v>897</v>
      </c>
      <c r="R433" s="1">
        <v>41276</v>
      </c>
      <c r="S433" s="27" t="s">
        <v>1158</v>
      </c>
      <c r="T433" s="27" t="s">
        <v>1143</v>
      </c>
      <c r="U433" s="1">
        <v>136</v>
      </c>
      <c r="V433" s="27" t="s">
        <v>900</v>
      </c>
      <c r="W433" s="1">
        <v>908</v>
      </c>
      <c r="X433" s="28">
        <v>2.06</v>
      </c>
      <c r="Y433" s="29">
        <v>0.45</v>
      </c>
      <c r="Z433" s="29">
        <v>0.55000000000000004</v>
      </c>
      <c r="AA433" s="26"/>
      <c r="AB433" s="26"/>
      <c r="AC433" s="27" t="s">
        <v>901</v>
      </c>
      <c r="AD433" t="s">
        <v>343</v>
      </c>
      <c r="AE433">
        <v>4.25</v>
      </c>
      <c r="AF433" t="s">
        <v>6</v>
      </c>
      <c r="AG433" t="s">
        <v>1075</v>
      </c>
      <c r="AH433" t="s">
        <v>903</v>
      </c>
      <c r="AI433" t="s">
        <v>1076</v>
      </c>
      <c r="AJ433" s="15">
        <f>VLOOKUP(Tabla1[[#This Row],[CPC]],[1]Sheet3!$A:$D,4,0)</f>
        <v>0.45000036351422273</v>
      </c>
      <c r="AK433" t="s">
        <v>908</v>
      </c>
    </row>
    <row r="434" spans="1:37" ht="15" hidden="1" customHeight="1" x14ac:dyDescent="0.25">
      <c r="A434" s="8">
        <v>435</v>
      </c>
      <c r="B434" s="21">
        <v>41949</v>
      </c>
      <c r="C434" s="22"/>
      <c r="D434" s="34">
        <v>238</v>
      </c>
      <c r="E434" s="34">
        <v>23801</v>
      </c>
      <c r="F434" s="34">
        <v>23801</v>
      </c>
      <c r="G434" s="23" t="s">
        <v>67</v>
      </c>
      <c r="H434" s="23" t="s">
        <v>65</v>
      </c>
      <c r="I434" s="23" t="s">
        <v>894</v>
      </c>
      <c r="J434" s="23" t="s">
        <v>6</v>
      </c>
      <c r="K434" s="23" t="s">
        <v>36</v>
      </c>
      <c r="L434" s="23" t="s">
        <v>901</v>
      </c>
      <c r="M434" s="23" t="s">
        <v>905</v>
      </c>
      <c r="N434" s="23" t="s">
        <v>36</v>
      </c>
      <c r="O434" s="23" t="s">
        <v>122</v>
      </c>
      <c r="P434" s="23" t="s">
        <v>896</v>
      </c>
      <c r="Q434" s="23" t="s">
        <v>897</v>
      </c>
      <c r="R434" s="21">
        <v>41296</v>
      </c>
      <c r="S434" s="23" t="s">
        <v>1157</v>
      </c>
      <c r="T434" s="23" t="s">
        <v>1120</v>
      </c>
      <c r="U434" s="21">
        <v>128</v>
      </c>
      <c r="V434" s="23" t="s">
        <v>900</v>
      </c>
      <c r="W434" s="21">
        <v>908</v>
      </c>
      <c r="X434" s="24">
        <v>1.64</v>
      </c>
      <c r="Y434" s="25">
        <v>0.45</v>
      </c>
      <c r="Z434" s="25">
        <v>0.55000000000000004</v>
      </c>
      <c r="AA434" s="22"/>
      <c r="AB434" s="22"/>
      <c r="AC434" s="23" t="s">
        <v>901</v>
      </c>
      <c r="AD434" s="17" t="s">
        <v>337</v>
      </c>
      <c r="AE434" s="17">
        <v>4.25</v>
      </c>
      <c r="AF434" s="17" t="s">
        <v>6</v>
      </c>
      <c r="AG434" s="17" t="s">
        <v>1040</v>
      </c>
      <c r="AH434" t="s">
        <v>903</v>
      </c>
      <c r="AJ434" s="15">
        <f>VLOOKUP(Tabla1[[#This Row],[CPC]],[1]Sheet3!$A:$D,4,0)</f>
        <v>0.44999996940925735</v>
      </c>
      <c r="AK434" t="s">
        <v>908</v>
      </c>
    </row>
    <row r="435" spans="1:37" ht="15" hidden="1" customHeight="1" x14ac:dyDescent="0.25">
      <c r="A435" s="1">
        <v>436</v>
      </c>
      <c r="B435" s="1">
        <v>42011</v>
      </c>
      <c r="C435" s="26"/>
      <c r="D435" s="1">
        <v>301</v>
      </c>
      <c r="E435" s="1">
        <v>30101</v>
      </c>
      <c r="F435" s="1">
        <v>30101</v>
      </c>
      <c r="G435" s="27" t="s">
        <v>561</v>
      </c>
      <c r="H435" s="27" t="s">
        <v>61</v>
      </c>
      <c r="I435" s="27" t="s">
        <v>894</v>
      </c>
      <c r="J435" s="27" t="s">
        <v>279</v>
      </c>
      <c r="K435" s="27" t="s">
        <v>279</v>
      </c>
      <c r="L435" s="27" t="s">
        <v>901</v>
      </c>
      <c r="M435" s="27" t="s">
        <v>279</v>
      </c>
      <c r="N435" s="27" t="s">
        <v>925</v>
      </c>
      <c r="O435" s="27" t="s">
        <v>290</v>
      </c>
      <c r="P435" s="27" t="s">
        <v>896</v>
      </c>
      <c r="Q435" s="27" t="s">
        <v>897</v>
      </c>
      <c r="R435" s="1">
        <v>41337</v>
      </c>
      <c r="S435" s="27" t="s">
        <v>1159</v>
      </c>
      <c r="T435" s="27" t="s">
        <v>1118</v>
      </c>
      <c r="U435" s="1">
        <v>135</v>
      </c>
      <c r="V435" s="27" t="s">
        <v>900</v>
      </c>
      <c r="W435" s="1">
        <v>908</v>
      </c>
      <c r="X435" s="28">
        <v>1.23</v>
      </c>
      <c r="Y435" s="29">
        <v>0.45</v>
      </c>
      <c r="Z435" s="29">
        <v>0.55000000000000004</v>
      </c>
      <c r="AA435" s="26"/>
      <c r="AB435" s="26"/>
      <c r="AC435" s="27" t="s">
        <v>901</v>
      </c>
      <c r="AD435" t="s">
        <v>562</v>
      </c>
      <c r="AE435">
        <v>4.25</v>
      </c>
      <c r="AF435" t="s">
        <v>279</v>
      </c>
      <c r="AG435" t="s">
        <v>1040</v>
      </c>
      <c r="AH435" t="s">
        <v>903</v>
      </c>
      <c r="AJ435" s="15"/>
      <c r="AK435" t="s">
        <v>904</v>
      </c>
    </row>
    <row r="436" spans="1:37" ht="15" hidden="1" customHeight="1" x14ac:dyDescent="0.25">
      <c r="A436" s="1">
        <v>437</v>
      </c>
      <c r="B436" s="21">
        <v>42049</v>
      </c>
      <c r="C436" s="22"/>
      <c r="D436" s="34">
        <v>222</v>
      </c>
      <c r="E436" s="34">
        <v>22201</v>
      </c>
      <c r="F436" s="34">
        <v>22201</v>
      </c>
      <c r="G436" s="23" t="s">
        <v>199</v>
      </c>
      <c r="H436" s="23" t="s">
        <v>197</v>
      </c>
      <c r="I436" s="23" t="s">
        <v>894</v>
      </c>
      <c r="J436" s="23" t="s">
        <v>123</v>
      </c>
      <c r="K436" s="23" t="s">
        <v>123</v>
      </c>
      <c r="L436" s="23" t="s">
        <v>901</v>
      </c>
      <c r="M436" s="23" t="s">
        <v>123</v>
      </c>
      <c r="N436" s="23" t="s">
        <v>901</v>
      </c>
      <c r="O436" s="23" t="s">
        <v>122</v>
      </c>
      <c r="P436" s="23" t="s">
        <v>896</v>
      </c>
      <c r="Q436" s="23" t="s">
        <v>897</v>
      </c>
      <c r="R436" s="21">
        <v>41356</v>
      </c>
      <c r="S436" s="23" t="s">
        <v>1160</v>
      </c>
      <c r="T436" s="23" t="s">
        <v>971</v>
      </c>
      <c r="U436" s="21">
        <v>56</v>
      </c>
      <c r="V436" s="23" t="s">
        <v>900</v>
      </c>
      <c r="W436" s="21">
        <v>908</v>
      </c>
      <c r="X436" s="24">
        <v>1.99</v>
      </c>
      <c r="Y436" s="25">
        <v>0.55000000000000004</v>
      </c>
      <c r="Z436" s="25">
        <v>0.45</v>
      </c>
      <c r="AA436" s="22"/>
      <c r="AB436" s="22"/>
      <c r="AC436" s="23" t="s">
        <v>901</v>
      </c>
      <c r="AD436" s="17" t="s">
        <v>356</v>
      </c>
      <c r="AE436" s="17">
        <v>4.25</v>
      </c>
      <c r="AF436" s="17" t="s">
        <v>123</v>
      </c>
      <c r="AG436" s="17" t="s">
        <v>902</v>
      </c>
      <c r="AH436" t="s">
        <v>903</v>
      </c>
      <c r="AJ436" s="15">
        <f>VLOOKUP(Tabla1[[#This Row],[CPC]],[1]Sheet3!$A:$D,4,0)</f>
        <v>0.54999990246225594</v>
      </c>
      <c r="AK436" t="s">
        <v>908</v>
      </c>
    </row>
    <row r="437" spans="1:37" ht="15" hidden="1" customHeight="1" x14ac:dyDescent="0.25">
      <c r="A437" s="8">
        <v>438</v>
      </c>
      <c r="B437" s="1">
        <v>42069</v>
      </c>
      <c r="C437" s="26"/>
      <c r="D437" s="30"/>
      <c r="E437" s="37"/>
      <c r="F437" s="30"/>
      <c r="G437" s="27" t="s">
        <v>198</v>
      </c>
      <c r="H437" s="27" t="s">
        <v>197</v>
      </c>
      <c r="I437" s="27" t="s">
        <v>894</v>
      </c>
      <c r="J437" s="27" t="s">
        <v>123</v>
      </c>
      <c r="K437" s="27" t="s">
        <v>123</v>
      </c>
      <c r="L437" s="27" t="s">
        <v>901</v>
      </c>
      <c r="M437" s="27" t="s">
        <v>123</v>
      </c>
      <c r="N437" s="27" t="s">
        <v>901</v>
      </c>
      <c r="O437" s="27" t="s">
        <v>122</v>
      </c>
      <c r="P437" s="27" t="s">
        <v>896</v>
      </c>
      <c r="Q437" s="27" t="s">
        <v>897</v>
      </c>
      <c r="R437" s="1">
        <v>41376</v>
      </c>
      <c r="S437" s="27" t="s">
        <v>1160</v>
      </c>
      <c r="T437" s="27" t="s">
        <v>971</v>
      </c>
      <c r="U437" s="1">
        <v>56</v>
      </c>
      <c r="V437" s="27" t="s">
        <v>900</v>
      </c>
      <c r="W437" s="1">
        <v>908</v>
      </c>
      <c r="X437" s="28">
        <v>1.99</v>
      </c>
      <c r="Y437" s="29">
        <v>0.45</v>
      </c>
      <c r="Z437" s="29">
        <v>0.55000000000000004</v>
      </c>
      <c r="AA437" s="26"/>
      <c r="AB437" s="26"/>
      <c r="AC437" s="27" t="s">
        <v>901</v>
      </c>
      <c r="AD437" t="s">
        <v>356</v>
      </c>
      <c r="AE437">
        <v>4.25</v>
      </c>
      <c r="AF437" t="s">
        <v>123</v>
      </c>
      <c r="AG437" s="17" t="s">
        <v>902</v>
      </c>
      <c r="AH437" t="s">
        <v>903</v>
      </c>
      <c r="AJ437" s="15">
        <f>VLOOKUP(Tabla1[[#This Row],[CPC]],[1]Sheet3!$A:$D,4,0)</f>
        <v>0.45011081608917869</v>
      </c>
      <c r="AK437" t="s">
        <v>908</v>
      </c>
    </row>
    <row r="438" spans="1:37" ht="15" hidden="1" customHeight="1" x14ac:dyDescent="0.25">
      <c r="A438" s="1">
        <v>439</v>
      </c>
      <c r="B438" s="21">
        <v>42071</v>
      </c>
      <c r="C438" s="31"/>
      <c r="D438" s="34">
        <v>215</v>
      </c>
      <c r="E438" s="34">
        <v>73</v>
      </c>
      <c r="F438" s="34">
        <v>73</v>
      </c>
      <c r="G438" s="23" t="s">
        <v>46</v>
      </c>
      <c r="H438" s="23" t="s">
        <v>44</v>
      </c>
      <c r="I438" s="23" t="s">
        <v>894</v>
      </c>
      <c r="J438" s="23" t="s">
        <v>43</v>
      </c>
      <c r="K438" s="23" t="s">
        <v>36</v>
      </c>
      <c r="L438" s="23" t="s">
        <v>901</v>
      </c>
      <c r="M438" s="23" t="s">
        <v>905</v>
      </c>
      <c r="N438" s="23" t="s">
        <v>36</v>
      </c>
      <c r="O438" s="23" t="s">
        <v>122</v>
      </c>
      <c r="P438" s="23" t="s">
        <v>896</v>
      </c>
      <c r="Q438" s="23" t="s">
        <v>897</v>
      </c>
      <c r="R438" s="21">
        <v>41377</v>
      </c>
      <c r="S438" s="23" t="s">
        <v>1161</v>
      </c>
      <c r="T438" s="23" t="s">
        <v>971</v>
      </c>
      <c r="U438" s="21">
        <v>56</v>
      </c>
      <c r="V438" s="23" t="s">
        <v>900</v>
      </c>
      <c r="W438" s="21">
        <v>908</v>
      </c>
      <c r="X438" s="24">
        <v>1.99</v>
      </c>
      <c r="Y438" s="33">
        <v>0.5</v>
      </c>
      <c r="Z438" s="33">
        <v>0.5</v>
      </c>
      <c r="AA438" s="22"/>
      <c r="AB438" s="22"/>
      <c r="AC438" s="23" t="s">
        <v>901</v>
      </c>
      <c r="AD438" s="17" t="s">
        <v>331</v>
      </c>
      <c r="AE438" s="17">
        <v>4.25</v>
      </c>
      <c r="AF438" s="17" t="s">
        <v>43</v>
      </c>
      <c r="AG438" s="17" t="s">
        <v>1040</v>
      </c>
      <c r="AH438" t="s">
        <v>903</v>
      </c>
      <c r="AJ438" s="15">
        <f>VLOOKUP(Tabla1[[#This Row],[CPC]],[1]Sheet3!$A:$D,4,0)</f>
        <v>0.49999998804742501</v>
      </c>
      <c r="AK438" t="s">
        <v>908</v>
      </c>
    </row>
    <row r="439" spans="1:37" ht="15" hidden="1" customHeight="1" x14ac:dyDescent="0.25">
      <c r="A439" s="1">
        <v>440</v>
      </c>
      <c r="B439" s="1">
        <v>42073</v>
      </c>
      <c r="C439" s="26"/>
      <c r="D439" s="30"/>
      <c r="E439" s="30"/>
      <c r="F439" s="30"/>
      <c r="G439" s="27" t="s">
        <v>45</v>
      </c>
      <c r="H439" s="27" t="s">
        <v>44</v>
      </c>
      <c r="I439" s="27" t="s">
        <v>894</v>
      </c>
      <c r="J439" s="27" t="s">
        <v>43</v>
      </c>
      <c r="K439" s="27" t="s">
        <v>36</v>
      </c>
      <c r="L439" s="27" t="s">
        <v>901</v>
      </c>
      <c r="M439" s="27" t="s">
        <v>905</v>
      </c>
      <c r="N439" s="27" t="s">
        <v>36</v>
      </c>
      <c r="O439" s="27" t="s">
        <v>122</v>
      </c>
      <c r="P439" s="27" t="s">
        <v>896</v>
      </c>
      <c r="Q439" s="27" t="s">
        <v>897</v>
      </c>
      <c r="R439" s="1">
        <v>41378</v>
      </c>
      <c r="S439" s="27" t="s">
        <v>1161</v>
      </c>
      <c r="T439" s="27" t="s">
        <v>971</v>
      </c>
      <c r="U439" s="1">
        <v>56</v>
      </c>
      <c r="V439" s="27" t="s">
        <v>900</v>
      </c>
      <c r="W439" s="35">
        <v>908</v>
      </c>
      <c r="X439" s="28">
        <v>1.99</v>
      </c>
      <c r="Y439" s="29">
        <v>0.4</v>
      </c>
      <c r="Z439" s="29">
        <v>0.6</v>
      </c>
      <c r="AA439" s="26"/>
      <c r="AB439" s="26"/>
      <c r="AC439" s="27" t="s">
        <v>901</v>
      </c>
      <c r="AD439" t="s">
        <v>331</v>
      </c>
      <c r="AE439">
        <v>4.25</v>
      </c>
      <c r="AF439" t="s">
        <v>43</v>
      </c>
      <c r="AG439" s="17" t="s">
        <v>1040</v>
      </c>
      <c r="AH439" t="s">
        <v>903</v>
      </c>
      <c r="AJ439" s="15">
        <f>VLOOKUP(Tabla1[[#This Row],[CPC]],[1]Sheet3!$A:$D,4,0)</f>
        <v>0.40021637934716037</v>
      </c>
      <c r="AK439" t="s">
        <v>908</v>
      </c>
    </row>
    <row r="440" spans="1:37" ht="15" hidden="1" customHeight="1" x14ac:dyDescent="0.25">
      <c r="A440" s="8">
        <v>441</v>
      </c>
      <c r="B440" s="21">
        <v>42076</v>
      </c>
      <c r="C440" s="22"/>
      <c r="D440" s="21">
        <v>348</v>
      </c>
      <c r="E440" s="21">
        <v>34801</v>
      </c>
      <c r="F440" s="21">
        <v>34801</v>
      </c>
      <c r="G440" s="23" t="s">
        <v>202</v>
      </c>
      <c r="H440" s="23" t="s">
        <v>200</v>
      </c>
      <c r="I440" s="23" t="s">
        <v>894</v>
      </c>
      <c r="J440" s="23" t="s">
        <v>123</v>
      </c>
      <c r="K440" s="23" t="s">
        <v>123</v>
      </c>
      <c r="L440" s="23" t="s">
        <v>901</v>
      </c>
      <c r="M440" s="23" t="s">
        <v>123</v>
      </c>
      <c r="N440" s="23" t="s">
        <v>901</v>
      </c>
      <c r="O440" s="23" t="s">
        <v>122</v>
      </c>
      <c r="P440" s="23" t="s">
        <v>896</v>
      </c>
      <c r="Q440" s="23" t="s">
        <v>897</v>
      </c>
      <c r="R440" s="21">
        <v>41380</v>
      </c>
      <c r="S440" s="23" t="s">
        <v>1162</v>
      </c>
      <c r="T440" s="23" t="s">
        <v>1120</v>
      </c>
      <c r="U440" s="21">
        <v>128</v>
      </c>
      <c r="V440" s="23" t="s">
        <v>900</v>
      </c>
      <c r="W440" s="34">
        <v>908</v>
      </c>
      <c r="X440" s="24">
        <v>1.64</v>
      </c>
      <c r="Y440" s="25">
        <v>0.45</v>
      </c>
      <c r="Z440" s="25">
        <v>0.55000000000000004</v>
      </c>
      <c r="AA440" s="22"/>
      <c r="AB440" s="22"/>
      <c r="AC440" s="23" t="s">
        <v>901</v>
      </c>
      <c r="AD440" s="17" t="s">
        <v>357</v>
      </c>
      <c r="AE440" s="17">
        <v>4.25</v>
      </c>
      <c r="AF440" s="17" t="s">
        <v>123</v>
      </c>
      <c r="AG440" s="17" t="s">
        <v>902</v>
      </c>
      <c r="AH440" t="s">
        <v>903</v>
      </c>
      <c r="AJ440" s="15">
        <f>VLOOKUP(Tabla1[[#This Row],[CPC]],[1]Sheet3!$A:$D,4,0)</f>
        <v>0.4499994526426418</v>
      </c>
      <c r="AK440" t="s">
        <v>908</v>
      </c>
    </row>
    <row r="441" spans="1:37" ht="15" hidden="1" customHeight="1" x14ac:dyDescent="0.25">
      <c r="A441" s="1">
        <v>442</v>
      </c>
      <c r="B441" s="1">
        <v>42078</v>
      </c>
      <c r="C441" s="26"/>
      <c r="D441" s="30"/>
      <c r="E441" s="30"/>
      <c r="F441" s="30"/>
      <c r="G441" s="27" t="s">
        <v>201</v>
      </c>
      <c r="H441" s="27" t="s">
        <v>200</v>
      </c>
      <c r="I441" s="27" t="s">
        <v>894</v>
      </c>
      <c r="J441" s="27" t="s">
        <v>123</v>
      </c>
      <c r="K441" s="27" t="s">
        <v>123</v>
      </c>
      <c r="L441" s="27" t="s">
        <v>901</v>
      </c>
      <c r="M441" s="27" t="s">
        <v>123</v>
      </c>
      <c r="N441" s="27" t="s">
        <v>901</v>
      </c>
      <c r="O441" s="27" t="s">
        <v>122</v>
      </c>
      <c r="P441" s="27" t="s">
        <v>896</v>
      </c>
      <c r="Q441" s="27" t="s">
        <v>897</v>
      </c>
      <c r="R441" s="1">
        <v>41381</v>
      </c>
      <c r="S441" s="27" t="s">
        <v>1162</v>
      </c>
      <c r="T441" s="27" t="s">
        <v>1120</v>
      </c>
      <c r="U441" s="1">
        <v>128</v>
      </c>
      <c r="V441" s="27" t="s">
        <v>900</v>
      </c>
      <c r="W441" s="35">
        <v>908</v>
      </c>
      <c r="X441" s="28">
        <v>1.64</v>
      </c>
      <c r="Y441" s="29">
        <v>0.35</v>
      </c>
      <c r="Z441" s="29">
        <v>0.65</v>
      </c>
      <c r="AA441" s="26"/>
      <c r="AB441" s="26"/>
      <c r="AC441" s="27" t="s">
        <v>901</v>
      </c>
      <c r="AD441" t="s">
        <v>357</v>
      </c>
      <c r="AE441">
        <v>4.25</v>
      </c>
      <c r="AF441" t="s">
        <v>123</v>
      </c>
      <c r="AG441" s="17" t="s">
        <v>902</v>
      </c>
      <c r="AH441" t="s">
        <v>903</v>
      </c>
      <c r="AJ441" s="15">
        <f>VLOOKUP(Tabla1[[#This Row],[CPC]],[1]Sheet3!$A:$D,4,0)</f>
        <v>0.34928345046162346</v>
      </c>
      <c r="AK441" t="s">
        <v>908</v>
      </c>
    </row>
    <row r="442" spans="1:37" ht="15" hidden="1" customHeight="1" x14ac:dyDescent="0.25">
      <c r="A442" s="1">
        <v>443</v>
      </c>
      <c r="B442" s="18">
        <v>42332</v>
      </c>
      <c r="C442" s="17"/>
      <c r="D442" s="18"/>
      <c r="E442" s="18"/>
      <c r="F442" s="18"/>
      <c r="G442" s="18" t="s">
        <v>35</v>
      </c>
      <c r="H442" s="18" t="s">
        <v>35</v>
      </c>
      <c r="I442" s="23" t="s">
        <v>894</v>
      </c>
      <c r="J442" s="18" t="s">
        <v>12</v>
      </c>
      <c r="K442" s="23" t="s">
        <v>5</v>
      </c>
      <c r="L442" s="18"/>
      <c r="M442" s="23" t="s">
        <v>905</v>
      </c>
      <c r="N442" s="18"/>
      <c r="O442" s="18" t="s">
        <v>35</v>
      </c>
      <c r="P442" s="23" t="s">
        <v>909</v>
      </c>
      <c r="Q442" s="23" t="s">
        <v>897</v>
      </c>
      <c r="R442" s="18"/>
      <c r="S442" s="18" t="s">
        <v>1163</v>
      </c>
      <c r="T442" s="18"/>
      <c r="U442" s="18"/>
      <c r="V442" s="18" t="s">
        <v>900</v>
      </c>
      <c r="W442" s="17"/>
      <c r="X442" s="18"/>
      <c r="Y442" s="18"/>
      <c r="Z442" s="18"/>
      <c r="AA442" s="17"/>
      <c r="AB442" s="17"/>
      <c r="AC442" s="18"/>
      <c r="AD442" s="17" t="s">
        <v>312</v>
      </c>
      <c r="AE442" s="17">
        <v>4.25</v>
      </c>
      <c r="AF442" s="17" t="s">
        <v>862</v>
      </c>
      <c r="AG442" s="17"/>
      <c r="AH442" t="s">
        <v>903</v>
      </c>
      <c r="AJ442" s="15"/>
      <c r="AK442" t="s">
        <v>908</v>
      </c>
    </row>
    <row r="443" spans="1:37" ht="15" hidden="1" customHeight="1" x14ac:dyDescent="0.25">
      <c r="A443" s="8">
        <v>444</v>
      </c>
      <c r="B443" s="8">
        <v>42334</v>
      </c>
      <c r="G443" s="8" t="s">
        <v>35</v>
      </c>
      <c r="H443" s="8" t="s">
        <v>35</v>
      </c>
      <c r="I443" s="27" t="s">
        <v>894</v>
      </c>
      <c r="J443" s="8" t="s">
        <v>12</v>
      </c>
      <c r="K443" s="27" t="s">
        <v>5</v>
      </c>
      <c r="L443" s="8"/>
      <c r="M443" s="27" t="s">
        <v>905</v>
      </c>
      <c r="N443" s="8"/>
      <c r="O443" s="8" t="s">
        <v>35</v>
      </c>
      <c r="P443" s="27" t="s">
        <v>909</v>
      </c>
      <c r="Q443" s="27" t="s">
        <v>897</v>
      </c>
      <c r="R443" s="8"/>
      <c r="S443" s="8" t="s">
        <v>1163</v>
      </c>
      <c r="T443" s="8"/>
      <c r="U443" s="8"/>
      <c r="V443" s="8" t="s">
        <v>900</v>
      </c>
      <c r="X443" s="8"/>
      <c r="AA443"/>
      <c r="AB443"/>
      <c r="AC443" s="8"/>
      <c r="AD443" t="s">
        <v>312</v>
      </c>
      <c r="AE443">
        <v>4.25</v>
      </c>
      <c r="AF443" t="s">
        <v>862</v>
      </c>
      <c r="AH443" t="s">
        <v>903</v>
      </c>
      <c r="AJ443" s="15"/>
      <c r="AK443" t="s">
        <v>908</v>
      </c>
    </row>
    <row r="444" spans="1:37" ht="15" hidden="1" customHeight="1" x14ac:dyDescent="0.25">
      <c r="A444" s="1">
        <v>445</v>
      </c>
      <c r="B444" s="21">
        <v>42339</v>
      </c>
      <c r="C444" s="22"/>
      <c r="D444" s="21">
        <v>295</v>
      </c>
      <c r="E444" s="21">
        <v>29501</v>
      </c>
      <c r="F444" s="21">
        <v>29501</v>
      </c>
      <c r="G444" s="23" t="s">
        <v>274</v>
      </c>
      <c r="H444" s="23" t="s">
        <v>274</v>
      </c>
      <c r="I444" s="23" t="s">
        <v>894</v>
      </c>
      <c r="J444" s="23" t="s">
        <v>12</v>
      </c>
      <c r="K444" s="23" t="s">
        <v>257</v>
      </c>
      <c r="L444" s="23" t="s">
        <v>901</v>
      </c>
      <c r="M444" s="23" t="s">
        <v>905</v>
      </c>
      <c r="N444" s="23" t="s">
        <v>257</v>
      </c>
      <c r="O444" s="23" t="s">
        <v>122</v>
      </c>
      <c r="P444" s="23" t="s">
        <v>896</v>
      </c>
      <c r="Q444" s="23" t="s">
        <v>897</v>
      </c>
      <c r="R444" s="21">
        <v>41493</v>
      </c>
      <c r="S444" s="23" t="s">
        <v>274</v>
      </c>
      <c r="T444" s="23" t="s">
        <v>1143</v>
      </c>
      <c r="U444" s="21">
        <v>136</v>
      </c>
      <c r="V444" s="23" t="s">
        <v>900</v>
      </c>
      <c r="W444" s="34">
        <v>908</v>
      </c>
      <c r="X444" s="24">
        <v>2.06</v>
      </c>
      <c r="Y444" s="25">
        <v>0.5</v>
      </c>
      <c r="Z444" s="25">
        <v>0.5</v>
      </c>
      <c r="AA444" s="22"/>
      <c r="AB444" s="22"/>
      <c r="AC444" s="23" t="s">
        <v>901</v>
      </c>
      <c r="AD444" s="17" t="s">
        <v>447</v>
      </c>
      <c r="AE444" s="17">
        <v>4.25</v>
      </c>
      <c r="AF444" s="17" t="s">
        <v>862</v>
      </c>
      <c r="AG444" s="17" t="s">
        <v>1040</v>
      </c>
      <c r="AH444" t="s">
        <v>903</v>
      </c>
      <c r="AJ444" s="15">
        <f>VLOOKUP(Tabla1[[#This Row],[CPC]],[1]Sheet3!$A:$D,4,0)</f>
        <v>0.5</v>
      </c>
      <c r="AK444" t="s">
        <v>908</v>
      </c>
    </row>
    <row r="445" spans="1:37" ht="15" hidden="1" customHeight="1" x14ac:dyDescent="0.25">
      <c r="A445" s="1">
        <v>446</v>
      </c>
      <c r="B445" s="1">
        <v>42341</v>
      </c>
      <c r="C445" s="26"/>
      <c r="D445" s="26"/>
      <c r="E445" s="26"/>
      <c r="F445" s="26"/>
      <c r="G445" s="27" t="s">
        <v>275</v>
      </c>
      <c r="H445" s="27" t="s">
        <v>274</v>
      </c>
      <c r="I445" s="27" t="s">
        <v>894</v>
      </c>
      <c r="J445" s="27" t="s">
        <v>12</v>
      </c>
      <c r="K445" s="27" t="s">
        <v>257</v>
      </c>
      <c r="L445" s="27" t="s">
        <v>901</v>
      </c>
      <c r="M445" s="27" t="s">
        <v>905</v>
      </c>
      <c r="N445" s="27" t="s">
        <v>257</v>
      </c>
      <c r="O445" s="27" t="s">
        <v>122</v>
      </c>
      <c r="P445" s="27" t="s">
        <v>896</v>
      </c>
      <c r="Q445" s="27" t="s">
        <v>897</v>
      </c>
      <c r="R445" s="1">
        <v>41494</v>
      </c>
      <c r="S445" s="27" t="s">
        <v>274</v>
      </c>
      <c r="T445" s="27" t="s">
        <v>1143</v>
      </c>
      <c r="U445" s="1">
        <v>136</v>
      </c>
      <c r="V445" s="27" t="s">
        <v>900</v>
      </c>
      <c r="W445" s="35">
        <v>908</v>
      </c>
      <c r="X445" s="28">
        <v>2.06</v>
      </c>
      <c r="Y445" s="32">
        <v>0.4</v>
      </c>
      <c r="Z445" s="32">
        <v>0.6</v>
      </c>
      <c r="AA445" s="26"/>
      <c r="AB445" s="26"/>
      <c r="AC445" s="27" t="s">
        <v>901</v>
      </c>
      <c r="AD445" t="s">
        <v>447</v>
      </c>
      <c r="AE445">
        <v>4.25</v>
      </c>
      <c r="AF445" t="s">
        <v>862</v>
      </c>
      <c r="AG445" s="17" t="s">
        <v>1040</v>
      </c>
      <c r="AH445" t="s">
        <v>903</v>
      </c>
      <c r="AJ445" s="15">
        <f>VLOOKUP(Tabla1[[#This Row],[CPC]],[1]Sheet3!$A:$D,4,0)</f>
        <v>0.3987459546925558</v>
      </c>
      <c r="AK445" t="s">
        <v>908</v>
      </c>
    </row>
    <row r="446" spans="1:37" ht="15" hidden="1" customHeight="1" x14ac:dyDescent="0.25">
      <c r="A446" s="8">
        <v>447</v>
      </c>
      <c r="B446" s="18">
        <v>42371</v>
      </c>
      <c r="C446" s="17"/>
      <c r="D446" s="18"/>
      <c r="E446" s="18"/>
      <c r="F446" s="18"/>
      <c r="G446" s="18" t="s">
        <v>86</v>
      </c>
      <c r="H446" s="18" t="s">
        <v>86</v>
      </c>
      <c r="I446" s="23" t="s">
        <v>894</v>
      </c>
      <c r="J446" s="18" t="s">
        <v>6</v>
      </c>
      <c r="K446" s="23" t="s">
        <v>36</v>
      </c>
      <c r="L446" s="18"/>
      <c r="M446" s="23" t="s">
        <v>905</v>
      </c>
      <c r="N446" s="18"/>
      <c r="O446" s="18" t="s">
        <v>86</v>
      </c>
      <c r="P446" s="23" t="s">
        <v>909</v>
      </c>
      <c r="Q446" s="23" t="s">
        <v>897</v>
      </c>
      <c r="R446" s="18"/>
      <c r="S446" s="18" t="s">
        <v>1164</v>
      </c>
      <c r="T446" s="18"/>
      <c r="U446" s="18"/>
      <c r="V446" s="18" t="s">
        <v>900</v>
      </c>
      <c r="W446" s="17"/>
      <c r="X446" s="18"/>
      <c r="Y446" s="18"/>
      <c r="Z446" s="18"/>
      <c r="AA446" s="17"/>
      <c r="AB446" s="17"/>
      <c r="AC446" s="18"/>
      <c r="AD446" s="17" t="s">
        <v>342</v>
      </c>
      <c r="AE446" s="17">
        <v>4.25</v>
      </c>
      <c r="AF446" s="17" t="s">
        <v>6</v>
      </c>
      <c r="AG446" s="17"/>
      <c r="AH446" t="s">
        <v>903</v>
      </c>
      <c r="AI446" t="s">
        <v>1076</v>
      </c>
      <c r="AJ446" s="15"/>
      <c r="AK446" t="s">
        <v>908</v>
      </c>
    </row>
    <row r="447" spans="1:37" ht="15" hidden="1" customHeight="1" x14ac:dyDescent="0.25">
      <c r="A447" s="1">
        <v>448</v>
      </c>
      <c r="B447" s="1">
        <v>42389</v>
      </c>
      <c r="C447" s="26"/>
      <c r="D447" s="1">
        <v>350</v>
      </c>
      <c r="E447" s="1">
        <v>35001</v>
      </c>
      <c r="F447" s="1">
        <v>35001</v>
      </c>
      <c r="G447" s="27" t="s">
        <v>273</v>
      </c>
      <c r="H447" s="27" t="s">
        <v>270</v>
      </c>
      <c r="I447" s="27" t="s">
        <v>894</v>
      </c>
      <c r="J447" s="27" t="s">
        <v>12</v>
      </c>
      <c r="K447" s="27" t="s">
        <v>257</v>
      </c>
      <c r="L447" s="27" t="s">
        <v>901</v>
      </c>
      <c r="M447" s="27" t="s">
        <v>905</v>
      </c>
      <c r="N447" s="27" t="s">
        <v>257</v>
      </c>
      <c r="O447" s="27" t="s">
        <v>122</v>
      </c>
      <c r="P447" s="27" t="s">
        <v>896</v>
      </c>
      <c r="Q447" s="27" t="s">
        <v>897</v>
      </c>
      <c r="R447" s="1">
        <v>41536</v>
      </c>
      <c r="S447" s="27" t="s">
        <v>1142</v>
      </c>
      <c r="T447" s="27" t="s">
        <v>1118</v>
      </c>
      <c r="U447" s="1">
        <v>135</v>
      </c>
      <c r="V447" s="27" t="s">
        <v>900</v>
      </c>
      <c r="W447" s="35">
        <v>908</v>
      </c>
      <c r="X447" s="28">
        <v>1.23</v>
      </c>
      <c r="Y447" s="29">
        <v>0.5</v>
      </c>
      <c r="Z447" s="29">
        <v>0.5</v>
      </c>
      <c r="AA447" s="26"/>
      <c r="AB447" s="26"/>
      <c r="AC447" s="27" t="s">
        <v>901</v>
      </c>
      <c r="AD447" t="s">
        <v>432</v>
      </c>
      <c r="AE447">
        <v>4.25</v>
      </c>
      <c r="AF447" t="s">
        <v>862</v>
      </c>
      <c r="AG447" t="s">
        <v>1040</v>
      </c>
      <c r="AH447" t="s">
        <v>903</v>
      </c>
      <c r="AJ447" s="15"/>
      <c r="AK447" t="s">
        <v>908</v>
      </c>
    </row>
    <row r="448" spans="1:37" ht="15" hidden="1" customHeight="1" x14ac:dyDescent="0.25">
      <c r="A448" s="1">
        <v>449</v>
      </c>
      <c r="B448" s="21">
        <v>42390</v>
      </c>
      <c r="C448" s="34">
        <v>42389</v>
      </c>
      <c r="D448" s="31"/>
      <c r="E448" s="31"/>
      <c r="F448" s="31"/>
      <c r="G448" s="23" t="s">
        <v>431</v>
      </c>
      <c r="H448" s="23" t="s">
        <v>270</v>
      </c>
      <c r="I448" s="23" t="s">
        <v>894</v>
      </c>
      <c r="J448" s="23" t="s">
        <v>257</v>
      </c>
      <c r="K448" s="23" t="s">
        <v>257</v>
      </c>
      <c r="L448" s="23" t="s">
        <v>901</v>
      </c>
      <c r="M448" s="23" t="s">
        <v>905</v>
      </c>
      <c r="N448" s="23" t="s">
        <v>257</v>
      </c>
      <c r="O448" s="23" t="s">
        <v>122</v>
      </c>
      <c r="P448" s="23" t="s">
        <v>896</v>
      </c>
      <c r="Q448" s="23" t="s">
        <v>897</v>
      </c>
      <c r="R448" s="21">
        <v>41536</v>
      </c>
      <c r="S448" s="23" t="s">
        <v>1142</v>
      </c>
      <c r="T448" s="23" t="s">
        <v>1090</v>
      </c>
      <c r="U448" s="21">
        <v>0</v>
      </c>
      <c r="V448" s="23" t="s">
        <v>900</v>
      </c>
      <c r="W448" s="34">
        <v>641</v>
      </c>
      <c r="X448" s="24">
        <v>0</v>
      </c>
      <c r="Y448" s="31"/>
      <c r="Z448" s="31"/>
      <c r="AA448" s="22"/>
      <c r="AB448" s="22"/>
      <c r="AC448" s="23" t="s">
        <v>901</v>
      </c>
      <c r="AD448" s="17" t="s">
        <v>432</v>
      </c>
      <c r="AE448" s="17">
        <v>4.25</v>
      </c>
      <c r="AF448" s="17" t="s">
        <v>862</v>
      </c>
      <c r="AG448" s="17"/>
      <c r="AH448" t="s">
        <v>903</v>
      </c>
      <c r="AJ448" s="15"/>
      <c r="AK448" t="s">
        <v>908</v>
      </c>
    </row>
    <row r="449" spans="1:37" ht="15" hidden="1" customHeight="1" x14ac:dyDescent="0.25">
      <c r="A449" s="8">
        <v>450</v>
      </c>
      <c r="B449" s="1">
        <v>42489</v>
      </c>
      <c r="C449" s="26"/>
      <c r="D449" s="1">
        <v>513</v>
      </c>
      <c r="E449" s="1">
        <v>51301</v>
      </c>
      <c r="F449" s="1">
        <v>51301</v>
      </c>
      <c r="G449" s="27" t="s">
        <v>512</v>
      </c>
      <c r="H449" s="27" t="s">
        <v>61</v>
      </c>
      <c r="I449" s="27" t="s">
        <v>894</v>
      </c>
      <c r="J449" s="27" t="s">
        <v>279</v>
      </c>
      <c r="K449" s="27" t="s">
        <v>279</v>
      </c>
      <c r="L449" s="27" t="s">
        <v>895</v>
      </c>
      <c r="M449" s="27" t="s">
        <v>279</v>
      </c>
      <c r="N449" s="27" t="s">
        <v>895</v>
      </c>
      <c r="O449" s="27" t="s">
        <v>325</v>
      </c>
      <c r="P449" s="27" t="s">
        <v>896</v>
      </c>
      <c r="Q449" s="27" t="s">
        <v>897</v>
      </c>
      <c r="R449" s="1">
        <v>41556</v>
      </c>
      <c r="S449" s="27" t="s">
        <v>1002</v>
      </c>
      <c r="T449" s="27" t="s">
        <v>899</v>
      </c>
      <c r="U449" s="1">
        <v>58</v>
      </c>
      <c r="V449" s="27" t="s">
        <v>900</v>
      </c>
      <c r="W449" s="26"/>
      <c r="X449" s="28">
        <v>2.99</v>
      </c>
      <c r="Y449" s="29">
        <v>0.25</v>
      </c>
      <c r="Z449" s="29">
        <v>0.75</v>
      </c>
      <c r="AA449" s="26"/>
      <c r="AB449" s="26"/>
      <c r="AC449" s="27" t="s">
        <v>901</v>
      </c>
      <c r="AD449" t="s">
        <v>513</v>
      </c>
      <c r="AE449">
        <v>4.25</v>
      </c>
      <c r="AF449" t="s">
        <v>279</v>
      </c>
      <c r="AG449" t="s">
        <v>902</v>
      </c>
      <c r="AH449" t="s">
        <v>903</v>
      </c>
      <c r="AJ449" s="15"/>
      <c r="AK449" t="s">
        <v>904</v>
      </c>
    </row>
    <row r="450" spans="1:37" ht="15" hidden="1" customHeight="1" x14ac:dyDescent="0.25">
      <c r="A450" s="1">
        <v>451</v>
      </c>
      <c r="B450" s="21">
        <v>42529</v>
      </c>
      <c r="C450" s="22"/>
      <c r="D450" s="21">
        <v>627</v>
      </c>
      <c r="E450" s="21">
        <v>62701</v>
      </c>
      <c r="F450" s="21">
        <v>62701</v>
      </c>
      <c r="G450" s="23" t="s">
        <v>570</v>
      </c>
      <c r="H450" s="23" t="s">
        <v>61</v>
      </c>
      <c r="I450" s="23" t="s">
        <v>894</v>
      </c>
      <c r="J450" s="23" t="s">
        <v>279</v>
      </c>
      <c r="K450" s="23" t="s">
        <v>279</v>
      </c>
      <c r="L450" s="23" t="s">
        <v>895</v>
      </c>
      <c r="M450" s="23" t="s">
        <v>279</v>
      </c>
      <c r="N450" s="23" t="s">
        <v>895</v>
      </c>
      <c r="O450" s="23" t="s">
        <v>290</v>
      </c>
      <c r="P450" s="23" t="s">
        <v>896</v>
      </c>
      <c r="Q450" s="23" t="s">
        <v>897</v>
      </c>
      <c r="R450" s="21">
        <v>41576</v>
      </c>
      <c r="S450" s="23" t="s">
        <v>1165</v>
      </c>
      <c r="T450" s="23" t="s">
        <v>899</v>
      </c>
      <c r="U450" s="21">
        <v>58</v>
      </c>
      <c r="V450" s="23" t="s">
        <v>900</v>
      </c>
      <c r="W450" s="22"/>
      <c r="X450" s="24">
        <v>2.99</v>
      </c>
      <c r="Y450" s="25">
        <v>0.3</v>
      </c>
      <c r="Z450" s="25">
        <v>0.7</v>
      </c>
      <c r="AA450" s="22"/>
      <c r="AB450" s="22"/>
      <c r="AC450" s="23" t="s">
        <v>901</v>
      </c>
      <c r="AD450" s="17" t="s">
        <v>571</v>
      </c>
      <c r="AE450" s="17">
        <v>4.25</v>
      </c>
      <c r="AF450" s="17" t="s">
        <v>279</v>
      </c>
      <c r="AG450" s="17"/>
      <c r="AH450" t="s">
        <v>903</v>
      </c>
      <c r="AJ450" s="15"/>
      <c r="AK450" t="s">
        <v>904</v>
      </c>
    </row>
    <row r="451" spans="1:37" ht="15" hidden="1" customHeight="1" x14ac:dyDescent="0.25">
      <c r="A451" s="1">
        <v>452</v>
      </c>
      <c r="B451" s="1">
        <v>42609</v>
      </c>
      <c r="C451" s="26"/>
      <c r="D451" s="35">
        <v>628</v>
      </c>
      <c r="E451" s="35">
        <v>62801</v>
      </c>
      <c r="F451" s="35">
        <v>62801</v>
      </c>
      <c r="G451" s="27" t="s">
        <v>53</v>
      </c>
      <c r="H451" s="27" t="s">
        <v>51</v>
      </c>
      <c r="I451" s="27" t="s">
        <v>894</v>
      </c>
      <c r="J451" s="27" t="s">
        <v>50</v>
      </c>
      <c r="K451" s="27" t="s">
        <v>36</v>
      </c>
      <c r="L451" s="27" t="s">
        <v>901</v>
      </c>
      <c r="M451" s="27" t="s">
        <v>905</v>
      </c>
      <c r="N451" s="27" t="s">
        <v>36</v>
      </c>
      <c r="O451" s="27" t="s">
        <v>86</v>
      </c>
      <c r="P451" s="27" t="s">
        <v>896</v>
      </c>
      <c r="Q451" s="27" t="s">
        <v>897</v>
      </c>
      <c r="R451" s="1">
        <v>41616</v>
      </c>
      <c r="S451" s="27" t="s">
        <v>1166</v>
      </c>
      <c r="T451" s="27" t="s">
        <v>1120</v>
      </c>
      <c r="U451" s="1">
        <v>128</v>
      </c>
      <c r="V451" s="27" t="s">
        <v>900</v>
      </c>
      <c r="W451" s="26"/>
      <c r="X451" s="28">
        <v>1.64</v>
      </c>
      <c r="Y451" s="29">
        <v>0.5</v>
      </c>
      <c r="Z451" s="29">
        <v>0.5</v>
      </c>
      <c r="AA451" s="26"/>
      <c r="AB451" s="26"/>
      <c r="AC451" s="27" t="s">
        <v>901</v>
      </c>
      <c r="AD451" t="s">
        <v>333</v>
      </c>
      <c r="AE451">
        <v>4.25</v>
      </c>
      <c r="AF451" t="s">
        <v>861</v>
      </c>
      <c r="AG451" t="s">
        <v>1075</v>
      </c>
      <c r="AH451" t="s">
        <v>903</v>
      </c>
      <c r="AI451" t="s">
        <v>1076</v>
      </c>
      <c r="AJ451" s="15"/>
      <c r="AK451" t="s">
        <v>908</v>
      </c>
    </row>
    <row r="452" spans="1:37" ht="15" hidden="1" customHeight="1" x14ac:dyDescent="0.25">
      <c r="A452" s="8">
        <v>453</v>
      </c>
      <c r="B452" s="21">
        <v>42689</v>
      </c>
      <c r="C452" s="22"/>
      <c r="D452" s="21">
        <v>515</v>
      </c>
      <c r="E452" s="21">
        <v>51501</v>
      </c>
      <c r="F452" s="21">
        <v>51501</v>
      </c>
      <c r="G452" s="23" t="s">
        <v>263</v>
      </c>
      <c r="H452" s="23" t="s">
        <v>262</v>
      </c>
      <c r="I452" s="23" t="s">
        <v>894</v>
      </c>
      <c r="J452" s="23" t="s">
        <v>12</v>
      </c>
      <c r="K452" s="23" t="s">
        <v>257</v>
      </c>
      <c r="L452" s="23" t="s">
        <v>901</v>
      </c>
      <c r="M452" s="23" t="s">
        <v>905</v>
      </c>
      <c r="N452" s="23" t="s">
        <v>257</v>
      </c>
      <c r="O452" s="23" t="s">
        <v>325</v>
      </c>
      <c r="P452" s="23" t="s">
        <v>896</v>
      </c>
      <c r="Q452" s="23" t="s">
        <v>897</v>
      </c>
      <c r="R452" s="21">
        <v>41636</v>
      </c>
      <c r="S452" s="23" t="s">
        <v>262</v>
      </c>
      <c r="T452" s="23" t="s">
        <v>1143</v>
      </c>
      <c r="U452" s="21">
        <v>136</v>
      </c>
      <c r="V452" s="23" t="s">
        <v>900</v>
      </c>
      <c r="W452" s="22"/>
      <c r="X452" s="24">
        <v>2.06</v>
      </c>
      <c r="Y452" s="25">
        <v>0.5</v>
      </c>
      <c r="Z452" s="25">
        <v>0.5</v>
      </c>
      <c r="AA452" s="22"/>
      <c r="AB452" s="22"/>
      <c r="AC452" s="23" t="s">
        <v>901</v>
      </c>
      <c r="AD452" s="17" t="s">
        <v>448</v>
      </c>
      <c r="AE452" s="17">
        <v>4.25</v>
      </c>
      <c r="AF452" s="17" t="s">
        <v>862</v>
      </c>
      <c r="AG452" s="17" t="s">
        <v>1040</v>
      </c>
      <c r="AH452" t="s">
        <v>903</v>
      </c>
      <c r="AJ452" s="15">
        <f>VLOOKUP(Tabla1[[#This Row],[CPC]],[1]Sheet3!$A:$D,4,0)</f>
        <v>0.5</v>
      </c>
      <c r="AK452" t="s">
        <v>908</v>
      </c>
    </row>
    <row r="453" spans="1:37" ht="15" hidden="1" customHeight="1" x14ac:dyDescent="0.25">
      <c r="A453" s="1">
        <v>454</v>
      </c>
      <c r="B453" s="1">
        <v>42691</v>
      </c>
      <c r="C453" s="26"/>
      <c r="D453" s="26"/>
      <c r="E453" s="26"/>
      <c r="F453" s="26"/>
      <c r="G453" s="27" t="s">
        <v>265</v>
      </c>
      <c r="H453" s="27" t="s">
        <v>262</v>
      </c>
      <c r="I453" s="27" t="s">
        <v>894</v>
      </c>
      <c r="J453" s="27" t="s">
        <v>12</v>
      </c>
      <c r="K453" s="27" t="s">
        <v>257</v>
      </c>
      <c r="L453" s="27" t="s">
        <v>901</v>
      </c>
      <c r="M453" s="27" t="s">
        <v>905</v>
      </c>
      <c r="N453" s="27" t="s">
        <v>257</v>
      </c>
      <c r="O453" s="27" t="s">
        <v>325</v>
      </c>
      <c r="P453" s="27" t="s">
        <v>909</v>
      </c>
      <c r="Q453" s="27" t="s">
        <v>897</v>
      </c>
      <c r="R453" s="1">
        <v>41637</v>
      </c>
      <c r="S453" s="27" t="s">
        <v>262</v>
      </c>
      <c r="T453" s="27" t="s">
        <v>1090</v>
      </c>
      <c r="U453" s="1">
        <v>0</v>
      </c>
      <c r="V453" s="27" t="s">
        <v>900</v>
      </c>
      <c r="W453" s="26"/>
      <c r="X453" s="28">
        <v>0</v>
      </c>
      <c r="Y453" s="30"/>
      <c r="Z453" s="30"/>
      <c r="AA453" s="26"/>
      <c r="AB453" s="26"/>
      <c r="AC453" s="27" t="s">
        <v>901</v>
      </c>
      <c r="AD453" t="s">
        <v>448</v>
      </c>
      <c r="AE453">
        <v>4.25</v>
      </c>
      <c r="AF453" t="s">
        <v>862</v>
      </c>
      <c r="AH453" t="s">
        <v>903</v>
      </c>
      <c r="AJ453" s="15"/>
      <c r="AK453" t="s">
        <v>908</v>
      </c>
    </row>
    <row r="454" spans="1:37" ht="15" hidden="1" customHeight="1" x14ac:dyDescent="0.25">
      <c r="A454" s="1">
        <v>455</v>
      </c>
      <c r="B454" s="21">
        <v>42709</v>
      </c>
      <c r="C454" s="22"/>
      <c r="D454" s="21">
        <v>514</v>
      </c>
      <c r="E454" s="21">
        <v>51401</v>
      </c>
      <c r="F454" s="21">
        <v>51401</v>
      </c>
      <c r="G454" s="23" t="s">
        <v>264</v>
      </c>
      <c r="H454" s="23" t="s">
        <v>262</v>
      </c>
      <c r="I454" s="23" t="s">
        <v>894</v>
      </c>
      <c r="J454" s="23" t="s">
        <v>12</v>
      </c>
      <c r="K454" s="23" t="s">
        <v>257</v>
      </c>
      <c r="L454" s="23" t="s">
        <v>901</v>
      </c>
      <c r="M454" s="23" t="s">
        <v>905</v>
      </c>
      <c r="N454" s="23" t="s">
        <v>257</v>
      </c>
      <c r="O454" s="23" t="s">
        <v>325</v>
      </c>
      <c r="P454" s="23" t="s">
        <v>896</v>
      </c>
      <c r="Q454" s="23" t="s">
        <v>897</v>
      </c>
      <c r="R454" s="21">
        <v>41656</v>
      </c>
      <c r="S454" s="23" t="s">
        <v>262</v>
      </c>
      <c r="T454" s="23" t="s">
        <v>1143</v>
      </c>
      <c r="U454" s="21">
        <v>136</v>
      </c>
      <c r="V454" s="23" t="s">
        <v>900</v>
      </c>
      <c r="W454" s="22"/>
      <c r="X454" s="24">
        <v>2.06</v>
      </c>
      <c r="Y454" s="25">
        <v>0.4</v>
      </c>
      <c r="Z454" s="25">
        <v>0.6</v>
      </c>
      <c r="AA454" s="22"/>
      <c r="AB454" s="22"/>
      <c r="AC454" s="23" t="s">
        <v>901</v>
      </c>
      <c r="AD454" s="17" t="s">
        <v>448</v>
      </c>
      <c r="AE454" s="17">
        <v>4.25</v>
      </c>
      <c r="AF454" s="17" t="s">
        <v>862</v>
      </c>
      <c r="AG454" s="17" t="s">
        <v>1040</v>
      </c>
      <c r="AH454" t="s">
        <v>903</v>
      </c>
      <c r="AJ454" s="15">
        <f>VLOOKUP(Tabla1[[#This Row],[CPC]],[1]Sheet3!$A:$D,4,0)</f>
        <v>0.39993119792064846</v>
      </c>
      <c r="AK454" t="s">
        <v>908</v>
      </c>
    </row>
    <row r="455" spans="1:37" ht="15" hidden="1" customHeight="1" x14ac:dyDescent="0.25">
      <c r="A455" s="8">
        <v>456</v>
      </c>
      <c r="B455" s="1">
        <v>42712</v>
      </c>
      <c r="C455" s="30"/>
      <c r="D455" s="30"/>
      <c r="E455" s="30"/>
      <c r="F455" s="30"/>
      <c r="G455" s="27" t="s">
        <v>266</v>
      </c>
      <c r="H455" s="27" t="s">
        <v>262</v>
      </c>
      <c r="I455" s="27" t="s">
        <v>894</v>
      </c>
      <c r="J455" s="27" t="s">
        <v>12</v>
      </c>
      <c r="K455" s="27" t="s">
        <v>257</v>
      </c>
      <c r="L455" s="27" t="s">
        <v>901</v>
      </c>
      <c r="M455" s="27" t="s">
        <v>905</v>
      </c>
      <c r="N455" s="27" t="s">
        <v>257</v>
      </c>
      <c r="O455" s="27" t="s">
        <v>325</v>
      </c>
      <c r="P455" s="27" t="s">
        <v>909</v>
      </c>
      <c r="Q455" s="27" t="s">
        <v>897</v>
      </c>
      <c r="R455" s="1">
        <v>41658</v>
      </c>
      <c r="S455" s="27" t="s">
        <v>262</v>
      </c>
      <c r="T455" s="27" t="s">
        <v>1090</v>
      </c>
      <c r="U455" s="1">
        <v>0</v>
      </c>
      <c r="V455" s="27" t="s">
        <v>900</v>
      </c>
      <c r="W455" s="26"/>
      <c r="X455" s="28">
        <v>0</v>
      </c>
      <c r="Y455" s="26"/>
      <c r="Z455" s="26"/>
      <c r="AA455" s="26"/>
      <c r="AB455" s="26"/>
      <c r="AC455" s="27" t="s">
        <v>901</v>
      </c>
      <c r="AD455" t="s">
        <v>448</v>
      </c>
      <c r="AE455">
        <v>4.25</v>
      </c>
      <c r="AF455" t="s">
        <v>862</v>
      </c>
      <c r="AH455" t="s">
        <v>903</v>
      </c>
      <c r="AJ455" s="15"/>
      <c r="AK455" t="s">
        <v>908</v>
      </c>
    </row>
    <row r="456" spans="1:37" ht="15" hidden="1" customHeight="1" x14ac:dyDescent="0.25">
      <c r="A456" s="1">
        <v>457</v>
      </c>
      <c r="B456" s="21">
        <v>42869</v>
      </c>
      <c r="C456" s="22"/>
      <c r="D456" s="21">
        <v>629</v>
      </c>
      <c r="E456" s="21">
        <v>62901</v>
      </c>
      <c r="F456" s="21">
        <v>62901</v>
      </c>
      <c r="G456" s="23" t="s">
        <v>592</v>
      </c>
      <c r="H456" s="23" t="s">
        <v>591</v>
      </c>
      <c r="I456" s="23" t="s">
        <v>894</v>
      </c>
      <c r="J456" s="23" t="s">
        <v>279</v>
      </c>
      <c r="K456" s="23" t="s">
        <v>279</v>
      </c>
      <c r="L456" s="23" t="s">
        <v>895</v>
      </c>
      <c r="M456" s="23" t="s">
        <v>279</v>
      </c>
      <c r="N456" s="23" t="s">
        <v>895</v>
      </c>
      <c r="O456" s="23" t="s">
        <v>346</v>
      </c>
      <c r="P456" s="23" t="s">
        <v>896</v>
      </c>
      <c r="Q456" s="23" t="s">
        <v>897</v>
      </c>
      <c r="R456" s="21">
        <v>41716</v>
      </c>
      <c r="S456" s="23" t="s">
        <v>591</v>
      </c>
      <c r="T456" s="23" t="s">
        <v>899</v>
      </c>
      <c r="U456" s="21">
        <v>58</v>
      </c>
      <c r="V456" s="23" t="s">
        <v>900</v>
      </c>
      <c r="W456" s="22"/>
      <c r="X456" s="24">
        <v>2.99</v>
      </c>
      <c r="Y456" s="25">
        <v>0.3</v>
      </c>
      <c r="Z456" s="25">
        <v>0.7</v>
      </c>
      <c r="AA456" s="22"/>
      <c r="AB456" s="22"/>
      <c r="AC456" s="23" t="s">
        <v>901</v>
      </c>
      <c r="AD456" s="17" t="s">
        <v>593</v>
      </c>
      <c r="AE456" s="17">
        <v>4.25</v>
      </c>
      <c r="AF456" s="17" t="s">
        <v>279</v>
      </c>
      <c r="AG456" s="17"/>
      <c r="AH456" t="s">
        <v>903</v>
      </c>
      <c r="AJ456" s="15"/>
      <c r="AK456" t="s">
        <v>904</v>
      </c>
    </row>
    <row r="457" spans="1:37" ht="15" hidden="1" customHeight="1" x14ac:dyDescent="0.25">
      <c r="A457" s="1">
        <v>458</v>
      </c>
      <c r="B457" s="1">
        <v>42911</v>
      </c>
      <c r="C457" s="30"/>
      <c r="D457" s="35">
        <v>630</v>
      </c>
      <c r="E457" s="35">
        <v>63001</v>
      </c>
      <c r="F457" s="35">
        <v>63001</v>
      </c>
      <c r="G457" s="27" t="s">
        <v>31</v>
      </c>
      <c r="H457" s="27" t="s">
        <v>29</v>
      </c>
      <c r="I457" s="27" t="s">
        <v>894</v>
      </c>
      <c r="J457" s="27" t="s">
        <v>12</v>
      </c>
      <c r="K457" s="27" t="s">
        <v>5</v>
      </c>
      <c r="L457" s="27" t="s">
        <v>901</v>
      </c>
      <c r="M457" s="27" t="s">
        <v>905</v>
      </c>
      <c r="N457" s="27" t="s">
        <v>5</v>
      </c>
      <c r="O457" s="27" t="s">
        <v>86</v>
      </c>
      <c r="P457" s="27" t="s">
        <v>896</v>
      </c>
      <c r="Q457" s="27" t="s">
        <v>897</v>
      </c>
      <c r="R457" s="1">
        <v>41737</v>
      </c>
      <c r="S457" s="27" t="s">
        <v>29</v>
      </c>
      <c r="T457" s="27" t="s">
        <v>1120</v>
      </c>
      <c r="U457" s="1">
        <v>128</v>
      </c>
      <c r="V457" s="27" t="s">
        <v>900</v>
      </c>
      <c r="W457" s="26"/>
      <c r="X457" s="28">
        <v>1.64</v>
      </c>
      <c r="Y457" s="32">
        <v>0.5</v>
      </c>
      <c r="Z457" s="32">
        <v>0.5</v>
      </c>
      <c r="AA457" s="26"/>
      <c r="AB457" s="26"/>
      <c r="AC457" s="27" t="s">
        <v>901</v>
      </c>
      <c r="AD457" t="s">
        <v>310</v>
      </c>
      <c r="AE457">
        <v>4.25</v>
      </c>
      <c r="AF457" t="s">
        <v>862</v>
      </c>
      <c r="AG457" t="s">
        <v>1075</v>
      </c>
      <c r="AH457" t="s">
        <v>903</v>
      </c>
      <c r="AI457" t="s">
        <v>1076</v>
      </c>
      <c r="AJ457" s="15">
        <f>VLOOKUP(Tabla1[[#This Row],[CPC]],[1]Sheet3!$A:$D,4,0)</f>
        <v>0.5</v>
      </c>
      <c r="AK457" t="s">
        <v>908</v>
      </c>
    </row>
    <row r="458" spans="1:37" ht="15" hidden="1" customHeight="1" x14ac:dyDescent="0.25">
      <c r="A458" s="8">
        <v>459</v>
      </c>
      <c r="B458" s="18">
        <v>43089</v>
      </c>
      <c r="C458" s="17"/>
      <c r="D458" s="18"/>
      <c r="E458" s="18"/>
      <c r="F458" s="18"/>
      <c r="G458" s="18" t="s">
        <v>450</v>
      </c>
      <c r="H458" s="18" t="s">
        <v>450</v>
      </c>
      <c r="I458" s="23" t="s">
        <v>894</v>
      </c>
      <c r="J458" s="18" t="s">
        <v>279</v>
      </c>
      <c r="K458" s="23" t="s">
        <v>279</v>
      </c>
      <c r="L458" s="18"/>
      <c r="M458" s="23" t="s">
        <v>905</v>
      </c>
      <c r="N458" s="18"/>
      <c r="O458" s="18" t="s">
        <v>450</v>
      </c>
      <c r="P458" s="23" t="s">
        <v>909</v>
      </c>
      <c r="Q458" s="23" t="s">
        <v>897</v>
      </c>
      <c r="R458" s="18"/>
      <c r="S458" s="18" t="s">
        <v>1167</v>
      </c>
      <c r="T458" s="18"/>
      <c r="U458" s="18"/>
      <c r="V458" s="18" t="s">
        <v>900</v>
      </c>
      <c r="W458" s="17"/>
      <c r="X458" s="18"/>
      <c r="Y458" s="18"/>
      <c r="Z458" s="18"/>
      <c r="AA458" s="17"/>
      <c r="AB458" s="17"/>
      <c r="AC458" s="18"/>
      <c r="AD458" s="17" t="s">
        <v>451</v>
      </c>
      <c r="AE458" s="17">
        <v>4.25</v>
      </c>
      <c r="AF458" s="17" t="s">
        <v>279</v>
      </c>
      <c r="AG458" s="17"/>
      <c r="AH458" t="s">
        <v>903</v>
      </c>
      <c r="AJ458" s="15"/>
      <c r="AK458" t="s">
        <v>904</v>
      </c>
    </row>
    <row r="459" spans="1:37" ht="15" hidden="1" customHeight="1" x14ac:dyDescent="0.25">
      <c r="A459" s="1">
        <v>460</v>
      </c>
      <c r="B459" s="1">
        <v>43091</v>
      </c>
      <c r="C459" s="30"/>
      <c r="D459" s="35">
        <v>444</v>
      </c>
      <c r="E459" s="35">
        <v>44402</v>
      </c>
      <c r="F459" s="35">
        <v>44402</v>
      </c>
      <c r="G459" s="27" t="s">
        <v>284</v>
      </c>
      <c r="H459" s="27" t="s">
        <v>281</v>
      </c>
      <c r="I459" s="27" t="s">
        <v>894</v>
      </c>
      <c r="J459" s="27" t="s">
        <v>50</v>
      </c>
      <c r="K459" s="27" t="s">
        <v>50</v>
      </c>
      <c r="L459" s="27" t="s">
        <v>901</v>
      </c>
      <c r="M459" s="27" t="s">
        <v>905</v>
      </c>
      <c r="N459" s="27" t="s">
        <v>50</v>
      </c>
      <c r="O459" s="27" t="s">
        <v>86</v>
      </c>
      <c r="P459" s="27" t="s">
        <v>896</v>
      </c>
      <c r="Q459" s="27" t="s">
        <v>897</v>
      </c>
      <c r="R459" s="1">
        <v>41757</v>
      </c>
      <c r="S459" s="27" t="s">
        <v>1168</v>
      </c>
      <c r="T459" s="27" t="s">
        <v>1118</v>
      </c>
      <c r="U459" s="1">
        <v>135</v>
      </c>
      <c r="V459" s="27" t="s">
        <v>900</v>
      </c>
      <c r="W459" s="26"/>
      <c r="X459" s="28">
        <v>1.23</v>
      </c>
      <c r="Y459" s="32">
        <v>0.5</v>
      </c>
      <c r="Z459" s="32">
        <v>0.5</v>
      </c>
      <c r="AA459" s="26"/>
      <c r="AB459" s="26"/>
      <c r="AC459" s="27" t="s">
        <v>901</v>
      </c>
      <c r="AD459" t="s">
        <v>780</v>
      </c>
      <c r="AE459">
        <v>4.25</v>
      </c>
      <c r="AF459" t="s">
        <v>861</v>
      </c>
      <c r="AG459" t="s">
        <v>1075</v>
      </c>
      <c r="AH459" t="s">
        <v>903</v>
      </c>
      <c r="AI459" t="s">
        <v>1076</v>
      </c>
      <c r="AJ459" s="15"/>
      <c r="AK459" t="s">
        <v>908</v>
      </c>
    </row>
    <row r="460" spans="1:37" ht="15" hidden="1" customHeight="1" x14ac:dyDescent="0.25">
      <c r="A460" s="1">
        <v>461</v>
      </c>
      <c r="B460" s="21">
        <v>43093</v>
      </c>
      <c r="C460" s="22"/>
      <c r="D460" s="21">
        <v>440</v>
      </c>
      <c r="E460" s="21">
        <v>44002</v>
      </c>
      <c r="F460" s="21">
        <v>44002</v>
      </c>
      <c r="G460" s="23" t="s">
        <v>846</v>
      </c>
      <c r="H460" s="23" t="s">
        <v>845</v>
      </c>
      <c r="I460" s="23" t="s">
        <v>894</v>
      </c>
      <c r="J460" s="23" t="s">
        <v>285</v>
      </c>
      <c r="K460" s="23" t="s">
        <v>285</v>
      </c>
      <c r="L460" s="23" t="s">
        <v>901</v>
      </c>
      <c r="M460" s="23" t="s">
        <v>905</v>
      </c>
      <c r="N460" s="23" t="s">
        <v>285</v>
      </c>
      <c r="O460" s="23" t="s">
        <v>86</v>
      </c>
      <c r="P460" s="23" t="s">
        <v>896</v>
      </c>
      <c r="Q460" s="23" t="s">
        <v>897</v>
      </c>
      <c r="R460" s="21">
        <v>41758</v>
      </c>
      <c r="S460" s="23" t="s">
        <v>1074</v>
      </c>
      <c r="T460" s="23" t="s">
        <v>1118</v>
      </c>
      <c r="U460" s="21">
        <v>135</v>
      </c>
      <c r="V460" s="23" t="s">
        <v>900</v>
      </c>
      <c r="W460" s="22"/>
      <c r="X460" s="24">
        <v>1.23</v>
      </c>
      <c r="Y460" s="25">
        <v>0.5</v>
      </c>
      <c r="Z460" s="25">
        <v>0.5</v>
      </c>
      <c r="AA460" s="22"/>
      <c r="AB460" s="22"/>
      <c r="AC460" s="23" t="s">
        <v>901</v>
      </c>
      <c r="AD460" s="17" t="s">
        <v>847</v>
      </c>
      <c r="AE460" s="17">
        <v>4.25</v>
      </c>
      <c r="AF460" s="17" t="s">
        <v>861</v>
      </c>
      <c r="AG460" s="17" t="s">
        <v>1075</v>
      </c>
      <c r="AH460" t="s">
        <v>903</v>
      </c>
      <c r="AI460" t="s">
        <v>1076</v>
      </c>
      <c r="AJ460" s="15"/>
      <c r="AK460" t="s">
        <v>908</v>
      </c>
    </row>
    <row r="461" spans="1:37" ht="15" hidden="1" customHeight="1" x14ac:dyDescent="0.25">
      <c r="A461" s="8">
        <v>462</v>
      </c>
      <c r="B461" s="1">
        <v>43269</v>
      </c>
      <c r="C461" s="26"/>
      <c r="D461" s="1">
        <v>632</v>
      </c>
      <c r="E461" s="1">
        <v>63201</v>
      </c>
      <c r="F461" s="1">
        <v>63201</v>
      </c>
      <c r="G461" s="27" t="s">
        <v>485</v>
      </c>
      <c r="H461" s="27" t="s">
        <v>61</v>
      </c>
      <c r="I461" s="27" t="s">
        <v>894</v>
      </c>
      <c r="J461" s="27" t="s">
        <v>279</v>
      </c>
      <c r="K461" s="27" t="s">
        <v>279</v>
      </c>
      <c r="L461" s="27" t="s">
        <v>895</v>
      </c>
      <c r="M461" s="27" t="s">
        <v>279</v>
      </c>
      <c r="N461" s="27" t="s">
        <v>895</v>
      </c>
      <c r="O461" s="27" t="s">
        <v>474</v>
      </c>
      <c r="P461" s="27" t="s">
        <v>896</v>
      </c>
      <c r="Q461" s="27" t="s">
        <v>897</v>
      </c>
      <c r="R461" s="1">
        <v>41816</v>
      </c>
      <c r="S461" s="27" t="s">
        <v>1095</v>
      </c>
      <c r="T461" s="27" t="s">
        <v>899</v>
      </c>
      <c r="U461" s="1">
        <v>58</v>
      </c>
      <c r="V461" s="27" t="s">
        <v>900</v>
      </c>
      <c r="W461" s="26"/>
      <c r="X461" s="28">
        <v>2.99</v>
      </c>
      <c r="Y461" s="29">
        <v>0.4</v>
      </c>
      <c r="Z461" s="29">
        <v>0.6</v>
      </c>
      <c r="AA461" s="26"/>
      <c r="AB461" s="26"/>
      <c r="AC461" s="27" t="s">
        <v>901</v>
      </c>
      <c r="AD461" t="s">
        <v>482</v>
      </c>
      <c r="AE461">
        <v>4.25</v>
      </c>
      <c r="AF461" t="s">
        <v>279</v>
      </c>
      <c r="AG461" t="s">
        <v>902</v>
      </c>
      <c r="AH461" t="s">
        <v>903</v>
      </c>
      <c r="AJ461" s="15"/>
      <c r="AK461" t="s">
        <v>904</v>
      </c>
    </row>
    <row r="462" spans="1:37" ht="15" hidden="1" customHeight="1" x14ac:dyDescent="0.25">
      <c r="A462" s="1">
        <v>463</v>
      </c>
      <c r="B462" s="21">
        <v>43349</v>
      </c>
      <c r="C462" s="22"/>
      <c r="D462" s="31"/>
      <c r="E462" s="31"/>
      <c r="F462" s="31"/>
      <c r="G462" s="23" t="s">
        <v>30</v>
      </c>
      <c r="H462" s="23" t="s">
        <v>29</v>
      </c>
      <c r="I462" s="23" t="s">
        <v>894</v>
      </c>
      <c r="J462" s="23" t="s">
        <v>12</v>
      </c>
      <c r="K462" s="23" t="s">
        <v>5</v>
      </c>
      <c r="L462" s="23" t="s">
        <v>901</v>
      </c>
      <c r="M462" s="23" t="s">
        <v>905</v>
      </c>
      <c r="N462" s="23" t="s">
        <v>5</v>
      </c>
      <c r="O462" s="23" t="s">
        <v>86</v>
      </c>
      <c r="P462" s="23" t="s">
        <v>896</v>
      </c>
      <c r="Q462" s="23" t="s">
        <v>897</v>
      </c>
      <c r="R462" s="21">
        <v>41836</v>
      </c>
      <c r="S462" s="23" t="s">
        <v>29</v>
      </c>
      <c r="T462" s="23" t="s">
        <v>1120</v>
      </c>
      <c r="U462" s="21">
        <v>128</v>
      </c>
      <c r="V462" s="23" t="s">
        <v>900</v>
      </c>
      <c r="W462" s="22"/>
      <c r="X462" s="24">
        <v>1.64</v>
      </c>
      <c r="Y462" s="25">
        <v>0.4</v>
      </c>
      <c r="Z462" s="25">
        <v>0.6</v>
      </c>
      <c r="AA462" s="22"/>
      <c r="AB462" s="22"/>
      <c r="AC462" s="23" t="s">
        <v>901</v>
      </c>
      <c r="AD462" s="17" t="s">
        <v>310</v>
      </c>
      <c r="AE462" s="17">
        <v>4.25</v>
      </c>
      <c r="AF462" s="17" t="s">
        <v>862</v>
      </c>
      <c r="AG462" t="s">
        <v>1075</v>
      </c>
      <c r="AH462" t="s">
        <v>903</v>
      </c>
      <c r="AI462" t="s">
        <v>1076</v>
      </c>
      <c r="AJ462" s="15">
        <f>VLOOKUP(Tabla1[[#This Row],[CPC]],[1]Sheet3!$A:$D,4,0)</f>
        <v>0.40009844497126951</v>
      </c>
      <c r="AK462" t="s">
        <v>908</v>
      </c>
    </row>
    <row r="463" spans="1:37" ht="15" hidden="1" customHeight="1" x14ac:dyDescent="0.25">
      <c r="A463" s="1">
        <v>464</v>
      </c>
      <c r="B463" s="1">
        <v>43429</v>
      </c>
      <c r="C463" s="26"/>
      <c r="D463" s="1">
        <v>633</v>
      </c>
      <c r="E463" s="1">
        <v>63301</v>
      </c>
      <c r="F463" s="1">
        <v>63301</v>
      </c>
      <c r="G463" s="27" t="s">
        <v>255</v>
      </c>
      <c r="H463" s="27" t="s">
        <v>254</v>
      </c>
      <c r="I463" s="27" t="s">
        <v>894</v>
      </c>
      <c r="J463" s="27" t="s">
        <v>123</v>
      </c>
      <c r="K463" s="27" t="s">
        <v>123</v>
      </c>
      <c r="L463" s="27" t="s">
        <v>901</v>
      </c>
      <c r="M463" s="27" t="s">
        <v>123</v>
      </c>
      <c r="N463" s="27" t="s">
        <v>901</v>
      </c>
      <c r="O463" s="27" t="s">
        <v>378</v>
      </c>
      <c r="P463" s="27" t="s">
        <v>896</v>
      </c>
      <c r="Q463" s="27" t="s">
        <v>897</v>
      </c>
      <c r="R463" s="1">
        <v>41856</v>
      </c>
      <c r="S463" s="27" t="s">
        <v>254</v>
      </c>
      <c r="T463" s="27" t="s">
        <v>1118</v>
      </c>
      <c r="U463" s="1">
        <v>135</v>
      </c>
      <c r="V463" s="27" t="s">
        <v>900</v>
      </c>
      <c r="W463" s="26"/>
      <c r="X463" s="28">
        <v>1.23</v>
      </c>
      <c r="Y463" s="29">
        <v>0.5</v>
      </c>
      <c r="Z463" s="29">
        <v>0.5</v>
      </c>
      <c r="AA463" s="26"/>
      <c r="AB463" s="26"/>
      <c r="AC463" s="27" t="s">
        <v>901</v>
      </c>
      <c r="AD463" t="s">
        <v>379</v>
      </c>
      <c r="AE463">
        <v>4.25</v>
      </c>
      <c r="AF463" t="s">
        <v>123</v>
      </c>
      <c r="AH463" t="s">
        <v>903</v>
      </c>
      <c r="AJ463" s="15"/>
      <c r="AK463" t="s">
        <v>908</v>
      </c>
    </row>
    <row r="464" spans="1:37" ht="15" hidden="1" customHeight="1" x14ac:dyDescent="0.25">
      <c r="A464" s="8">
        <v>465</v>
      </c>
      <c r="B464" s="21">
        <v>43549</v>
      </c>
      <c r="C464" s="22"/>
      <c r="D464" s="31"/>
      <c r="E464" s="31"/>
      <c r="F464" s="31"/>
      <c r="G464" s="23" t="s">
        <v>52</v>
      </c>
      <c r="H464" s="23" t="s">
        <v>51</v>
      </c>
      <c r="I464" s="23" t="s">
        <v>894</v>
      </c>
      <c r="J464" s="23" t="s">
        <v>50</v>
      </c>
      <c r="K464" s="23" t="s">
        <v>36</v>
      </c>
      <c r="L464" s="23" t="s">
        <v>901</v>
      </c>
      <c r="M464" s="23" t="s">
        <v>905</v>
      </c>
      <c r="N464" s="23" t="s">
        <v>36</v>
      </c>
      <c r="O464" s="23" t="s">
        <v>86</v>
      </c>
      <c r="P464" s="23" t="s">
        <v>896</v>
      </c>
      <c r="Q464" s="23" t="s">
        <v>897</v>
      </c>
      <c r="R464" s="21">
        <v>41896</v>
      </c>
      <c r="S464" s="23" t="s">
        <v>1166</v>
      </c>
      <c r="T464" s="23" t="s">
        <v>1120</v>
      </c>
      <c r="U464" s="21">
        <v>128</v>
      </c>
      <c r="V464" s="23" t="s">
        <v>900</v>
      </c>
      <c r="W464" s="22"/>
      <c r="X464" s="24">
        <v>1.64</v>
      </c>
      <c r="Y464" s="25">
        <v>0.4</v>
      </c>
      <c r="Z464" s="25">
        <v>0.6</v>
      </c>
      <c r="AA464" s="22"/>
      <c r="AB464" s="22"/>
      <c r="AC464" s="23" t="s">
        <v>901</v>
      </c>
      <c r="AD464" s="17" t="s">
        <v>333</v>
      </c>
      <c r="AE464" s="17">
        <v>4.25</v>
      </c>
      <c r="AF464" s="17" t="s">
        <v>861</v>
      </c>
      <c r="AG464" s="17"/>
      <c r="AH464" t="s">
        <v>903</v>
      </c>
      <c r="AI464" t="s">
        <v>1076</v>
      </c>
      <c r="AJ464" s="15"/>
      <c r="AK464" t="s">
        <v>908</v>
      </c>
    </row>
    <row r="465" spans="1:37" ht="15" hidden="1" customHeight="1" x14ac:dyDescent="0.25">
      <c r="A465" s="1">
        <v>466</v>
      </c>
      <c r="B465" s="1">
        <v>43551</v>
      </c>
      <c r="C465" s="26"/>
      <c r="D465" s="1">
        <v>200</v>
      </c>
      <c r="E465" s="1">
        <v>20002</v>
      </c>
      <c r="F465" s="1">
        <v>20002</v>
      </c>
      <c r="G465" s="27" t="s">
        <v>231</v>
      </c>
      <c r="H465" s="27" t="s">
        <v>228</v>
      </c>
      <c r="I465" s="27" t="s">
        <v>894</v>
      </c>
      <c r="J465" s="27" t="s">
        <v>123</v>
      </c>
      <c r="K465" s="27" t="s">
        <v>123</v>
      </c>
      <c r="L465" s="27" t="s">
        <v>901</v>
      </c>
      <c r="M465" s="27" t="s">
        <v>123</v>
      </c>
      <c r="N465" s="27" t="s">
        <v>901</v>
      </c>
      <c r="O465" s="27" t="s">
        <v>86</v>
      </c>
      <c r="P465" s="27" t="s">
        <v>896</v>
      </c>
      <c r="Q465" s="27" t="s">
        <v>897</v>
      </c>
      <c r="R465" s="1">
        <v>41897</v>
      </c>
      <c r="S465" s="27" t="s">
        <v>228</v>
      </c>
      <c r="T465" s="27" t="s">
        <v>1120</v>
      </c>
      <c r="U465" s="1">
        <v>128</v>
      </c>
      <c r="V465" s="27" t="s">
        <v>900</v>
      </c>
      <c r="W465" s="26"/>
      <c r="X465" s="28">
        <v>1.64</v>
      </c>
      <c r="Y465" s="29">
        <v>0.5</v>
      </c>
      <c r="Z465" s="29">
        <v>0.5</v>
      </c>
      <c r="AA465" s="26"/>
      <c r="AB465" s="26"/>
      <c r="AC465" s="27" t="s">
        <v>901</v>
      </c>
      <c r="AD465" t="s">
        <v>377</v>
      </c>
      <c r="AE465">
        <v>4.25</v>
      </c>
      <c r="AF465" t="s">
        <v>123</v>
      </c>
      <c r="AG465" t="s">
        <v>1169</v>
      </c>
      <c r="AH465" t="s">
        <v>903</v>
      </c>
      <c r="AI465" t="s">
        <v>1076</v>
      </c>
      <c r="AJ465" s="15">
        <f>VLOOKUP(Tabla1[[#This Row],[CPC]],[1]Sheet3!$A:$D,4,0)</f>
        <v>0.5</v>
      </c>
      <c r="AK465" t="s">
        <v>1170</v>
      </c>
    </row>
    <row r="466" spans="1:37" ht="15" hidden="1" customHeight="1" x14ac:dyDescent="0.25">
      <c r="A466" s="1">
        <v>467</v>
      </c>
      <c r="B466" s="21">
        <v>43553</v>
      </c>
      <c r="C466" s="34">
        <v>43551</v>
      </c>
      <c r="D466" s="21">
        <v>200</v>
      </c>
      <c r="E466" s="21">
        <v>20001</v>
      </c>
      <c r="F466" s="21">
        <v>20001</v>
      </c>
      <c r="G466" s="23" t="s">
        <v>229</v>
      </c>
      <c r="H466" s="23" t="s">
        <v>228</v>
      </c>
      <c r="I466" s="23" t="s">
        <v>894</v>
      </c>
      <c r="J466" s="23" t="s">
        <v>123</v>
      </c>
      <c r="K466" s="23" t="s">
        <v>123</v>
      </c>
      <c r="L466" s="23" t="s">
        <v>901</v>
      </c>
      <c r="M466" s="23" t="s">
        <v>123</v>
      </c>
      <c r="N466" s="23" t="s">
        <v>901</v>
      </c>
      <c r="O466" s="23" t="s">
        <v>86</v>
      </c>
      <c r="P466" s="23" t="s">
        <v>896</v>
      </c>
      <c r="Q466" s="23" t="s">
        <v>897</v>
      </c>
      <c r="R466" s="21">
        <v>41898</v>
      </c>
      <c r="S466" s="23" t="s">
        <v>228</v>
      </c>
      <c r="T466" s="23" t="s">
        <v>1090</v>
      </c>
      <c r="U466" s="21">
        <v>0</v>
      </c>
      <c r="V466" s="23" t="s">
        <v>900</v>
      </c>
      <c r="W466" s="22"/>
      <c r="X466" s="24">
        <v>0</v>
      </c>
      <c r="Y466" s="31"/>
      <c r="Z466" s="31"/>
      <c r="AA466" s="22"/>
      <c r="AB466" s="22"/>
      <c r="AC466" s="23" t="s">
        <v>901</v>
      </c>
      <c r="AD466" s="17" t="s">
        <v>377</v>
      </c>
      <c r="AE466" s="17">
        <v>4.25</v>
      </c>
      <c r="AF466" s="17" t="s">
        <v>123</v>
      </c>
      <c r="AG466" s="17" t="s">
        <v>1169</v>
      </c>
      <c r="AH466" t="s">
        <v>903</v>
      </c>
      <c r="AI466" t="s">
        <v>1076</v>
      </c>
      <c r="AJ466" s="15"/>
      <c r="AK466" t="s">
        <v>1170</v>
      </c>
    </row>
    <row r="467" spans="1:37" ht="15" hidden="1" customHeight="1" x14ac:dyDescent="0.25">
      <c r="A467" s="8">
        <v>468</v>
      </c>
      <c r="B467" s="1">
        <v>43571</v>
      </c>
      <c r="C467" s="26"/>
      <c r="D467" s="1">
        <v>565</v>
      </c>
      <c r="E467" s="1">
        <v>56502</v>
      </c>
      <c r="F467" s="1">
        <v>56502</v>
      </c>
      <c r="G467" s="27" t="s">
        <v>95</v>
      </c>
      <c r="H467" s="27" t="s">
        <v>92</v>
      </c>
      <c r="I467" s="27" t="s">
        <v>894</v>
      </c>
      <c r="J467" s="27" t="s">
        <v>36</v>
      </c>
      <c r="K467" s="27" t="s">
        <v>1119</v>
      </c>
      <c r="L467" s="27" t="s">
        <v>901</v>
      </c>
      <c r="M467" s="27" t="s">
        <v>905</v>
      </c>
      <c r="N467" s="27" t="s">
        <v>36</v>
      </c>
      <c r="O467" s="27" t="s">
        <v>307</v>
      </c>
      <c r="P467" s="27" t="s">
        <v>896</v>
      </c>
      <c r="Q467" s="27" t="s">
        <v>897</v>
      </c>
      <c r="R467" s="1">
        <v>41918</v>
      </c>
      <c r="S467" s="27" t="s">
        <v>93</v>
      </c>
      <c r="T467" s="27" t="s">
        <v>1143</v>
      </c>
      <c r="U467" s="1">
        <v>136</v>
      </c>
      <c r="V467" s="27" t="s">
        <v>900</v>
      </c>
      <c r="W467" s="26"/>
      <c r="X467" s="28">
        <v>2.06</v>
      </c>
      <c r="Y467" s="29">
        <v>0.5</v>
      </c>
      <c r="Z467" s="29">
        <v>0.5</v>
      </c>
      <c r="AA467" s="26"/>
      <c r="AB467" s="26"/>
      <c r="AC467" s="27" t="s">
        <v>901</v>
      </c>
      <c r="AD467" t="s">
        <v>353</v>
      </c>
      <c r="AE467">
        <v>4.25</v>
      </c>
      <c r="AF467" t="s">
        <v>862</v>
      </c>
      <c r="AG467" t="s">
        <v>1040</v>
      </c>
      <c r="AH467" t="s">
        <v>903</v>
      </c>
      <c r="AJ467" s="15">
        <f>VLOOKUP(Tabla1[[#This Row],[CPC]],[1]Sheet3!$A:$D,4,0)</f>
        <v>0.5</v>
      </c>
      <c r="AK467" t="s">
        <v>908</v>
      </c>
    </row>
    <row r="468" spans="1:37" ht="15" hidden="1" customHeight="1" x14ac:dyDescent="0.25">
      <c r="A468" s="1">
        <v>469</v>
      </c>
      <c r="B468" s="21">
        <v>43573</v>
      </c>
      <c r="C468" s="21">
        <v>43571</v>
      </c>
      <c r="D468" s="31"/>
      <c r="E468" s="31"/>
      <c r="F468" s="31"/>
      <c r="G468" s="23" t="s">
        <v>97</v>
      </c>
      <c r="H468" s="23" t="s">
        <v>92</v>
      </c>
      <c r="I468" s="23" t="s">
        <v>894</v>
      </c>
      <c r="J468" s="23" t="s">
        <v>36</v>
      </c>
      <c r="K468" s="23" t="s">
        <v>1119</v>
      </c>
      <c r="L468" s="23" t="s">
        <v>901</v>
      </c>
      <c r="M468" s="23" t="s">
        <v>905</v>
      </c>
      <c r="N468" s="23" t="s">
        <v>36</v>
      </c>
      <c r="O468" s="23" t="s">
        <v>307</v>
      </c>
      <c r="P468" s="23" t="s">
        <v>896</v>
      </c>
      <c r="Q468" s="23" t="s">
        <v>897</v>
      </c>
      <c r="R468" s="21">
        <v>41919</v>
      </c>
      <c r="S468" s="23" t="s">
        <v>93</v>
      </c>
      <c r="T468" s="23" t="s">
        <v>1090</v>
      </c>
      <c r="U468" s="21">
        <v>0</v>
      </c>
      <c r="V468" s="23" t="s">
        <v>900</v>
      </c>
      <c r="W468" s="22"/>
      <c r="X468" s="24">
        <v>0</v>
      </c>
      <c r="Y468" s="22"/>
      <c r="Z468" s="22"/>
      <c r="AA468" s="22"/>
      <c r="AB468" s="22"/>
      <c r="AC468" s="23" t="s">
        <v>901</v>
      </c>
      <c r="AD468" s="17" t="s">
        <v>353</v>
      </c>
      <c r="AE468" s="17">
        <v>4.25</v>
      </c>
      <c r="AF468" s="17" t="s">
        <v>862</v>
      </c>
      <c r="AG468" s="17"/>
      <c r="AH468" t="s">
        <v>903</v>
      </c>
      <c r="AJ468" s="15"/>
      <c r="AK468" t="s">
        <v>908</v>
      </c>
    </row>
    <row r="469" spans="1:37" ht="15" hidden="1" customHeight="1" x14ac:dyDescent="0.25">
      <c r="A469" s="1">
        <v>470</v>
      </c>
      <c r="B469" s="1">
        <v>43575</v>
      </c>
      <c r="C469" s="26"/>
      <c r="D469" s="1">
        <v>566</v>
      </c>
      <c r="E469" s="1">
        <v>56602</v>
      </c>
      <c r="F469" s="1">
        <v>56602</v>
      </c>
      <c r="G469" s="27" t="s">
        <v>96</v>
      </c>
      <c r="H469" s="27" t="s">
        <v>92</v>
      </c>
      <c r="I469" s="27" t="s">
        <v>894</v>
      </c>
      <c r="J469" s="27" t="s">
        <v>36</v>
      </c>
      <c r="K469" s="27" t="s">
        <v>1119</v>
      </c>
      <c r="L469" s="27" t="s">
        <v>901</v>
      </c>
      <c r="M469" s="27" t="s">
        <v>905</v>
      </c>
      <c r="N469" s="27" t="s">
        <v>36</v>
      </c>
      <c r="O469" s="27" t="s">
        <v>307</v>
      </c>
      <c r="P469" s="27" t="s">
        <v>896</v>
      </c>
      <c r="Q469" s="27" t="s">
        <v>897</v>
      </c>
      <c r="R469" s="1">
        <v>41920</v>
      </c>
      <c r="S469" s="27" t="s">
        <v>93</v>
      </c>
      <c r="T469" s="27" t="s">
        <v>1143</v>
      </c>
      <c r="U469" s="1">
        <v>136</v>
      </c>
      <c r="V469" s="27" t="s">
        <v>900</v>
      </c>
      <c r="W469" s="26"/>
      <c r="X469" s="28">
        <v>2.06</v>
      </c>
      <c r="Y469" s="29">
        <v>0.4</v>
      </c>
      <c r="Z469" s="29">
        <v>0.6</v>
      </c>
      <c r="AA469" s="26"/>
      <c r="AB469" s="26"/>
      <c r="AC469" s="27" t="s">
        <v>901</v>
      </c>
      <c r="AD469" t="s">
        <v>353</v>
      </c>
      <c r="AE469">
        <v>4.25</v>
      </c>
      <c r="AF469" t="s">
        <v>862</v>
      </c>
      <c r="AG469" t="s">
        <v>1040</v>
      </c>
      <c r="AH469" t="s">
        <v>903</v>
      </c>
      <c r="AJ469" s="15">
        <f>VLOOKUP(Tabla1[[#This Row],[CPC]],[1]Sheet3!$A:$D,4,0)</f>
        <v>0.39950300508552872</v>
      </c>
      <c r="AK469" t="s">
        <v>908</v>
      </c>
    </row>
    <row r="470" spans="1:37" ht="15" hidden="1" customHeight="1" x14ac:dyDescent="0.25">
      <c r="A470" s="8">
        <v>471</v>
      </c>
      <c r="B470" s="21">
        <v>43577</v>
      </c>
      <c r="C470" s="34">
        <v>43575</v>
      </c>
      <c r="D470" s="31"/>
      <c r="E470" s="31"/>
      <c r="F470" s="31"/>
      <c r="G470" s="23" t="s">
        <v>98</v>
      </c>
      <c r="H470" s="23" t="s">
        <v>92</v>
      </c>
      <c r="I470" s="23" t="s">
        <v>894</v>
      </c>
      <c r="J470" s="23" t="s">
        <v>36</v>
      </c>
      <c r="K470" s="23" t="s">
        <v>1119</v>
      </c>
      <c r="L470" s="23" t="s">
        <v>901</v>
      </c>
      <c r="M470" s="23" t="s">
        <v>905</v>
      </c>
      <c r="N470" s="23" t="s">
        <v>36</v>
      </c>
      <c r="O470" s="23" t="s">
        <v>307</v>
      </c>
      <c r="P470" s="23" t="s">
        <v>896</v>
      </c>
      <c r="Q470" s="23" t="s">
        <v>897</v>
      </c>
      <c r="R470" s="21">
        <v>41921</v>
      </c>
      <c r="S470" s="23" t="s">
        <v>93</v>
      </c>
      <c r="T470" s="23" t="s">
        <v>1090</v>
      </c>
      <c r="U470" s="21">
        <v>0</v>
      </c>
      <c r="V470" s="23" t="s">
        <v>900</v>
      </c>
      <c r="W470" s="22"/>
      <c r="X470" s="24">
        <v>0</v>
      </c>
      <c r="Y470" s="31"/>
      <c r="Z470" s="31"/>
      <c r="AA470" s="22"/>
      <c r="AB470" s="22"/>
      <c r="AC470" s="23" t="s">
        <v>901</v>
      </c>
      <c r="AD470" s="17" t="s">
        <v>353</v>
      </c>
      <c r="AE470" s="17">
        <v>4.25</v>
      </c>
      <c r="AF470" s="17" t="s">
        <v>862</v>
      </c>
      <c r="AG470" s="17"/>
      <c r="AH470" t="s">
        <v>903</v>
      </c>
      <c r="AJ470" s="15"/>
      <c r="AK470" t="s">
        <v>908</v>
      </c>
    </row>
    <row r="471" spans="1:37" ht="15" hidden="1" customHeight="1" x14ac:dyDescent="0.25">
      <c r="A471" s="1">
        <v>472</v>
      </c>
      <c r="B471" s="1">
        <v>43609</v>
      </c>
      <c r="C471" s="26"/>
      <c r="D471" s="35">
        <v>204</v>
      </c>
      <c r="E471" s="35">
        <v>20401</v>
      </c>
      <c r="F471" s="35">
        <v>20401</v>
      </c>
      <c r="G471" s="27" t="s">
        <v>55</v>
      </c>
      <c r="H471" s="27" t="s">
        <v>54</v>
      </c>
      <c r="I471" s="27" t="s">
        <v>894</v>
      </c>
      <c r="J471" s="27" t="s">
        <v>6</v>
      </c>
      <c r="K471" s="27" t="s">
        <v>36</v>
      </c>
      <c r="L471" s="27" t="s">
        <v>901</v>
      </c>
      <c r="M471" s="27" t="s">
        <v>905</v>
      </c>
      <c r="N471" s="27" t="s">
        <v>36</v>
      </c>
      <c r="O471" s="27" t="s">
        <v>325</v>
      </c>
      <c r="P471" s="27" t="s">
        <v>896</v>
      </c>
      <c r="Q471" s="27" t="s">
        <v>897</v>
      </c>
      <c r="R471" s="1">
        <v>41936</v>
      </c>
      <c r="S471" s="27" t="s">
        <v>54</v>
      </c>
      <c r="T471" s="27" t="s">
        <v>1131</v>
      </c>
      <c r="U471" s="1">
        <v>137</v>
      </c>
      <c r="V471" s="27" t="s">
        <v>900</v>
      </c>
      <c r="W471" s="26"/>
      <c r="X471" s="28">
        <v>2.4700000000000002</v>
      </c>
      <c r="Y471" s="29">
        <v>0.6</v>
      </c>
      <c r="Z471" s="29">
        <v>0.4</v>
      </c>
      <c r="AA471" s="26"/>
      <c r="AB471" s="26"/>
      <c r="AC471" s="27" t="s">
        <v>901</v>
      </c>
      <c r="AD471" t="s">
        <v>339</v>
      </c>
      <c r="AE471">
        <v>4.25</v>
      </c>
      <c r="AF471" t="s">
        <v>6</v>
      </c>
      <c r="AG471" t="s">
        <v>1040</v>
      </c>
      <c r="AH471" t="s">
        <v>903</v>
      </c>
      <c r="AJ471" s="15">
        <f>VLOOKUP(Tabla1[[#This Row],[CPC]],[1]Sheet3!$A:$D,4,0)</f>
        <v>0.59999982928223028</v>
      </c>
      <c r="AK471" t="s">
        <v>908</v>
      </c>
    </row>
    <row r="472" spans="1:37" ht="15" hidden="1" customHeight="1" x14ac:dyDescent="0.25">
      <c r="A472" s="1">
        <v>473</v>
      </c>
      <c r="B472" s="21">
        <v>43611</v>
      </c>
      <c r="C472" s="22"/>
      <c r="D472" s="34">
        <v>203</v>
      </c>
      <c r="E472" s="34">
        <v>20301</v>
      </c>
      <c r="F472" s="34">
        <v>20301</v>
      </c>
      <c r="G472" s="23" t="s">
        <v>56</v>
      </c>
      <c r="H472" s="23" t="s">
        <v>54</v>
      </c>
      <c r="I472" s="23" t="s">
        <v>894</v>
      </c>
      <c r="J472" s="23" t="s">
        <v>6</v>
      </c>
      <c r="K472" s="23" t="s">
        <v>36</v>
      </c>
      <c r="L472" s="23" t="s">
        <v>901</v>
      </c>
      <c r="M472" s="23" t="s">
        <v>905</v>
      </c>
      <c r="N472" s="23" t="s">
        <v>36</v>
      </c>
      <c r="O472" s="23" t="s">
        <v>325</v>
      </c>
      <c r="P472" s="23" t="s">
        <v>896</v>
      </c>
      <c r="Q472" s="23" t="s">
        <v>897</v>
      </c>
      <c r="R472" s="21">
        <v>41937</v>
      </c>
      <c r="S472" s="23" t="s">
        <v>54</v>
      </c>
      <c r="T472" s="23" t="s">
        <v>1131</v>
      </c>
      <c r="U472" s="21">
        <v>137</v>
      </c>
      <c r="V472" s="23" t="s">
        <v>900</v>
      </c>
      <c r="W472" s="22"/>
      <c r="X472" s="24">
        <v>2.4700000000000002</v>
      </c>
      <c r="Y472" s="25">
        <v>0.4</v>
      </c>
      <c r="Z472" s="25">
        <v>0.6</v>
      </c>
      <c r="AA472" s="22"/>
      <c r="AB472" s="22"/>
      <c r="AC472" s="23" t="s">
        <v>901</v>
      </c>
      <c r="AD472" s="17" t="s">
        <v>339</v>
      </c>
      <c r="AE472" s="17">
        <v>4.25</v>
      </c>
      <c r="AF472" s="17" t="s">
        <v>6</v>
      </c>
      <c r="AG472" s="17" t="s">
        <v>1040</v>
      </c>
      <c r="AH472" t="s">
        <v>903</v>
      </c>
      <c r="AJ472" s="15">
        <f>VLOOKUP(Tabla1[[#This Row],[CPC]],[1]Sheet3!$A:$D,4,0)</f>
        <v>0.40003502050822171</v>
      </c>
      <c r="AK472" t="s">
        <v>908</v>
      </c>
    </row>
    <row r="473" spans="1:37" ht="15" hidden="1" customHeight="1" x14ac:dyDescent="0.25">
      <c r="A473" s="8">
        <v>474</v>
      </c>
      <c r="B473" s="1">
        <v>43613</v>
      </c>
      <c r="C473" s="26"/>
      <c r="D473" s="1">
        <v>202</v>
      </c>
      <c r="E473" s="1">
        <v>20201</v>
      </c>
      <c r="F473" s="1">
        <v>20201</v>
      </c>
      <c r="G473" s="27" t="s">
        <v>278</v>
      </c>
      <c r="H473" s="27" t="s">
        <v>276</v>
      </c>
      <c r="I473" s="27" t="s">
        <v>894</v>
      </c>
      <c r="J473" s="27" t="s">
        <v>12</v>
      </c>
      <c r="K473" s="27" t="s">
        <v>257</v>
      </c>
      <c r="L473" s="27" t="s">
        <v>901</v>
      </c>
      <c r="M473" s="27" t="s">
        <v>905</v>
      </c>
      <c r="N473" s="27" t="s">
        <v>257</v>
      </c>
      <c r="O473" s="27" t="s">
        <v>325</v>
      </c>
      <c r="P473" s="27" t="s">
        <v>896</v>
      </c>
      <c r="Q473" s="27" t="s">
        <v>897</v>
      </c>
      <c r="R473" s="1">
        <v>41938</v>
      </c>
      <c r="S473" s="27" t="s">
        <v>276</v>
      </c>
      <c r="T473" s="27" t="s">
        <v>1131</v>
      </c>
      <c r="U473" s="1">
        <v>137</v>
      </c>
      <c r="V473" s="27" t="s">
        <v>900</v>
      </c>
      <c r="W473" s="26"/>
      <c r="X473" s="28">
        <v>2.4700000000000002</v>
      </c>
      <c r="Y473" s="29">
        <v>0.6</v>
      </c>
      <c r="Z473" s="29">
        <v>0.4</v>
      </c>
      <c r="AA473" s="26"/>
      <c r="AB473" s="26"/>
      <c r="AC473" s="27" t="s">
        <v>901</v>
      </c>
      <c r="AD473" t="s">
        <v>449</v>
      </c>
      <c r="AE473">
        <v>4.25</v>
      </c>
      <c r="AF473" t="s">
        <v>862</v>
      </c>
      <c r="AG473" t="s">
        <v>1040</v>
      </c>
      <c r="AH473" t="s">
        <v>903</v>
      </c>
      <c r="AJ473" s="15">
        <f>VLOOKUP(Tabla1[[#This Row],[CPC]],[1]Sheet3!$A:$D,4,0)</f>
        <v>0.59999997057733656</v>
      </c>
      <c r="AK473" t="s">
        <v>908</v>
      </c>
    </row>
    <row r="474" spans="1:37" ht="15" hidden="1" customHeight="1" x14ac:dyDescent="0.25">
      <c r="A474" s="1">
        <v>475</v>
      </c>
      <c r="B474" s="21">
        <v>43615</v>
      </c>
      <c r="C474" s="22"/>
      <c r="D474" s="34">
        <v>201</v>
      </c>
      <c r="E474" s="34">
        <v>20101</v>
      </c>
      <c r="F474" s="34">
        <v>20101</v>
      </c>
      <c r="G474" s="23" t="s">
        <v>277</v>
      </c>
      <c r="H474" s="23" t="s">
        <v>276</v>
      </c>
      <c r="I474" s="23" t="s">
        <v>894</v>
      </c>
      <c r="J474" s="23" t="s">
        <v>12</v>
      </c>
      <c r="K474" s="23" t="s">
        <v>257</v>
      </c>
      <c r="L474" s="23" t="s">
        <v>901</v>
      </c>
      <c r="M474" s="23" t="s">
        <v>905</v>
      </c>
      <c r="N474" s="23" t="s">
        <v>257</v>
      </c>
      <c r="O474" s="23" t="s">
        <v>325</v>
      </c>
      <c r="P474" s="23" t="s">
        <v>896</v>
      </c>
      <c r="Q474" s="23" t="s">
        <v>897</v>
      </c>
      <c r="R474" s="21">
        <v>41939</v>
      </c>
      <c r="S474" s="23" t="s">
        <v>276</v>
      </c>
      <c r="T474" s="23" t="s">
        <v>1131</v>
      </c>
      <c r="U474" s="21">
        <v>137</v>
      </c>
      <c r="V474" s="23" t="s">
        <v>900</v>
      </c>
      <c r="W474" s="22"/>
      <c r="X474" s="24">
        <v>2.4700000000000002</v>
      </c>
      <c r="Y474" s="25">
        <v>0.4</v>
      </c>
      <c r="Z474" s="25">
        <v>0.6</v>
      </c>
      <c r="AA474" s="22"/>
      <c r="AB474" s="22"/>
      <c r="AC474" s="23" t="s">
        <v>901</v>
      </c>
      <c r="AD474" s="17" t="s">
        <v>449</v>
      </c>
      <c r="AE474" s="17">
        <v>4.25</v>
      </c>
      <c r="AF474" s="17" t="s">
        <v>862</v>
      </c>
      <c r="AG474" s="17" t="s">
        <v>1040</v>
      </c>
      <c r="AH474" t="s">
        <v>903</v>
      </c>
      <c r="AJ474" s="15">
        <f>VLOOKUP(Tabla1[[#This Row],[CPC]],[1]Sheet3!$A:$D,4,0)</f>
        <v>0.40016013052148136</v>
      </c>
      <c r="AK474" t="s">
        <v>908</v>
      </c>
    </row>
    <row r="475" spans="1:37" ht="15" hidden="1" customHeight="1" x14ac:dyDescent="0.25">
      <c r="A475" s="1">
        <v>476</v>
      </c>
      <c r="B475" s="1">
        <v>43617</v>
      </c>
      <c r="C475" s="26"/>
      <c r="D475" s="35">
        <v>206</v>
      </c>
      <c r="E475" s="35">
        <v>20601</v>
      </c>
      <c r="F475" s="35">
        <v>20601</v>
      </c>
      <c r="G475" s="27" t="s">
        <v>80</v>
      </c>
      <c r="H475" s="27" t="s">
        <v>78</v>
      </c>
      <c r="I475" s="27" t="s">
        <v>894</v>
      </c>
      <c r="J475" s="27" t="s">
        <v>6</v>
      </c>
      <c r="K475" s="27" t="s">
        <v>36</v>
      </c>
      <c r="L475" s="27" t="s">
        <v>901</v>
      </c>
      <c r="M475" s="27" t="s">
        <v>905</v>
      </c>
      <c r="N475" s="27" t="s">
        <v>36</v>
      </c>
      <c r="O475" s="27" t="s">
        <v>325</v>
      </c>
      <c r="P475" s="27" t="s">
        <v>896</v>
      </c>
      <c r="Q475" s="27" t="s">
        <v>897</v>
      </c>
      <c r="R475" s="1">
        <v>41940</v>
      </c>
      <c r="S475" s="27" t="s">
        <v>78</v>
      </c>
      <c r="T475" s="27" t="s">
        <v>1131</v>
      </c>
      <c r="U475" s="1">
        <v>137</v>
      </c>
      <c r="V475" s="27" t="s">
        <v>900</v>
      </c>
      <c r="W475" s="26"/>
      <c r="X475" s="28">
        <v>2.4700000000000002</v>
      </c>
      <c r="Y475" s="29">
        <v>0.6</v>
      </c>
      <c r="Z475" s="29">
        <v>0.4</v>
      </c>
      <c r="AA475" s="26"/>
      <c r="AB475" s="26"/>
      <c r="AC475" s="27" t="s">
        <v>901</v>
      </c>
      <c r="AD475" t="s">
        <v>340</v>
      </c>
      <c r="AE475">
        <v>4.25</v>
      </c>
      <c r="AF475" t="s">
        <v>6</v>
      </c>
      <c r="AG475" t="s">
        <v>1040</v>
      </c>
      <c r="AH475" t="s">
        <v>903</v>
      </c>
      <c r="AJ475" s="15">
        <f>VLOOKUP(Tabla1[[#This Row],[CPC]],[1]Sheet3!$A:$D,4,0)</f>
        <v>0.59999990504563216</v>
      </c>
      <c r="AK475" t="s">
        <v>908</v>
      </c>
    </row>
    <row r="476" spans="1:37" ht="15" hidden="1" customHeight="1" x14ac:dyDescent="0.25">
      <c r="A476" s="8">
        <v>477</v>
      </c>
      <c r="B476" s="21">
        <v>43619</v>
      </c>
      <c r="C476" s="22"/>
      <c r="D476" s="21">
        <v>205</v>
      </c>
      <c r="E476" s="21">
        <v>20501</v>
      </c>
      <c r="F476" s="21">
        <v>20501</v>
      </c>
      <c r="G476" s="23" t="s">
        <v>79</v>
      </c>
      <c r="H476" s="23" t="s">
        <v>78</v>
      </c>
      <c r="I476" s="23" t="s">
        <v>894</v>
      </c>
      <c r="J476" s="23" t="s">
        <v>6</v>
      </c>
      <c r="K476" s="23" t="s">
        <v>36</v>
      </c>
      <c r="L476" s="23" t="s">
        <v>901</v>
      </c>
      <c r="M476" s="23" t="s">
        <v>905</v>
      </c>
      <c r="N476" s="23" t="s">
        <v>36</v>
      </c>
      <c r="O476" s="23" t="s">
        <v>325</v>
      </c>
      <c r="P476" s="23" t="s">
        <v>896</v>
      </c>
      <c r="Q476" s="23" t="s">
        <v>897</v>
      </c>
      <c r="R476" s="21">
        <v>41941</v>
      </c>
      <c r="S476" s="23" t="s">
        <v>78</v>
      </c>
      <c r="T476" s="23" t="s">
        <v>1131</v>
      </c>
      <c r="U476" s="21">
        <v>137</v>
      </c>
      <c r="V476" s="23" t="s">
        <v>900</v>
      </c>
      <c r="W476" s="22"/>
      <c r="X476" s="24">
        <v>2.4700000000000002</v>
      </c>
      <c r="Y476" s="25">
        <v>0.4</v>
      </c>
      <c r="Z476" s="25">
        <v>0.6</v>
      </c>
      <c r="AA476" s="22"/>
      <c r="AB476" s="22"/>
      <c r="AC476" s="23" t="s">
        <v>901</v>
      </c>
      <c r="AD476" s="17" t="s">
        <v>340</v>
      </c>
      <c r="AE476" s="17">
        <v>4.25</v>
      </c>
      <c r="AF476" s="17" t="s">
        <v>6</v>
      </c>
      <c r="AG476" s="17" t="s">
        <v>1040</v>
      </c>
      <c r="AH476" t="s">
        <v>903</v>
      </c>
      <c r="AJ476" s="15">
        <f>VLOOKUP(Tabla1[[#This Row],[CPC]],[1]Sheet3!$A:$D,4,0)</f>
        <v>0.40004558007346375</v>
      </c>
      <c r="AK476" t="s">
        <v>908</v>
      </c>
    </row>
    <row r="477" spans="1:37" ht="15" hidden="1" customHeight="1" x14ac:dyDescent="0.25">
      <c r="A477" s="1">
        <v>478</v>
      </c>
      <c r="B477" s="1">
        <v>43749</v>
      </c>
      <c r="C477" s="26"/>
      <c r="D477" s="35">
        <v>635</v>
      </c>
      <c r="E477" s="35">
        <v>63501</v>
      </c>
      <c r="F477" s="35">
        <v>63501</v>
      </c>
      <c r="G477" s="27" t="s">
        <v>848</v>
      </c>
      <c r="H477" s="27" t="s">
        <v>845</v>
      </c>
      <c r="I477" s="27" t="s">
        <v>894</v>
      </c>
      <c r="J477" s="27" t="s">
        <v>285</v>
      </c>
      <c r="K477" s="27" t="s">
        <v>285</v>
      </c>
      <c r="L477" s="27" t="s">
        <v>901</v>
      </c>
      <c r="M477" s="27" t="s">
        <v>905</v>
      </c>
      <c r="N477" s="27" t="s">
        <v>285</v>
      </c>
      <c r="O477" s="27" t="s">
        <v>86</v>
      </c>
      <c r="P477" s="27" t="s">
        <v>896</v>
      </c>
      <c r="Q477" s="27" t="s">
        <v>897</v>
      </c>
      <c r="R477" s="1">
        <v>41976</v>
      </c>
      <c r="S477" s="27" t="s">
        <v>845</v>
      </c>
      <c r="T477" s="27" t="s">
        <v>1118</v>
      </c>
      <c r="U477" s="1">
        <v>135</v>
      </c>
      <c r="V477" s="27" t="s">
        <v>900</v>
      </c>
      <c r="W477" s="26"/>
      <c r="X477" s="28">
        <v>1.23</v>
      </c>
      <c r="Y477" s="29">
        <v>0.4</v>
      </c>
      <c r="Z477" s="29">
        <v>0.6</v>
      </c>
      <c r="AA477" s="26"/>
      <c r="AB477" s="26"/>
      <c r="AC477" s="27" t="s">
        <v>901</v>
      </c>
      <c r="AD477" t="s">
        <v>847</v>
      </c>
      <c r="AE477">
        <v>4.25</v>
      </c>
      <c r="AF477" t="s">
        <v>861</v>
      </c>
      <c r="AG477" t="s">
        <v>1075</v>
      </c>
      <c r="AH477" t="s">
        <v>903</v>
      </c>
      <c r="AI477" t="s">
        <v>1076</v>
      </c>
      <c r="AJ477" s="15"/>
      <c r="AK477" t="s">
        <v>908</v>
      </c>
    </row>
    <row r="478" spans="1:37" ht="15" hidden="1" customHeight="1" x14ac:dyDescent="0.25">
      <c r="A478" s="1">
        <v>479</v>
      </c>
      <c r="B478" s="21">
        <v>43751</v>
      </c>
      <c r="C478" s="22"/>
      <c r="D478" s="34">
        <v>636</v>
      </c>
      <c r="E478" s="21">
        <v>63601</v>
      </c>
      <c r="F478" s="34">
        <v>63601</v>
      </c>
      <c r="G478" s="23" t="s">
        <v>282</v>
      </c>
      <c r="H478" s="23" t="s">
        <v>281</v>
      </c>
      <c r="I478" s="23" t="s">
        <v>894</v>
      </c>
      <c r="J478" s="23" t="s">
        <v>50</v>
      </c>
      <c r="K478" s="23" t="s">
        <v>50</v>
      </c>
      <c r="L478" s="23" t="s">
        <v>901</v>
      </c>
      <c r="M478" s="23" t="s">
        <v>905</v>
      </c>
      <c r="N478" s="23" t="s">
        <v>50</v>
      </c>
      <c r="O478" s="23" t="s">
        <v>86</v>
      </c>
      <c r="P478" s="23" t="s">
        <v>896</v>
      </c>
      <c r="Q478" s="23" t="s">
        <v>897</v>
      </c>
      <c r="R478" s="21">
        <v>41977</v>
      </c>
      <c r="S478" s="23" t="s">
        <v>1168</v>
      </c>
      <c r="T478" s="23" t="s">
        <v>1118</v>
      </c>
      <c r="U478" s="21">
        <v>135</v>
      </c>
      <c r="V478" s="23" t="s">
        <v>900</v>
      </c>
      <c r="W478" s="22"/>
      <c r="X478" s="24">
        <v>1.23</v>
      </c>
      <c r="Y478" s="25">
        <v>0.4</v>
      </c>
      <c r="Z478" s="25">
        <v>0.6</v>
      </c>
      <c r="AA478" s="22"/>
      <c r="AB478" s="22"/>
      <c r="AC478" s="23" t="s">
        <v>901</v>
      </c>
      <c r="AD478" s="17" t="s">
        <v>780</v>
      </c>
      <c r="AE478" s="17">
        <v>4.25</v>
      </c>
      <c r="AF478" s="17" t="s">
        <v>861</v>
      </c>
      <c r="AG478" s="17" t="s">
        <v>1075</v>
      </c>
      <c r="AH478" t="s">
        <v>903</v>
      </c>
      <c r="AI478" t="s">
        <v>1076</v>
      </c>
      <c r="AJ478" s="15"/>
      <c r="AK478" t="s">
        <v>908</v>
      </c>
    </row>
    <row r="479" spans="1:37" ht="15" hidden="1" customHeight="1" x14ac:dyDescent="0.25">
      <c r="A479" s="8">
        <v>480</v>
      </c>
      <c r="B479" s="1">
        <v>43789</v>
      </c>
      <c r="C479" s="35">
        <v>43551</v>
      </c>
      <c r="D479" s="1">
        <v>200</v>
      </c>
      <c r="E479" s="1">
        <v>20003</v>
      </c>
      <c r="F479" s="35">
        <v>20003</v>
      </c>
      <c r="G479" s="27" t="s">
        <v>230</v>
      </c>
      <c r="H479" s="27" t="s">
        <v>228</v>
      </c>
      <c r="I479" s="27" t="s">
        <v>894</v>
      </c>
      <c r="J479" s="27" t="s">
        <v>123</v>
      </c>
      <c r="K479" s="27" t="s">
        <v>123</v>
      </c>
      <c r="L479" s="27" t="s">
        <v>901</v>
      </c>
      <c r="M479" s="27" t="s">
        <v>123</v>
      </c>
      <c r="N479" s="27" t="s">
        <v>901</v>
      </c>
      <c r="O479" s="27" t="s">
        <v>86</v>
      </c>
      <c r="P479" s="27" t="s">
        <v>896</v>
      </c>
      <c r="Q479" s="27" t="s">
        <v>897</v>
      </c>
      <c r="R479" s="1">
        <v>41996</v>
      </c>
      <c r="S479" s="27" t="s">
        <v>228</v>
      </c>
      <c r="T479" s="27" t="s">
        <v>1090</v>
      </c>
      <c r="U479" s="1">
        <v>0</v>
      </c>
      <c r="V479" s="27" t="s">
        <v>907</v>
      </c>
      <c r="W479" s="26"/>
      <c r="X479" s="28">
        <v>0</v>
      </c>
      <c r="Y479" s="30"/>
      <c r="Z479" s="30"/>
      <c r="AA479" s="26"/>
      <c r="AB479" s="26"/>
      <c r="AC479" s="27" t="s">
        <v>901</v>
      </c>
      <c r="AD479" t="s">
        <v>377</v>
      </c>
      <c r="AE479">
        <v>1</v>
      </c>
      <c r="AF479" t="s">
        <v>123</v>
      </c>
      <c r="AG479" t="s">
        <v>1169</v>
      </c>
      <c r="AH479" t="s">
        <v>903</v>
      </c>
      <c r="AI479" t="s">
        <v>1076</v>
      </c>
      <c r="AJ479" s="15"/>
      <c r="AK479" t="s">
        <v>1170</v>
      </c>
    </row>
    <row r="480" spans="1:37" ht="15" hidden="1" customHeight="1" x14ac:dyDescent="0.25">
      <c r="A480" s="1">
        <v>481</v>
      </c>
      <c r="B480" s="21">
        <v>43869</v>
      </c>
      <c r="C480" s="31"/>
      <c r="D480" s="21">
        <v>637</v>
      </c>
      <c r="E480" s="21">
        <v>63701</v>
      </c>
      <c r="F480" s="34">
        <v>63701</v>
      </c>
      <c r="G480" s="23" t="s">
        <v>430</v>
      </c>
      <c r="H480" s="23" t="s">
        <v>427</v>
      </c>
      <c r="I480" s="23" t="s">
        <v>894</v>
      </c>
      <c r="J480" s="23" t="s">
        <v>257</v>
      </c>
      <c r="K480" s="23" t="s">
        <v>257</v>
      </c>
      <c r="L480" s="23" t="s">
        <v>901</v>
      </c>
      <c r="M480" s="23" t="s">
        <v>905</v>
      </c>
      <c r="N480" s="23" t="s">
        <v>257</v>
      </c>
      <c r="O480" s="23" t="s">
        <v>122</v>
      </c>
      <c r="P480" s="23" t="s">
        <v>896</v>
      </c>
      <c r="Q480" s="23" t="s">
        <v>897</v>
      </c>
      <c r="R480" s="21">
        <v>42036</v>
      </c>
      <c r="S480" s="23" t="s">
        <v>1171</v>
      </c>
      <c r="T480" s="23" t="s">
        <v>1120</v>
      </c>
      <c r="U480" s="21">
        <v>128</v>
      </c>
      <c r="V480" s="23" t="s">
        <v>900</v>
      </c>
      <c r="W480" s="22"/>
      <c r="X480" s="24">
        <v>6.19</v>
      </c>
      <c r="Y480" s="33">
        <v>0.5</v>
      </c>
      <c r="Z480" s="33">
        <v>0.5</v>
      </c>
      <c r="AA480" s="22"/>
      <c r="AB480" s="22"/>
      <c r="AC480" s="23" t="s">
        <v>901</v>
      </c>
      <c r="AD480" s="17" t="s">
        <v>429</v>
      </c>
      <c r="AE480" s="17">
        <v>4.25</v>
      </c>
      <c r="AF480" s="17" t="s">
        <v>862</v>
      </c>
      <c r="AG480" s="17" t="s">
        <v>1040</v>
      </c>
      <c r="AH480" t="s">
        <v>903</v>
      </c>
      <c r="AJ480" s="15">
        <f>VLOOKUP(Tabla1[[#This Row],[CPC]],[1]Sheet3!$A:$D,4,0)</f>
        <v>0.50011032125040855</v>
      </c>
      <c r="AK480" t="s">
        <v>908</v>
      </c>
    </row>
    <row r="481" spans="1:37" ht="15" hidden="1" customHeight="1" x14ac:dyDescent="0.25">
      <c r="A481" s="1">
        <v>482</v>
      </c>
      <c r="B481" s="1">
        <v>44009</v>
      </c>
      <c r="C481" s="26"/>
      <c r="D481" s="1">
        <v>638</v>
      </c>
      <c r="E481" s="1">
        <v>63801</v>
      </c>
      <c r="F481" s="35">
        <v>63801</v>
      </c>
      <c r="G481" s="27" t="s">
        <v>38</v>
      </c>
      <c r="H481" s="27" t="s">
        <v>37</v>
      </c>
      <c r="I481" s="27" t="s">
        <v>894</v>
      </c>
      <c r="J481" s="27" t="s">
        <v>36</v>
      </c>
      <c r="K481" s="27" t="s">
        <v>1119</v>
      </c>
      <c r="L481" s="27" t="s">
        <v>901</v>
      </c>
      <c r="M481" s="27" t="s">
        <v>905</v>
      </c>
      <c r="N481" s="27" t="s">
        <v>36</v>
      </c>
      <c r="O481" s="27" t="s">
        <v>299</v>
      </c>
      <c r="P481" s="27" t="s">
        <v>896</v>
      </c>
      <c r="Q481" s="27" t="s">
        <v>897</v>
      </c>
      <c r="R481" s="1">
        <v>42056</v>
      </c>
      <c r="S481" s="27" t="s">
        <v>37</v>
      </c>
      <c r="T481" s="27" t="s">
        <v>1120</v>
      </c>
      <c r="U481" s="1">
        <v>128</v>
      </c>
      <c r="V481" s="27" t="s">
        <v>900</v>
      </c>
      <c r="W481" s="26"/>
      <c r="X481" s="28">
        <v>1.64</v>
      </c>
      <c r="Y481" s="29">
        <v>0.5</v>
      </c>
      <c r="Z481" s="29">
        <v>0.5</v>
      </c>
      <c r="AA481" s="26"/>
      <c r="AB481" s="26"/>
      <c r="AC481" s="27" t="s">
        <v>901</v>
      </c>
      <c r="AD481" t="s">
        <v>322</v>
      </c>
      <c r="AE481">
        <v>4.25</v>
      </c>
      <c r="AF481" t="s">
        <v>43</v>
      </c>
      <c r="AG481" t="s">
        <v>1040</v>
      </c>
      <c r="AH481" t="s">
        <v>903</v>
      </c>
      <c r="AJ481" s="15">
        <f>VLOOKUP(Tabla1[[#This Row],[CPC]],[1]Sheet3!$A:$D,4,0)</f>
        <v>0.60000024758652692</v>
      </c>
      <c r="AK481" t="s">
        <v>908</v>
      </c>
    </row>
    <row r="482" spans="1:37" ht="15" hidden="1" customHeight="1" x14ac:dyDescent="0.25">
      <c r="A482" s="8">
        <v>483</v>
      </c>
      <c r="B482" s="21">
        <v>44029</v>
      </c>
      <c r="C482" s="22"/>
      <c r="D482" s="22"/>
      <c r="E482" s="31" t="s">
        <v>1020</v>
      </c>
      <c r="F482" s="22" t="s">
        <v>1020</v>
      </c>
      <c r="G482" s="23" t="s">
        <v>435</v>
      </c>
      <c r="H482" s="23" t="s">
        <v>434</v>
      </c>
      <c r="I482" s="23" t="s">
        <v>894</v>
      </c>
      <c r="J482" s="23" t="s">
        <v>257</v>
      </c>
      <c r="K482" s="23" t="s">
        <v>257</v>
      </c>
      <c r="L482" s="23" t="s">
        <v>901</v>
      </c>
      <c r="M482" s="23" t="s">
        <v>905</v>
      </c>
      <c r="N482" s="23" t="s">
        <v>257</v>
      </c>
      <c r="O482" s="23" t="s">
        <v>433</v>
      </c>
      <c r="P482" s="23" t="s">
        <v>896</v>
      </c>
      <c r="Q482" s="23" t="s">
        <v>897</v>
      </c>
      <c r="R482" s="21">
        <v>42076</v>
      </c>
      <c r="S482" s="23" t="s">
        <v>434</v>
      </c>
      <c r="T482" s="23" t="s">
        <v>1120</v>
      </c>
      <c r="U482" s="21">
        <v>128</v>
      </c>
      <c r="V482" s="23" t="s">
        <v>900</v>
      </c>
      <c r="W482" s="22"/>
      <c r="X482" s="24">
        <v>1.64</v>
      </c>
      <c r="Y482" s="25">
        <v>0.5</v>
      </c>
      <c r="Z482" s="25">
        <v>0.5</v>
      </c>
      <c r="AA482" s="22"/>
      <c r="AB482" s="22"/>
      <c r="AC482" s="23" t="s">
        <v>901</v>
      </c>
      <c r="AD482" s="17" t="s">
        <v>436</v>
      </c>
      <c r="AE482" s="17">
        <v>4.25</v>
      </c>
      <c r="AF482" s="17" t="s">
        <v>862</v>
      </c>
      <c r="AG482" s="17" t="s">
        <v>1040</v>
      </c>
      <c r="AH482" t="s">
        <v>903</v>
      </c>
      <c r="AJ482" s="15"/>
      <c r="AK482" t="s">
        <v>908</v>
      </c>
    </row>
    <row r="483" spans="1:37" ht="15" hidden="1" customHeight="1" x14ac:dyDescent="0.25">
      <c r="A483" s="1">
        <v>484</v>
      </c>
      <c r="B483" s="1">
        <v>44049</v>
      </c>
      <c r="C483" s="26"/>
      <c r="D483" s="26"/>
      <c r="E483" s="30"/>
      <c r="F483" s="26"/>
      <c r="G483" s="27" t="s">
        <v>428</v>
      </c>
      <c r="H483" s="27" t="s">
        <v>427</v>
      </c>
      <c r="I483" s="27" t="s">
        <v>894</v>
      </c>
      <c r="J483" s="27" t="s">
        <v>257</v>
      </c>
      <c r="K483" s="27" t="s">
        <v>257</v>
      </c>
      <c r="L483" s="27" t="s">
        <v>901</v>
      </c>
      <c r="M483" s="27" t="s">
        <v>905</v>
      </c>
      <c r="N483" s="27" t="s">
        <v>257</v>
      </c>
      <c r="O483" s="27" t="s">
        <v>122</v>
      </c>
      <c r="P483" s="27" t="s">
        <v>896</v>
      </c>
      <c r="Q483" s="27" t="s">
        <v>897</v>
      </c>
      <c r="R483" s="1">
        <v>42096</v>
      </c>
      <c r="S483" s="27" t="s">
        <v>1171</v>
      </c>
      <c r="T483" s="27" t="s">
        <v>1120</v>
      </c>
      <c r="U483" s="1">
        <v>128</v>
      </c>
      <c r="V483" s="27" t="s">
        <v>900</v>
      </c>
      <c r="W483" s="26"/>
      <c r="X483" s="28">
        <v>6.19</v>
      </c>
      <c r="Y483" s="29">
        <v>0.4</v>
      </c>
      <c r="Z483" s="29">
        <v>0.6</v>
      </c>
      <c r="AA483" s="26"/>
      <c r="AB483" s="26"/>
      <c r="AC483" s="27" t="s">
        <v>901</v>
      </c>
      <c r="AD483" t="s">
        <v>429</v>
      </c>
      <c r="AE483">
        <v>4.25</v>
      </c>
      <c r="AF483" t="s">
        <v>862</v>
      </c>
      <c r="AH483" t="s">
        <v>903</v>
      </c>
      <c r="AJ483" s="15"/>
      <c r="AK483" t="s">
        <v>908</v>
      </c>
    </row>
    <row r="484" spans="1:37" ht="15" hidden="1" customHeight="1" x14ac:dyDescent="0.25">
      <c r="A484" s="1">
        <v>485</v>
      </c>
      <c r="B484" s="21">
        <v>44051</v>
      </c>
      <c r="C484" s="22"/>
      <c r="D484" s="34">
        <v>639</v>
      </c>
      <c r="E484" s="21">
        <v>63901</v>
      </c>
      <c r="F484" s="34">
        <v>63901</v>
      </c>
      <c r="G484" s="23" t="s">
        <v>11</v>
      </c>
      <c r="H484" s="23" t="s">
        <v>11</v>
      </c>
      <c r="I484" s="23" t="s">
        <v>894</v>
      </c>
      <c r="J484" s="23" t="s">
        <v>6</v>
      </c>
      <c r="K484" s="23" t="s">
        <v>5</v>
      </c>
      <c r="L484" s="23" t="s">
        <v>901</v>
      </c>
      <c r="M484" s="23" t="s">
        <v>905</v>
      </c>
      <c r="N484" s="23" t="s">
        <v>5</v>
      </c>
      <c r="O484" s="23" t="s">
        <v>86</v>
      </c>
      <c r="P484" s="23" t="s">
        <v>896</v>
      </c>
      <c r="Q484" s="23" t="s">
        <v>897</v>
      </c>
      <c r="R484" s="21">
        <v>42097</v>
      </c>
      <c r="S484" s="23" t="s">
        <v>11</v>
      </c>
      <c r="T484" s="23" t="s">
        <v>1131</v>
      </c>
      <c r="U484" s="21">
        <v>137</v>
      </c>
      <c r="V484" s="23" t="s">
        <v>900</v>
      </c>
      <c r="W484" s="22"/>
      <c r="X484" s="24">
        <v>2.4700000000000002</v>
      </c>
      <c r="Y484" s="25">
        <v>0.5</v>
      </c>
      <c r="Z484" s="25">
        <v>0.5</v>
      </c>
      <c r="AA484" s="22"/>
      <c r="AB484" s="22"/>
      <c r="AC484" s="23" t="s">
        <v>901</v>
      </c>
      <c r="AD484" s="17" t="s">
        <v>289</v>
      </c>
      <c r="AE484" s="17">
        <v>4.25</v>
      </c>
      <c r="AF484" s="17" t="s">
        <v>6</v>
      </c>
      <c r="AG484" s="17" t="s">
        <v>1040</v>
      </c>
      <c r="AH484" t="s">
        <v>903</v>
      </c>
      <c r="AJ484" s="15">
        <f>VLOOKUP(Tabla1[[#This Row],[CPC]],[1]Sheet3!$A:$D,4,0)</f>
        <v>0.5000055136344288</v>
      </c>
      <c r="AK484" t="s">
        <v>908</v>
      </c>
    </row>
    <row r="485" spans="1:37" ht="15" hidden="1" customHeight="1" x14ac:dyDescent="0.25">
      <c r="A485" s="8">
        <v>486</v>
      </c>
      <c r="B485" s="1">
        <v>44169</v>
      </c>
      <c r="C485" s="26"/>
      <c r="D485" s="26"/>
      <c r="E485" s="30" t="s">
        <v>1020</v>
      </c>
      <c r="F485" s="26" t="s">
        <v>1020</v>
      </c>
      <c r="G485" s="27" t="s">
        <v>42</v>
      </c>
      <c r="H485" s="27" t="s">
        <v>41</v>
      </c>
      <c r="I485" s="27" t="s">
        <v>894</v>
      </c>
      <c r="J485" s="27" t="s">
        <v>36</v>
      </c>
      <c r="K485" s="27" t="s">
        <v>1119</v>
      </c>
      <c r="L485" s="27" t="s">
        <v>901</v>
      </c>
      <c r="M485" s="27" t="s">
        <v>905</v>
      </c>
      <c r="N485" s="27" t="s">
        <v>36</v>
      </c>
      <c r="O485" s="27" t="s">
        <v>319</v>
      </c>
      <c r="P485" s="27" t="s">
        <v>896</v>
      </c>
      <c r="Q485" s="27" t="s">
        <v>897</v>
      </c>
      <c r="R485" s="1">
        <v>42116</v>
      </c>
      <c r="S485" s="27" t="s">
        <v>41</v>
      </c>
      <c r="T485" s="27" t="s">
        <v>1120</v>
      </c>
      <c r="U485" s="1">
        <v>128</v>
      </c>
      <c r="V485" s="27" t="s">
        <v>900</v>
      </c>
      <c r="W485" s="26"/>
      <c r="X485" s="28">
        <v>1.64</v>
      </c>
      <c r="Y485" s="29">
        <v>0.55000000000000004</v>
      </c>
      <c r="Z485" s="29">
        <v>0.45</v>
      </c>
      <c r="AA485" s="26"/>
      <c r="AB485" s="26"/>
      <c r="AC485" s="27" t="s">
        <v>901</v>
      </c>
      <c r="AD485" t="s">
        <v>321</v>
      </c>
      <c r="AE485">
        <v>4.25</v>
      </c>
      <c r="AF485" t="s">
        <v>43</v>
      </c>
      <c r="AG485" t="s">
        <v>1040</v>
      </c>
      <c r="AH485" t="s">
        <v>903</v>
      </c>
      <c r="AJ485" s="15">
        <f>VLOOKUP(Tabla1[[#This Row],[CPC]],[1]Sheet3!$A:$D,4,0)</f>
        <v>0.54995100174216216</v>
      </c>
      <c r="AK485" t="s">
        <v>908</v>
      </c>
    </row>
    <row r="486" spans="1:37" ht="15" hidden="1" customHeight="1" x14ac:dyDescent="0.25">
      <c r="A486" s="1">
        <v>487</v>
      </c>
      <c r="B486" s="21">
        <v>44171</v>
      </c>
      <c r="C486" s="31"/>
      <c r="D486" s="22"/>
      <c r="E486" s="22" t="s">
        <v>1020</v>
      </c>
      <c r="F486" s="22" t="s">
        <v>1020</v>
      </c>
      <c r="G486" s="23" t="s">
        <v>40</v>
      </c>
      <c r="H486" s="23" t="s">
        <v>39</v>
      </c>
      <c r="I486" s="23" t="s">
        <v>894</v>
      </c>
      <c r="J486" s="23" t="s">
        <v>36</v>
      </c>
      <c r="K486" s="23" t="s">
        <v>36</v>
      </c>
      <c r="L486" s="23" t="s">
        <v>901</v>
      </c>
      <c r="M486" s="23" t="s">
        <v>905</v>
      </c>
      <c r="N486" s="23" t="s">
        <v>36</v>
      </c>
      <c r="O486" s="23" t="s">
        <v>319</v>
      </c>
      <c r="P486" s="23" t="s">
        <v>896</v>
      </c>
      <c r="Q486" s="23" t="s">
        <v>897</v>
      </c>
      <c r="R486" s="21">
        <v>42117</v>
      </c>
      <c r="S486" s="23" t="s">
        <v>39</v>
      </c>
      <c r="T486" s="23" t="s">
        <v>1118</v>
      </c>
      <c r="U486" s="21">
        <v>135</v>
      </c>
      <c r="V486" s="23" t="s">
        <v>900</v>
      </c>
      <c r="W486" s="22"/>
      <c r="X486" s="24">
        <v>1.23</v>
      </c>
      <c r="Y486" s="33">
        <v>0.55000000000000004</v>
      </c>
      <c r="Z486" s="33">
        <v>0.45</v>
      </c>
      <c r="AA486" s="22"/>
      <c r="AB486" s="22"/>
      <c r="AC486" s="23" t="s">
        <v>901</v>
      </c>
      <c r="AD486" s="17" t="s">
        <v>320</v>
      </c>
      <c r="AE486" s="17">
        <v>4.25</v>
      </c>
      <c r="AF486" s="17" t="s">
        <v>43</v>
      </c>
      <c r="AG486" s="17" t="s">
        <v>1040</v>
      </c>
      <c r="AH486" t="s">
        <v>903</v>
      </c>
      <c r="AJ486" s="15"/>
      <c r="AK486" t="s">
        <v>908</v>
      </c>
    </row>
    <row r="487" spans="1:37" ht="15" hidden="1" customHeight="1" x14ac:dyDescent="0.25">
      <c r="A487" s="1">
        <v>488</v>
      </c>
      <c r="B487" s="35">
        <v>44190</v>
      </c>
      <c r="C487" s="26"/>
      <c r="D487" s="35">
        <v>640</v>
      </c>
      <c r="E487" s="35">
        <v>64001</v>
      </c>
      <c r="F487" s="35">
        <v>64001</v>
      </c>
      <c r="G487" s="38" t="s">
        <v>294</v>
      </c>
      <c r="H487" s="38" t="s">
        <v>293</v>
      </c>
      <c r="I487" s="27" t="s">
        <v>894</v>
      </c>
      <c r="J487" s="38" t="s">
        <v>6</v>
      </c>
      <c r="K487" s="39" t="s">
        <v>5</v>
      </c>
      <c r="L487" s="38" t="s">
        <v>901</v>
      </c>
      <c r="M487" s="27" t="s">
        <v>905</v>
      </c>
      <c r="N487" s="38" t="s">
        <v>5</v>
      </c>
      <c r="O487" s="38" t="s">
        <v>292</v>
      </c>
      <c r="P487" s="39" t="s">
        <v>896</v>
      </c>
      <c r="Q487" s="27" t="s">
        <v>897</v>
      </c>
      <c r="R487" s="35">
        <v>42136</v>
      </c>
      <c r="S487" s="38" t="s">
        <v>292</v>
      </c>
      <c r="T487" s="38" t="s">
        <v>1143</v>
      </c>
      <c r="U487" s="35">
        <v>136</v>
      </c>
      <c r="V487" s="38" t="s">
        <v>900</v>
      </c>
      <c r="W487" s="26"/>
      <c r="X487" s="36">
        <v>2.06</v>
      </c>
      <c r="Y487" s="32">
        <v>0.75</v>
      </c>
      <c r="Z487" s="32">
        <v>0.25</v>
      </c>
      <c r="AA487" s="26"/>
      <c r="AB487" s="26"/>
      <c r="AC487" s="38" t="s">
        <v>901</v>
      </c>
      <c r="AD487" t="s">
        <v>295</v>
      </c>
      <c r="AE487">
        <v>4.25</v>
      </c>
      <c r="AF487" t="s">
        <v>6</v>
      </c>
      <c r="AG487" t="s">
        <v>1040</v>
      </c>
      <c r="AH487" t="s">
        <v>903</v>
      </c>
      <c r="AJ487" s="15"/>
      <c r="AK487" t="s">
        <v>908</v>
      </c>
    </row>
    <row r="488" spans="1:37" ht="15" hidden="1" customHeight="1" x14ac:dyDescent="0.25">
      <c r="A488" s="8">
        <v>489</v>
      </c>
      <c r="B488" s="34">
        <v>44269</v>
      </c>
      <c r="C488" s="22"/>
      <c r="D488" s="22"/>
      <c r="E488" s="22" t="s">
        <v>1020</v>
      </c>
      <c r="F488" s="22" t="s">
        <v>1020</v>
      </c>
      <c r="G488" s="40" t="s">
        <v>297</v>
      </c>
      <c r="H488" s="40" t="s">
        <v>296</v>
      </c>
      <c r="I488" s="23" t="s">
        <v>894</v>
      </c>
      <c r="J488" s="40" t="s">
        <v>12</v>
      </c>
      <c r="K488" s="41" t="s">
        <v>5</v>
      </c>
      <c r="L488" s="40" t="s">
        <v>901</v>
      </c>
      <c r="M488" s="23" t="s">
        <v>905</v>
      </c>
      <c r="N488" s="40" t="s">
        <v>5</v>
      </c>
      <c r="O488" s="40" t="s">
        <v>296</v>
      </c>
      <c r="P488" s="41" t="s">
        <v>896</v>
      </c>
      <c r="Q488" s="23" t="s">
        <v>897</v>
      </c>
      <c r="R488" s="34">
        <v>42176</v>
      </c>
      <c r="S488" s="40" t="s">
        <v>296</v>
      </c>
      <c r="T488" s="40" t="s">
        <v>1120</v>
      </c>
      <c r="U488" s="34">
        <v>128</v>
      </c>
      <c r="V488" s="40" t="s">
        <v>900</v>
      </c>
      <c r="W488" s="22"/>
      <c r="X488" s="42">
        <v>1.64</v>
      </c>
      <c r="Y488" s="33">
        <v>0.65</v>
      </c>
      <c r="Z488" s="33">
        <v>0.35</v>
      </c>
      <c r="AA488" s="22"/>
      <c r="AB488" s="22"/>
      <c r="AC488" s="40" t="s">
        <v>901</v>
      </c>
      <c r="AD488" s="17" t="s">
        <v>298</v>
      </c>
      <c r="AE488" s="17">
        <v>4.25</v>
      </c>
      <c r="AF488" s="17" t="s">
        <v>862</v>
      </c>
      <c r="AG488" s="17"/>
      <c r="AH488" t="s">
        <v>903</v>
      </c>
      <c r="AJ488" s="15"/>
      <c r="AK488" t="s">
        <v>908</v>
      </c>
    </row>
    <row r="489" spans="1:37" ht="15" hidden="1" customHeight="1" x14ac:dyDescent="0.25">
      <c r="A489" s="1">
        <v>490</v>
      </c>
      <c r="B489" s="35">
        <v>44409</v>
      </c>
      <c r="C489" s="26"/>
      <c r="D489" s="26"/>
      <c r="E489" s="26" t="s">
        <v>1020</v>
      </c>
      <c r="F489" s="26" t="s">
        <v>1020</v>
      </c>
      <c r="G489" s="38" t="s">
        <v>465</v>
      </c>
      <c r="H489" s="38" t="s">
        <v>61</v>
      </c>
      <c r="I489" s="27" t="s">
        <v>894</v>
      </c>
      <c r="J489" s="38" t="s">
        <v>279</v>
      </c>
      <c r="K489" s="39" t="s">
        <v>279</v>
      </c>
      <c r="L489" s="38" t="s">
        <v>925</v>
      </c>
      <c r="M489" s="27" t="s">
        <v>279</v>
      </c>
      <c r="N489" s="38" t="s">
        <v>925</v>
      </c>
      <c r="O489" s="38" t="s">
        <v>299</v>
      </c>
      <c r="P489" s="39" t="s">
        <v>896</v>
      </c>
      <c r="Q489" s="27" t="s">
        <v>897</v>
      </c>
      <c r="R489" s="35">
        <v>42196</v>
      </c>
      <c r="S489" s="38" t="s">
        <v>1172</v>
      </c>
      <c r="T489" s="38" t="s">
        <v>899</v>
      </c>
      <c r="U489" s="35">
        <v>58</v>
      </c>
      <c r="V489" s="38" t="s">
        <v>900</v>
      </c>
      <c r="W489" s="26"/>
      <c r="X489" s="36">
        <v>2.99</v>
      </c>
      <c r="Y489" s="32">
        <v>0.4</v>
      </c>
      <c r="Z489" s="32">
        <v>0.6</v>
      </c>
      <c r="AA489" s="26"/>
      <c r="AB489" s="26"/>
      <c r="AC489" s="38" t="s">
        <v>901</v>
      </c>
      <c r="AD489" t="s">
        <v>466</v>
      </c>
      <c r="AE489">
        <v>4.25</v>
      </c>
      <c r="AF489" t="s">
        <v>6</v>
      </c>
      <c r="AG489" t="s">
        <v>902</v>
      </c>
      <c r="AH489" t="s">
        <v>903</v>
      </c>
      <c r="AJ489" s="15">
        <f>VLOOKUP(Tabla1[[#This Row],[CPC]],[1]Sheet3!$A:$D,4,0)</f>
        <v>0.39999995366613134</v>
      </c>
      <c r="AK489" t="s">
        <v>904</v>
      </c>
    </row>
    <row r="490" spans="1:37" ht="15" customHeight="1" x14ac:dyDescent="0.25">
      <c r="A490" s="1">
        <v>491</v>
      </c>
      <c r="B490" s="34">
        <v>44469</v>
      </c>
      <c r="C490" s="22"/>
      <c r="D490" s="34">
        <v>674</v>
      </c>
      <c r="E490" s="43" t="s">
        <v>1173</v>
      </c>
      <c r="F490" s="34">
        <v>67402</v>
      </c>
      <c r="G490" s="40" t="s">
        <v>840</v>
      </c>
      <c r="H490" s="40" t="s">
        <v>840</v>
      </c>
      <c r="I490" s="23" t="s">
        <v>894</v>
      </c>
      <c r="J490" s="40" t="s">
        <v>838</v>
      </c>
      <c r="K490" s="41" t="s">
        <v>838</v>
      </c>
      <c r="L490" s="40" t="s">
        <v>901</v>
      </c>
      <c r="M490" s="23" t="s">
        <v>905</v>
      </c>
      <c r="N490" s="40" t="s">
        <v>905</v>
      </c>
      <c r="O490" s="40" t="s">
        <v>839</v>
      </c>
      <c r="P490" s="41" t="s">
        <v>896</v>
      </c>
      <c r="Q490" s="23" t="s">
        <v>897</v>
      </c>
      <c r="R490" s="34">
        <v>42236</v>
      </c>
      <c r="S490" s="40" t="s">
        <v>840</v>
      </c>
      <c r="T490" s="40" t="s">
        <v>1174</v>
      </c>
      <c r="U490" s="34">
        <v>64</v>
      </c>
      <c r="V490" s="27" t="s">
        <v>907</v>
      </c>
      <c r="W490" s="22"/>
      <c r="X490" s="42">
        <v>5.99</v>
      </c>
      <c r="Y490" s="33">
        <v>0.88</v>
      </c>
      <c r="Z490" s="33">
        <v>0.12</v>
      </c>
      <c r="AA490" s="22"/>
      <c r="AB490" s="22"/>
      <c r="AC490" s="40" t="s">
        <v>901</v>
      </c>
      <c r="AD490" s="17" t="s">
        <v>841</v>
      </c>
      <c r="AE490" s="17">
        <v>1</v>
      </c>
      <c r="AF490" s="17" t="s">
        <v>838</v>
      </c>
      <c r="AG490" s="17" t="s">
        <v>838</v>
      </c>
      <c r="AH490" t="s">
        <v>1175</v>
      </c>
      <c r="AJ490" s="15"/>
      <c r="AK490" t="s">
        <v>908</v>
      </c>
    </row>
    <row r="491" spans="1:37" ht="15" customHeight="1" x14ac:dyDescent="0.25">
      <c r="A491" s="8">
        <v>492</v>
      </c>
      <c r="B491" s="35">
        <v>44471</v>
      </c>
      <c r="C491" s="35">
        <v>44469</v>
      </c>
      <c r="D491" s="35">
        <v>674</v>
      </c>
      <c r="E491" s="44" t="s">
        <v>1176</v>
      </c>
      <c r="F491" s="35">
        <v>67401</v>
      </c>
      <c r="G491" s="38" t="s">
        <v>843</v>
      </c>
      <c r="H491" s="38" t="s">
        <v>842</v>
      </c>
      <c r="I491" s="27" t="s">
        <v>894</v>
      </c>
      <c r="J491" s="38" t="s">
        <v>838</v>
      </c>
      <c r="K491" s="41" t="s">
        <v>838</v>
      </c>
      <c r="L491" s="38" t="s">
        <v>901</v>
      </c>
      <c r="M491" s="27" t="s">
        <v>905</v>
      </c>
      <c r="N491" s="38" t="s">
        <v>905</v>
      </c>
      <c r="O491" s="38" t="s">
        <v>839</v>
      </c>
      <c r="P491" s="39" t="s">
        <v>896</v>
      </c>
      <c r="Q491" s="27" t="s">
        <v>897</v>
      </c>
      <c r="R491" s="35">
        <v>42237</v>
      </c>
      <c r="S491" s="38" t="s">
        <v>843</v>
      </c>
      <c r="T491" s="38" t="s">
        <v>1090</v>
      </c>
      <c r="U491" s="35">
        <v>0</v>
      </c>
      <c r="V491" s="27" t="s">
        <v>907</v>
      </c>
      <c r="W491" s="26"/>
      <c r="X491" s="36">
        <v>0</v>
      </c>
      <c r="Y491" s="26"/>
      <c r="Z491" s="26"/>
      <c r="AA491" s="26"/>
      <c r="AB491" s="26"/>
      <c r="AC491" s="38" t="s">
        <v>901</v>
      </c>
      <c r="AD491" t="s">
        <v>844</v>
      </c>
      <c r="AE491">
        <v>1</v>
      </c>
      <c r="AF491" t="s">
        <v>838</v>
      </c>
      <c r="AG491" t="s">
        <v>838</v>
      </c>
      <c r="AH491" t="s">
        <v>1175</v>
      </c>
      <c r="AJ491" s="15"/>
      <c r="AK491" t="s">
        <v>908</v>
      </c>
    </row>
    <row r="492" spans="1:37" ht="15" hidden="1" customHeight="1" x14ac:dyDescent="0.25">
      <c r="A492" s="1">
        <v>493</v>
      </c>
      <c r="B492" s="34">
        <v>44509</v>
      </c>
      <c r="C492" s="22"/>
      <c r="D492" s="34">
        <v>678</v>
      </c>
      <c r="E492" s="43" t="s">
        <v>1176</v>
      </c>
      <c r="F492" s="34">
        <v>67801</v>
      </c>
      <c r="G492" s="40" t="s">
        <v>444</v>
      </c>
      <c r="H492" s="40" t="s">
        <v>443</v>
      </c>
      <c r="I492" s="23" t="s">
        <v>894</v>
      </c>
      <c r="J492" s="40" t="s">
        <v>12</v>
      </c>
      <c r="K492" s="41" t="s">
        <v>257</v>
      </c>
      <c r="L492" s="40" t="s">
        <v>901</v>
      </c>
      <c r="M492" s="23" t="s">
        <v>905</v>
      </c>
      <c r="N492" s="40" t="s">
        <v>257</v>
      </c>
      <c r="O492" s="40" t="s">
        <v>1177</v>
      </c>
      <c r="P492" s="41" t="s">
        <v>896</v>
      </c>
      <c r="Q492" s="23" t="s">
        <v>897</v>
      </c>
      <c r="R492" s="34">
        <v>42256</v>
      </c>
      <c r="S492" s="40" t="s">
        <v>444</v>
      </c>
      <c r="T492" s="40" t="s">
        <v>1120</v>
      </c>
      <c r="U492" s="34">
        <v>128</v>
      </c>
      <c r="V492" s="40" t="s">
        <v>900</v>
      </c>
      <c r="W492" s="22"/>
      <c r="X492" s="42">
        <v>1.64</v>
      </c>
      <c r="Y492" s="33">
        <v>0.5</v>
      </c>
      <c r="Z492" s="33">
        <v>0.5</v>
      </c>
      <c r="AA492" s="22"/>
      <c r="AB492" s="22"/>
      <c r="AC492" s="40" t="s">
        <v>901</v>
      </c>
      <c r="AD492" s="17" t="s">
        <v>445</v>
      </c>
      <c r="AE492" s="17">
        <v>4.25</v>
      </c>
      <c r="AF492" s="17" t="s">
        <v>862</v>
      </c>
      <c r="AG492" s="17" t="s">
        <v>1040</v>
      </c>
      <c r="AH492" t="s">
        <v>903</v>
      </c>
      <c r="AJ492" s="15">
        <f>VLOOKUP(Tabla1[[#This Row],[CPC]],[1]Sheet3!$A:$D,4,0)</f>
        <v>0.5</v>
      </c>
      <c r="AK492" t="s">
        <v>908</v>
      </c>
    </row>
    <row r="493" spans="1:37" ht="15" hidden="1" customHeight="1" x14ac:dyDescent="0.25">
      <c r="A493" s="1">
        <v>494</v>
      </c>
      <c r="B493" s="35">
        <v>44549</v>
      </c>
      <c r="C493" s="26"/>
      <c r="D493" s="26"/>
      <c r="E493" s="26" t="s">
        <v>1020</v>
      </c>
      <c r="F493" s="26" t="s">
        <v>1020</v>
      </c>
      <c r="G493" s="38" t="s">
        <v>284</v>
      </c>
      <c r="H493" s="38" t="s">
        <v>281</v>
      </c>
      <c r="I493" s="27" t="s">
        <v>894</v>
      </c>
      <c r="J493" s="38" t="s">
        <v>50</v>
      </c>
      <c r="K493" s="39" t="s">
        <v>50</v>
      </c>
      <c r="L493" s="38" t="s">
        <v>901</v>
      </c>
      <c r="M493" s="27" t="s">
        <v>905</v>
      </c>
      <c r="N493" s="38" t="s">
        <v>50</v>
      </c>
      <c r="O493" s="38" t="s">
        <v>86</v>
      </c>
      <c r="P493" s="39" t="s">
        <v>896</v>
      </c>
      <c r="Q493" s="27" t="s">
        <v>897</v>
      </c>
      <c r="R493" s="35">
        <v>42296</v>
      </c>
      <c r="S493" s="38" t="s">
        <v>1168</v>
      </c>
      <c r="T493" s="38" t="s">
        <v>1120</v>
      </c>
      <c r="U493" s="35">
        <v>128</v>
      </c>
      <c r="V493" s="38" t="s">
        <v>900</v>
      </c>
      <c r="W493" s="26"/>
      <c r="X493" s="36">
        <v>1.64</v>
      </c>
      <c r="Y493" s="32">
        <v>0.5</v>
      </c>
      <c r="Z493" s="32">
        <v>0.5</v>
      </c>
      <c r="AA493" s="26"/>
      <c r="AB493" s="26"/>
      <c r="AC493" s="38" t="s">
        <v>901</v>
      </c>
      <c r="AD493" t="s">
        <v>780</v>
      </c>
      <c r="AE493">
        <v>4.25</v>
      </c>
      <c r="AF493" t="s">
        <v>861</v>
      </c>
      <c r="AH493" t="s">
        <v>903</v>
      </c>
      <c r="AI493" t="s">
        <v>1076</v>
      </c>
      <c r="AJ493" s="15"/>
      <c r="AK493" t="s">
        <v>908</v>
      </c>
    </row>
    <row r="494" spans="1:37" ht="15" hidden="1" customHeight="1" x14ac:dyDescent="0.25">
      <c r="A494" s="8">
        <v>495</v>
      </c>
      <c r="B494" s="34">
        <v>44551</v>
      </c>
      <c r="C494" s="22"/>
      <c r="D494" s="22"/>
      <c r="E494" s="22" t="s">
        <v>1020</v>
      </c>
      <c r="F494" s="22" t="s">
        <v>1020</v>
      </c>
      <c r="G494" s="40" t="s">
        <v>846</v>
      </c>
      <c r="H494" s="40" t="s">
        <v>845</v>
      </c>
      <c r="I494" s="23" t="s">
        <v>894</v>
      </c>
      <c r="J494" s="40" t="s">
        <v>285</v>
      </c>
      <c r="K494" s="41" t="s">
        <v>285</v>
      </c>
      <c r="L494" s="40" t="s">
        <v>901</v>
      </c>
      <c r="M494" s="23" t="s">
        <v>905</v>
      </c>
      <c r="N494" s="40" t="s">
        <v>285</v>
      </c>
      <c r="O494" s="40" t="s">
        <v>86</v>
      </c>
      <c r="P494" s="41" t="s">
        <v>896</v>
      </c>
      <c r="Q494" s="23" t="s">
        <v>897</v>
      </c>
      <c r="R494" s="34">
        <v>42297</v>
      </c>
      <c r="S494" s="40" t="s">
        <v>1074</v>
      </c>
      <c r="T494" s="40" t="s">
        <v>1120</v>
      </c>
      <c r="U494" s="34">
        <v>128</v>
      </c>
      <c r="V494" s="40" t="s">
        <v>900</v>
      </c>
      <c r="W494" s="22"/>
      <c r="X494" s="42">
        <v>1.64</v>
      </c>
      <c r="Y494" s="33">
        <v>0.5</v>
      </c>
      <c r="Z494" s="33">
        <v>0.5</v>
      </c>
      <c r="AA494" s="22"/>
      <c r="AB494" s="22"/>
      <c r="AC494" s="40" t="s">
        <v>901</v>
      </c>
      <c r="AD494" s="17" t="s">
        <v>847</v>
      </c>
      <c r="AE494" s="17">
        <v>4.25</v>
      </c>
      <c r="AF494" s="17" t="s">
        <v>861</v>
      </c>
      <c r="AG494" s="17"/>
      <c r="AH494" t="s">
        <v>903</v>
      </c>
      <c r="AI494" t="s">
        <v>1076</v>
      </c>
      <c r="AJ494" s="15"/>
      <c r="AK494" t="s">
        <v>908</v>
      </c>
    </row>
    <row r="495" spans="1:37" ht="15" hidden="1" customHeight="1" x14ac:dyDescent="0.25">
      <c r="A495" s="1">
        <v>496</v>
      </c>
      <c r="B495" s="35">
        <v>44611</v>
      </c>
      <c r="C495" s="26"/>
      <c r="D495" s="26"/>
      <c r="E495" s="26" t="s">
        <v>1020</v>
      </c>
      <c r="F495" s="26" t="s">
        <v>1020</v>
      </c>
      <c r="G495" s="38" t="s">
        <v>301</v>
      </c>
      <c r="H495" s="38" t="s">
        <v>300</v>
      </c>
      <c r="I495" s="27" t="s">
        <v>894</v>
      </c>
      <c r="J495" s="38" t="s">
        <v>12</v>
      </c>
      <c r="K495" s="39" t="s">
        <v>5</v>
      </c>
      <c r="L495" s="38" t="s">
        <v>901</v>
      </c>
      <c r="M495" s="27" t="s">
        <v>905</v>
      </c>
      <c r="N495" s="38" t="s">
        <v>5</v>
      </c>
      <c r="O495" s="38" t="s">
        <v>299</v>
      </c>
      <c r="P495" s="39" t="s">
        <v>896</v>
      </c>
      <c r="Q495" s="27" t="s">
        <v>897</v>
      </c>
      <c r="R495" s="35">
        <v>42356</v>
      </c>
      <c r="S495" s="38" t="s">
        <v>300</v>
      </c>
      <c r="T495" s="38" t="s">
        <v>1120</v>
      </c>
      <c r="U495" s="35">
        <v>128</v>
      </c>
      <c r="V495" s="38" t="s">
        <v>900</v>
      </c>
      <c r="W495" s="26"/>
      <c r="X495" s="36">
        <v>1.64</v>
      </c>
      <c r="Y495" s="32">
        <v>0.5</v>
      </c>
      <c r="Z495" s="32">
        <v>0.5</v>
      </c>
      <c r="AA495" s="26"/>
      <c r="AB495" s="26"/>
      <c r="AC495" s="38" t="s">
        <v>901</v>
      </c>
      <c r="AD495" t="s">
        <v>302</v>
      </c>
      <c r="AE495">
        <v>4.25</v>
      </c>
      <c r="AF495" t="s">
        <v>862</v>
      </c>
      <c r="AH495" t="s">
        <v>903</v>
      </c>
      <c r="AJ495" s="15"/>
      <c r="AK495" t="s">
        <v>908</v>
      </c>
    </row>
    <row r="496" spans="1:37" s="12" customFormat="1" hidden="1" x14ac:dyDescent="0.25">
      <c r="A496" s="126"/>
      <c r="B496" s="34">
        <v>44618</v>
      </c>
      <c r="C496" s="22"/>
      <c r="D496" s="22"/>
      <c r="E496" s="22" t="s">
        <v>1020</v>
      </c>
      <c r="F496" s="22" t="s">
        <v>1020</v>
      </c>
      <c r="G496" s="40" t="s">
        <v>440</v>
      </c>
      <c r="H496" s="40" t="s">
        <v>437</v>
      </c>
      <c r="I496" s="23" t="s">
        <v>894</v>
      </c>
      <c r="J496" s="40" t="s">
        <v>257</v>
      </c>
      <c r="K496" s="41" t="s">
        <v>257</v>
      </c>
      <c r="L496" s="40" t="s">
        <v>901</v>
      </c>
      <c r="M496" s="23" t="s">
        <v>905</v>
      </c>
      <c r="N496" s="40" t="s">
        <v>257</v>
      </c>
      <c r="O496" s="40" t="s">
        <v>86</v>
      </c>
      <c r="P496" s="41" t="s">
        <v>896</v>
      </c>
      <c r="Q496" s="23" t="s">
        <v>897</v>
      </c>
      <c r="R496" s="34">
        <v>42361</v>
      </c>
      <c r="S496" s="40" t="s">
        <v>437</v>
      </c>
      <c r="T496" s="40" t="s">
        <v>1178</v>
      </c>
      <c r="U496" s="34">
        <v>144</v>
      </c>
      <c r="V496" s="27" t="s">
        <v>907</v>
      </c>
      <c r="W496" s="22"/>
      <c r="X496" s="42">
        <v>4.95</v>
      </c>
      <c r="Y496" s="33">
        <v>0.6</v>
      </c>
      <c r="Z496" s="33">
        <v>0.4</v>
      </c>
      <c r="AA496" s="22"/>
      <c r="AB496" s="22"/>
      <c r="AC496" s="40" t="s">
        <v>901</v>
      </c>
      <c r="AD496" s="17" t="s">
        <v>439</v>
      </c>
      <c r="AE496" s="17">
        <v>1</v>
      </c>
      <c r="AF496" s="17" t="s">
        <v>862</v>
      </c>
      <c r="AG496" s="17" t="s">
        <v>1075</v>
      </c>
      <c r="AH496" t="s">
        <v>903</v>
      </c>
      <c r="AI496" t="s">
        <v>1076</v>
      </c>
      <c r="AJ496" s="130">
        <f>VLOOKUP(Tabla1[[#This Row],[CPC]],[1]Sheet3!$A:$D,4,0)</f>
        <v>0.60000000000000009</v>
      </c>
      <c r="AK496" t="s">
        <v>908</v>
      </c>
    </row>
    <row r="497" spans="1:37" hidden="1" x14ac:dyDescent="0.25">
      <c r="A497" s="1"/>
      <c r="B497" s="35">
        <v>44620</v>
      </c>
      <c r="C497" s="35">
        <v>44618</v>
      </c>
      <c r="D497" s="26"/>
      <c r="E497" s="26"/>
      <c r="F497" s="26"/>
      <c r="G497" s="38" t="s">
        <v>438</v>
      </c>
      <c r="H497" s="38" t="s">
        <v>437</v>
      </c>
      <c r="I497" s="27" t="s">
        <v>894</v>
      </c>
      <c r="J497" s="38" t="s">
        <v>257</v>
      </c>
      <c r="K497" s="39" t="s">
        <v>257</v>
      </c>
      <c r="L497" s="38" t="s">
        <v>901</v>
      </c>
      <c r="M497" s="27" t="s">
        <v>905</v>
      </c>
      <c r="N497" s="38" t="s">
        <v>257</v>
      </c>
      <c r="O497" s="38" t="s">
        <v>86</v>
      </c>
      <c r="P497" s="39" t="s">
        <v>896</v>
      </c>
      <c r="Q497" s="27" t="s">
        <v>897</v>
      </c>
      <c r="R497" s="35">
        <v>42362</v>
      </c>
      <c r="S497" s="38" t="s">
        <v>437</v>
      </c>
      <c r="T497" s="38" t="s">
        <v>1090</v>
      </c>
      <c r="U497" s="35">
        <v>0</v>
      </c>
      <c r="V497" s="38" t="s">
        <v>900</v>
      </c>
      <c r="W497" s="26"/>
      <c r="X497" s="36">
        <v>0</v>
      </c>
      <c r="Y497" s="26"/>
      <c r="Z497" s="26"/>
      <c r="AA497" s="26"/>
      <c r="AB497" s="26"/>
      <c r="AC497" s="38" t="s">
        <v>901</v>
      </c>
      <c r="AD497" t="s">
        <v>439</v>
      </c>
      <c r="AE497">
        <v>1</v>
      </c>
      <c r="AF497" t="s">
        <v>862</v>
      </c>
      <c r="AG497" t="s">
        <v>1075</v>
      </c>
      <c r="AH497" t="s">
        <v>903</v>
      </c>
      <c r="AI497" t="s">
        <v>1076</v>
      </c>
      <c r="AJ497" s="15"/>
      <c r="AK497" t="s">
        <v>908</v>
      </c>
    </row>
    <row r="498" spans="1:37" hidden="1" x14ac:dyDescent="0.25">
      <c r="A498" s="1"/>
      <c r="B498" s="45">
        <v>44613</v>
      </c>
      <c r="C498" s="46"/>
      <c r="D498" s="45">
        <v>679</v>
      </c>
      <c r="E498" s="45">
        <v>67901</v>
      </c>
      <c r="F498" s="46"/>
      <c r="G498" s="47" t="s">
        <v>301</v>
      </c>
      <c r="H498" s="47" t="s">
        <v>300</v>
      </c>
      <c r="I498" s="48" t="s">
        <v>894</v>
      </c>
      <c r="J498" s="47" t="s">
        <v>12</v>
      </c>
      <c r="K498" s="49" t="s">
        <v>5</v>
      </c>
      <c r="L498" s="47" t="s">
        <v>901</v>
      </c>
      <c r="M498" s="48" t="s">
        <v>905</v>
      </c>
      <c r="N498" s="47" t="s">
        <v>5</v>
      </c>
      <c r="O498" s="47" t="s">
        <v>299</v>
      </c>
      <c r="P498" s="49" t="s">
        <v>896</v>
      </c>
      <c r="Q498" s="48" t="s">
        <v>897</v>
      </c>
      <c r="R498" s="45">
        <v>42357</v>
      </c>
      <c r="S498" s="47" t="s">
        <v>300</v>
      </c>
      <c r="T498" s="47" t="s">
        <v>1120</v>
      </c>
      <c r="U498" s="45">
        <v>128</v>
      </c>
      <c r="V498" s="47" t="s">
        <v>900</v>
      </c>
      <c r="W498" s="46"/>
      <c r="X498" s="50">
        <v>1.64</v>
      </c>
      <c r="Y498" s="51">
        <v>0.6</v>
      </c>
      <c r="Z498" s="51">
        <v>0.4</v>
      </c>
      <c r="AA498" s="46"/>
      <c r="AB498" s="46"/>
      <c r="AC498" s="47" t="s">
        <v>901</v>
      </c>
      <c r="AD498" s="12" t="s">
        <v>300</v>
      </c>
      <c r="AE498" s="12"/>
      <c r="AF498" s="12" t="s">
        <v>862</v>
      </c>
      <c r="AG498" s="12" t="s">
        <v>1040</v>
      </c>
      <c r="AH498" t="s">
        <v>903</v>
      </c>
      <c r="AJ498" s="15">
        <f>VLOOKUP(Tabla1[[#This Row],[CPC]],[1]Sheet3!$A:$D,4,0)</f>
        <v>0.60000079648228699</v>
      </c>
      <c r="AK498" t="s">
        <v>908</v>
      </c>
    </row>
    <row r="499" spans="1:37" hidden="1" x14ac:dyDescent="0.25">
      <c r="A499" s="1"/>
      <c r="B499" s="52">
        <v>44629</v>
      </c>
      <c r="C499" s="53"/>
      <c r="D499" s="53"/>
      <c r="E499" s="53"/>
      <c r="F499" s="53"/>
      <c r="G499" s="54" t="s">
        <v>315</v>
      </c>
      <c r="H499" s="54" t="s">
        <v>314</v>
      </c>
      <c r="I499" s="27" t="s">
        <v>894</v>
      </c>
      <c r="J499" s="54" t="s">
        <v>12</v>
      </c>
      <c r="K499" s="39" t="s">
        <v>5</v>
      </c>
      <c r="L499" s="54" t="s">
        <v>901</v>
      </c>
      <c r="M499" s="27" t="s">
        <v>905</v>
      </c>
      <c r="N499" s="54" t="s">
        <v>5</v>
      </c>
      <c r="O499" s="54" t="s">
        <v>313</v>
      </c>
      <c r="P499" s="39" t="s">
        <v>896</v>
      </c>
      <c r="Q499" s="27" t="s">
        <v>897</v>
      </c>
      <c r="R499" s="52">
        <v>42376</v>
      </c>
      <c r="S499" s="54" t="s">
        <v>314</v>
      </c>
      <c r="T499" s="54" t="s">
        <v>1120</v>
      </c>
      <c r="U499" s="52">
        <v>128</v>
      </c>
      <c r="V499" s="54" t="s">
        <v>900</v>
      </c>
      <c r="W499" s="53"/>
      <c r="X499" s="55">
        <v>1.64</v>
      </c>
      <c r="Y499" s="56">
        <v>0.6</v>
      </c>
      <c r="Z499" s="56">
        <v>0.4</v>
      </c>
      <c r="AA499" s="53"/>
      <c r="AB499" s="53"/>
      <c r="AC499" s="54" t="s">
        <v>901</v>
      </c>
      <c r="AD499" t="s">
        <v>314</v>
      </c>
      <c r="AF499" t="s">
        <v>862</v>
      </c>
      <c r="AG499" t="s">
        <v>1040</v>
      </c>
      <c r="AH499" t="s">
        <v>903</v>
      </c>
      <c r="AJ499" s="15">
        <f>VLOOKUP(Tabla1[[#This Row],[CPC]],[1]Sheet3!$A:$D,4,0)</f>
        <v>0.6000002210285813</v>
      </c>
      <c r="AK499" t="s">
        <v>908</v>
      </c>
    </row>
    <row r="500" spans="1:37" hidden="1" x14ac:dyDescent="0.25">
      <c r="A500" s="1"/>
      <c r="B500" s="21">
        <v>44649</v>
      </c>
      <c r="C500" s="22"/>
      <c r="D500" s="22"/>
      <c r="E500" s="22"/>
      <c r="F500" s="22"/>
      <c r="G500" s="23" t="s">
        <v>1179</v>
      </c>
      <c r="H500" s="23" t="s">
        <v>1180</v>
      </c>
      <c r="I500" s="23" t="s">
        <v>894</v>
      </c>
      <c r="J500" s="23" t="s">
        <v>36</v>
      </c>
      <c r="K500" s="23" t="s">
        <v>1119</v>
      </c>
      <c r="L500" s="23" t="s">
        <v>901</v>
      </c>
      <c r="M500" s="23" t="s">
        <v>905</v>
      </c>
      <c r="N500" s="23" t="s">
        <v>36</v>
      </c>
      <c r="O500" s="23" t="s">
        <v>328</v>
      </c>
      <c r="P500" s="23" t="s">
        <v>896</v>
      </c>
      <c r="Q500" s="23" t="s">
        <v>897</v>
      </c>
      <c r="R500" s="21">
        <v>42396</v>
      </c>
      <c r="S500" s="23" t="s">
        <v>1180</v>
      </c>
      <c r="T500" s="23" t="s">
        <v>1120</v>
      </c>
      <c r="U500" s="21">
        <v>128</v>
      </c>
      <c r="V500" s="23" t="s">
        <v>900</v>
      </c>
      <c r="W500" s="22"/>
      <c r="X500" s="24">
        <v>1.64</v>
      </c>
      <c r="Y500" s="25">
        <v>0.6</v>
      </c>
      <c r="Z500" s="25">
        <v>0.4</v>
      </c>
      <c r="AA500" s="57"/>
      <c r="AB500" s="57"/>
      <c r="AC500" s="58" t="s">
        <v>901</v>
      </c>
      <c r="AD500" s="17" t="s">
        <v>1180</v>
      </c>
      <c r="AE500" s="17"/>
      <c r="AF500" s="17" t="s">
        <v>43</v>
      </c>
      <c r="AG500" s="17" t="s">
        <v>1040</v>
      </c>
      <c r="AH500" t="s">
        <v>903</v>
      </c>
      <c r="AJ500" s="15">
        <f>VLOOKUP(Tabla1[[#This Row],[CPC]],[1]Sheet3!$A:$D,4,0)</f>
        <v>0.59999982698161913</v>
      </c>
      <c r="AK500" t="s">
        <v>908</v>
      </c>
    </row>
    <row r="501" spans="1:37" hidden="1" x14ac:dyDescent="0.25">
      <c r="A501" s="1"/>
      <c r="B501" s="52">
        <v>44689</v>
      </c>
      <c r="C501" s="53"/>
      <c r="D501" s="53"/>
      <c r="E501" s="53"/>
      <c r="F501" s="53"/>
      <c r="G501" s="54" t="s">
        <v>426</v>
      </c>
      <c r="H501" s="54" t="s">
        <v>425</v>
      </c>
      <c r="I501" s="27" t="s">
        <v>894</v>
      </c>
      <c r="J501" s="54" t="s">
        <v>36</v>
      </c>
      <c r="K501" s="39" t="s">
        <v>257</v>
      </c>
      <c r="L501" s="54" t="s">
        <v>901</v>
      </c>
      <c r="M501" s="27" t="s">
        <v>905</v>
      </c>
      <c r="N501" s="54" t="s">
        <v>257</v>
      </c>
      <c r="O501" s="54" t="s">
        <v>86</v>
      </c>
      <c r="P501" s="39" t="s">
        <v>896</v>
      </c>
      <c r="Q501" s="27" t="s">
        <v>897</v>
      </c>
      <c r="R501" s="52">
        <v>42416</v>
      </c>
      <c r="S501" s="54" t="s">
        <v>425</v>
      </c>
      <c r="T501" s="54" t="s">
        <v>1125</v>
      </c>
      <c r="U501" s="52">
        <v>130</v>
      </c>
      <c r="V501" s="54" t="s">
        <v>900</v>
      </c>
      <c r="W501" s="52">
        <v>0</v>
      </c>
      <c r="X501" s="55">
        <v>0.82</v>
      </c>
      <c r="Y501" s="56">
        <v>0.77</v>
      </c>
      <c r="Z501" s="56">
        <v>0.23</v>
      </c>
      <c r="AA501" s="53"/>
      <c r="AB501" s="53"/>
      <c r="AC501" s="54" t="s">
        <v>901</v>
      </c>
      <c r="AD501" t="s">
        <v>425</v>
      </c>
      <c r="AF501" t="s">
        <v>862</v>
      </c>
      <c r="AH501" t="s">
        <v>903</v>
      </c>
      <c r="AI501" t="s">
        <v>1076</v>
      </c>
      <c r="AJ501" s="15"/>
      <c r="AK501" t="s">
        <v>908</v>
      </c>
    </row>
    <row r="502" spans="1:37" hidden="1" x14ac:dyDescent="0.25">
      <c r="A502" s="1"/>
      <c r="B502" s="59">
        <v>44709</v>
      </c>
      <c r="C502" s="57"/>
      <c r="D502" s="57"/>
      <c r="E502" s="57"/>
      <c r="F502" s="57"/>
      <c r="G502" s="58" t="s">
        <v>327</v>
      </c>
      <c r="H502" s="58" t="s">
        <v>326</v>
      </c>
      <c r="I502" s="23" t="s">
        <v>894</v>
      </c>
      <c r="J502" s="58" t="s">
        <v>36</v>
      </c>
      <c r="K502" s="41" t="s">
        <v>36</v>
      </c>
      <c r="L502" s="58" t="s">
        <v>901</v>
      </c>
      <c r="M502" s="23" t="s">
        <v>905</v>
      </c>
      <c r="N502" s="58" t="s">
        <v>36</v>
      </c>
      <c r="O502" s="58" t="s">
        <v>325</v>
      </c>
      <c r="P502" s="41" t="s">
        <v>896</v>
      </c>
      <c r="Q502" s="23" t="s">
        <v>897</v>
      </c>
      <c r="R502" s="59">
        <v>42436</v>
      </c>
      <c r="S502" s="58" t="s">
        <v>326</v>
      </c>
      <c r="T502" s="58" t="s">
        <v>1143</v>
      </c>
      <c r="U502" s="59">
        <v>136</v>
      </c>
      <c r="V502" s="58" t="s">
        <v>900</v>
      </c>
      <c r="W502" s="59">
        <v>0</v>
      </c>
      <c r="X502" s="60">
        <v>2.06</v>
      </c>
      <c r="Y502" s="61">
        <v>0.6</v>
      </c>
      <c r="Z502" s="61">
        <v>0.4</v>
      </c>
      <c r="AA502" s="57"/>
      <c r="AB502" s="57"/>
      <c r="AC502" s="58" t="s">
        <v>901</v>
      </c>
      <c r="AD502" s="17" t="s">
        <v>326</v>
      </c>
      <c r="AE502" s="17"/>
      <c r="AF502" s="17" t="s">
        <v>43</v>
      </c>
      <c r="AG502" s="17"/>
      <c r="AH502" t="s">
        <v>903</v>
      </c>
      <c r="AJ502" s="15"/>
      <c r="AK502" t="s">
        <v>908</v>
      </c>
    </row>
    <row r="503" spans="1:37" hidden="1" x14ac:dyDescent="0.25">
      <c r="A503" s="1"/>
      <c r="B503" s="52">
        <v>44711</v>
      </c>
      <c r="C503" s="53"/>
      <c r="D503" s="53"/>
      <c r="E503" s="53"/>
      <c r="F503" s="53"/>
      <c r="G503" s="54" t="s">
        <v>323</v>
      </c>
      <c r="H503" s="54" t="s">
        <v>61</v>
      </c>
      <c r="I503" s="27" t="s">
        <v>894</v>
      </c>
      <c r="J503" s="54" t="s">
        <v>36</v>
      </c>
      <c r="K503" s="39" t="s">
        <v>36</v>
      </c>
      <c r="L503" s="54" t="s">
        <v>901</v>
      </c>
      <c r="M503" s="27" t="s">
        <v>905</v>
      </c>
      <c r="N503" s="54" t="s">
        <v>36</v>
      </c>
      <c r="O503" s="54" t="s">
        <v>86</v>
      </c>
      <c r="P503" s="39" t="s">
        <v>896</v>
      </c>
      <c r="Q503" s="27" t="s">
        <v>897</v>
      </c>
      <c r="R503" s="52">
        <v>42437</v>
      </c>
      <c r="S503" s="54" t="s">
        <v>1181</v>
      </c>
      <c r="T503" s="54" t="s">
        <v>1182</v>
      </c>
      <c r="U503" s="52">
        <v>99</v>
      </c>
      <c r="V503" s="27" t="s">
        <v>907</v>
      </c>
      <c r="W503" s="52">
        <v>0</v>
      </c>
      <c r="X503" s="55">
        <v>9.91</v>
      </c>
      <c r="Y503" s="56">
        <v>0.65</v>
      </c>
      <c r="Z503" s="56">
        <v>0.35</v>
      </c>
      <c r="AA503" s="53"/>
      <c r="AB503" s="53"/>
      <c r="AC503" s="54" t="s">
        <v>901</v>
      </c>
      <c r="AD503" t="s">
        <v>61</v>
      </c>
      <c r="AF503" t="s">
        <v>43</v>
      </c>
      <c r="AH503" t="s">
        <v>903</v>
      </c>
      <c r="AI503" t="s">
        <v>1076</v>
      </c>
      <c r="AJ503" s="15"/>
      <c r="AK503" t="s">
        <v>908</v>
      </c>
    </row>
    <row r="504" spans="1:37" hidden="1" x14ac:dyDescent="0.25">
      <c r="A504" s="1"/>
      <c r="B504" s="62">
        <v>44749</v>
      </c>
      <c r="C504" s="63"/>
      <c r="D504" s="63"/>
      <c r="E504" s="63"/>
      <c r="F504" s="63"/>
      <c r="G504" s="64" t="s">
        <v>646</v>
      </c>
      <c r="H504" s="64" t="s">
        <v>645</v>
      </c>
      <c r="I504" s="23" t="s">
        <v>894</v>
      </c>
      <c r="J504" s="65" t="s">
        <v>280</v>
      </c>
      <c r="K504" s="41" t="s">
        <v>280</v>
      </c>
      <c r="L504" s="65" t="s">
        <v>901</v>
      </c>
      <c r="M504" s="23" t="s">
        <v>280</v>
      </c>
      <c r="N504" s="65" t="s">
        <v>901</v>
      </c>
      <c r="O504" s="65" t="s">
        <v>644</v>
      </c>
      <c r="P504" s="41" t="s">
        <v>896</v>
      </c>
      <c r="Q504" s="23" t="s">
        <v>897</v>
      </c>
      <c r="R504" s="62">
        <v>46356</v>
      </c>
      <c r="S504" s="65" t="s">
        <v>645</v>
      </c>
      <c r="T504" s="65" t="s">
        <v>1183</v>
      </c>
      <c r="U504" s="66">
        <v>122</v>
      </c>
      <c r="V504" s="27" t="s">
        <v>907</v>
      </c>
      <c r="W504" s="66">
        <v>0</v>
      </c>
      <c r="X504" s="67">
        <v>8.26</v>
      </c>
      <c r="Y504" s="68">
        <v>0.9</v>
      </c>
      <c r="Z504" s="68">
        <v>0.1</v>
      </c>
      <c r="AA504" s="63"/>
      <c r="AB504" s="63"/>
      <c r="AC504" s="65" t="s">
        <v>901</v>
      </c>
      <c r="AD504" s="17" t="s">
        <v>645</v>
      </c>
      <c r="AE504" s="17"/>
      <c r="AF504" s="17" t="s">
        <v>280</v>
      </c>
      <c r="AG504" s="17"/>
      <c r="AH504" t="s">
        <v>903</v>
      </c>
      <c r="AJ504" s="15"/>
      <c r="AK504" t="s">
        <v>908</v>
      </c>
    </row>
    <row r="505" spans="1:37" hidden="1" x14ac:dyDescent="0.25">
      <c r="A505" s="1"/>
      <c r="B505">
        <v>44771</v>
      </c>
      <c r="G505" t="s">
        <v>782</v>
      </c>
      <c r="H505" t="s">
        <v>781</v>
      </c>
      <c r="I505" s="27" t="s">
        <v>894</v>
      </c>
      <c r="J505" t="s">
        <v>50</v>
      </c>
      <c r="K505" s="39" t="s">
        <v>50</v>
      </c>
      <c r="L505" s="54" t="s">
        <v>901</v>
      </c>
      <c r="M505" s="27" t="s">
        <v>905</v>
      </c>
      <c r="N505" s="54" t="s">
        <v>50</v>
      </c>
      <c r="O505" s="54" t="s">
        <v>86</v>
      </c>
      <c r="P505" s="39" t="s">
        <v>896</v>
      </c>
      <c r="Q505" s="27" t="s">
        <v>897</v>
      </c>
      <c r="R505">
        <v>46377</v>
      </c>
      <c r="S505" t="s">
        <v>1184</v>
      </c>
      <c r="T505" s="69" t="s">
        <v>1185</v>
      </c>
      <c r="U505" s="70">
        <v>148</v>
      </c>
      <c r="V505" s="27" t="s">
        <v>907</v>
      </c>
      <c r="X505" s="71">
        <v>3.43</v>
      </c>
      <c r="Y505" s="72">
        <v>0.08</v>
      </c>
      <c r="Z505" s="72">
        <v>0.92</v>
      </c>
      <c r="AA505"/>
      <c r="AB505"/>
      <c r="AD505" t="s">
        <v>781</v>
      </c>
      <c r="AF505" t="s">
        <v>861</v>
      </c>
      <c r="AH505" t="s">
        <v>903</v>
      </c>
      <c r="AI505" t="s">
        <v>1076</v>
      </c>
      <c r="AJ505" s="15"/>
      <c r="AK505" t="s">
        <v>908</v>
      </c>
    </row>
    <row r="506" spans="1:37" hidden="1" x14ac:dyDescent="0.25">
      <c r="A506" s="1"/>
      <c r="B506" s="17">
        <v>44773</v>
      </c>
      <c r="C506" s="17"/>
      <c r="D506" s="17"/>
      <c r="E506" s="17"/>
      <c r="F506" s="17"/>
      <c r="G506" s="17" t="s">
        <v>784</v>
      </c>
      <c r="H506" s="17" t="s">
        <v>783</v>
      </c>
      <c r="I506" s="23" t="s">
        <v>894</v>
      </c>
      <c r="J506" s="17" t="s">
        <v>50</v>
      </c>
      <c r="K506" s="41" t="s">
        <v>50</v>
      </c>
      <c r="L506" s="58" t="s">
        <v>901</v>
      </c>
      <c r="M506" s="23" t="s">
        <v>905</v>
      </c>
      <c r="N506" s="58" t="s">
        <v>50</v>
      </c>
      <c r="O506" s="58" t="s">
        <v>86</v>
      </c>
      <c r="P506" s="41" t="s">
        <v>896</v>
      </c>
      <c r="Q506" s="23" t="s">
        <v>897</v>
      </c>
      <c r="R506" s="17">
        <v>46378</v>
      </c>
      <c r="S506" s="17" t="s">
        <v>1184</v>
      </c>
      <c r="T506" s="65" t="s">
        <v>1186</v>
      </c>
      <c r="U506" s="73">
        <v>150</v>
      </c>
      <c r="V506" s="27" t="s">
        <v>907</v>
      </c>
      <c r="W506" s="17"/>
      <c r="X506" s="67">
        <v>6.6</v>
      </c>
      <c r="Y506" s="68">
        <v>0.08</v>
      </c>
      <c r="Z506" s="68">
        <v>0.92</v>
      </c>
      <c r="AA506" s="17"/>
      <c r="AB506" s="17"/>
      <c r="AC506" s="17"/>
      <c r="AD506" s="17" t="s">
        <v>783</v>
      </c>
      <c r="AE506" s="17"/>
      <c r="AF506" s="17" t="s">
        <v>861</v>
      </c>
      <c r="AG506" s="17"/>
      <c r="AH506" t="s">
        <v>903</v>
      </c>
      <c r="AI506" t="s">
        <v>1076</v>
      </c>
      <c r="AJ506" s="15"/>
      <c r="AK506" t="s">
        <v>908</v>
      </c>
    </row>
    <row r="507" spans="1:37" hidden="1" x14ac:dyDescent="0.25">
      <c r="A507" s="1"/>
      <c r="B507">
        <v>44775</v>
      </c>
      <c r="G507" t="s">
        <v>786</v>
      </c>
      <c r="H507" t="s">
        <v>785</v>
      </c>
      <c r="I507" s="27" t="s">
        <v>894</v>
      </c>
      <c r="J507" t="s">
        <v>50</v>
      </c>
      <c r="K507" s="39" t="s">
        <v>50</v>
      </c>
      <c r="L507" s="54" t="s">
        <v>901</v>
      </c>
      <c r="M507" s="27" t="s">
        <v>905</v>
      </c>
      <c r="N507" s="54" t="s">
        <v>50</v>
      </c>
      <c r="O507" s="54" t="s">
        <v>86</v>
      </c>
      <c r="P507" s="39" t="s">
        <v>896</v>
      </c>
      <c r="Q507" s="27" t="s">
        <v>897</v>
      </c>
      <c r="R507">
        <v>46379</v>
      </c>
      <c r="S507" t="s">
        <v>1184</v>
      </c>
      <c r="T507" s="69" t="s">
        <v>1186</v>
      </c>
      <c r="U507" s="70">
        <v>150</v>
      </c>
      <c r="V507" s="27" t="s">
        <v>907</v>
      </c>
      <c r="X507" s="71">
        <v>6.6</v>
      </c>
      <c r="Y507" s="72">
        <v>0.08</v>
      </c>
      <c r="Z507" s="72">
        <v>0.92</v>
      </c>
      <c r="AA507"/>
      <c r="AB507"/>
      <c r="AD507" t="s">
        <v>785</v>
      </c>
      <c r="AF507" t="s">
        <v>861</v>
      </c>
      <c r="AH507" t="s">
        <v>903</v>
      </c>
      <c r="AI507" t="s">
        <v>1076</v>
      </c>
      <c r="AJ507" s="15"/>
      <c r="AK507" t="s">
        <v>908</v>
      </c>
    </row>
    <row r="508" spans="1:37" hidden="1" x14ac:dyDescent="0.25">
      <c r="A508" s="1"/>
      <c r="B508" s="17">
        <v>44777</v>
      </c>
      <c r="C508" s="17"/>
      <c r="D508" s="17"/>
      <c r="E508" s="17"/>
      <c r="F508" s="17"/>
      <c r="G508" s="17" t="s">
        <v>787</v>
      </c>
      <c r="H508" s="17" t="s">
        <v>785</v>
      </c>
      <c r="I508" s="23" t="s">
        <v>894</v>
      </c>
      <c r="J508" s="17" t="s">
        <v>50</v>
      </c>
      <c r="K508" s="41" t="s">
        <v>50</v>
      </c>
      <c r="L508" s="58" t="s">
        <v>901</v>
      </c>
      <c r="M508" s="23" t="s">
        <v>905</v>
      </c>
      <c r="N508" s="58" t="s">
        <v>50</v>
      </c>
      <c r="O508" s="58" t="s">
        <v>86</v>
      </c>
      <c r="P508" s="41" t="s">
        <v>896</v>
      </c>
      <c r="Q508" s="23" t="s">
        <v>897</v>
      </c>
      <c r="R508" s="17">
        <v>46380</v>
      </c>
      <c r="S508" s="17" t="s">
        <v>1184</v>
      </c>
      <c r="T508" s="65" t="s">
        <v>1186</v>
      </c>
      <c r="U508" s="73">
        <v>150</v>
      </c>
      <c r="V508" s="27" t="s">
        <v>907</v>
      </c>
      <c r="W508" s="17"/>
      <c r="X508" s="67">
        <v>6.6</v>
      </c>
      <c r="Y508" s="68">
        <v>0.08</v>
      </c>
      <c r="Z508" s="68">
        <v>0.92</v>
      </c>
      <c r="AA508" s="17"/>
      <c r="AB508" s="17"/>
      <c r="AC508" s="17"/>
      <c r="AD508" s="17" t="s">
        <v>785</v>
      </c>
      <c r="AE508" s="17"/>
      <c r="AF508" s="17" t="s">
        <v>861</v>
      </c>
      <c r="AG508" s="17"/>
      <c r="AH508" t="s">
        <v>903</v>
      </c>
      <c r="AI508" t="s">
        <v>1076</v>
      </c>
      <c r="AJ508" s="15"/>
      <c r="AK508" t="s">
        <v>908</v>
      </c>
    </row>
    <row r="509" spans="1:37" hidden="1" x14ac:dyDescent="0.25">
      <c r="A509" s="1"/>
      <c r="B509">
        <v>44779</v>
      </c>
      <c r="G509" t="s">
        <v>789</v>
      </c>
      <c r="H509" t="s">
        <v>788</v>
      </c>
      <c r="I509" s="27" t="s">
        <v>894</v>
      </c>
      <c r="J509" t="s">
        <v>50</v>
      </c>
      <c r="K509" s="39" t="s">
        <v>50</v>
      </c>
      <c r="L509" s="54" t="s">
        <v>901</v>
      </c>
      <c r="M509" s="27" t="s">
        <v>905</v>
      </c>
      <c r="N509" s="54" t="s">
        <v>50</v>
      </c>
      <c r="O509" s="54" t="s">
        <v>86</v>
      </c>
      <c r="P509" s="39" t="s">
        <v>896</v>
      </c>
      <c r="Q509" s="27" t="s">
        <v>897</v>
      </c>
      <c r="R509">
        <v>46381</v>
      </c>
      <c r="S509" t="s">
        <v>1184</v>
      </c>
      <c r="T509" s="69" t="s">
        <v>1186</v>
      </c>
      <c r="U509" s="70">
        <v>150</v>
      </c>
      <c r="V509" s="27" t="s">
        <v>907</v>
      </c>
      <c r="X509" s="71">
        <v>6.6</v>
      </c>
      <c r="Y509" s="72">
        <v>0.08</v>
      </c>
      <c r="Z509" s="72">
        <v>0.92</v>
      </c>
      <c r="AA509"/>
      <c r="AB509"/>
      <c r="AD509" t="s">
        <v>788</v>
      </c>
      <c r="AF509" t="s">
        <v>861</v>
      </c>
      <c r="AH509" t="s">
        <v>903</v>
      </c>
      <c r="AI509" t="s">
        <v>1076</v>
      </c>
      <c r="AJ509" s="15"/>
      <c r="AK509" t="s">
        <v>908</v>
      </c>
    </row>
    <row r="510" spans="1:37" hidden="1" x14ac:dyDescent="0.25">
      <c r="A510" s="1"/>
      <c r="B510" s="17">
        <v>44781</v>
      </c>
      <c r="C510" s="17"/>
      <c r="D510" s="17"/>
      <c r="E510" s="17"/>
      <c r="F510" s="17"/>
      <c r="G510" s="17" t="s">
        <v>791</v>
      </c>
      <c r="H510" s="17" t="s">
        <v>790</v>
      </c>
      <c r="I510" s="23" t="s">
        <v>894</v>
      </c>
      <c r="J510" s="17" t="s">
        <v>50</v>
      </c>
      <c r="K510" s="41" t="s">
        <v>50</v>
      </c>
      <c r="L510" s="58" t="s">
        <v>901</v>
      </c>
      <c r="M510" s="23" t="s">
        <v>905</v>
      </c>
      <c r="N510" s="58" t="s">
        <v>50</v>
      </c>
      <c r="O510" s="58" t="s">
        <v>86</v>
      </c>
      <c r="P510" s="41" t="s">
        <v>896</v>
      </c>
      <c r="Q510" s="23" t="s">
        <v>897</v>
      </c>
      <c r="R510" s="17">
        <v>46382</v>
      </c>
      <c r="S510" s="17" t="s">
        <v>1184</v>
      </c>
      <c r="T510" s="65" t="s">
        <v>1183</v>
      </c>
      <c r="U510" s="73">
        <v>122</v>
      </c>
      <c r="V510" s="27" t="s">
        <v>907</v>
      </c>
      <c r="W510" s="17"/>
      <c r="X510" s="67">
        <v>8.26</v>
      </c>
      <c r="Y510" s="68">
        <v>0.08</v>
      </c>
      <c r="Z510" s="68">
        <v>0.92</v>
      </c>
      <c r="AA510" s="17"/>
      <c r="AB510" s="17"/>
      <c r="AC510" s="17"/>
      <c r="AD510" s="17" t="s">
        <v>790</v>
      </c>
      <c r="AE510" s="17"/>
      <c r="AF510" s="17" t="s">
        <v>861</v>
      </c>
      <c r="AG510" s="17"/>
      <c r="AH510" t="s">
        <v>903</v>
      </c>
      <c r="AI510" t="s">
        <v>1076</v>
      </c>
      <c r="AJ510" s="15"/>
      <c r="AK510" t="s">
        <v>908</v>
      </c>
    </row>
    <row r="511" spans="1:37" hidden="1" x14ac:dyDescent="0.25">
      <c r="A511" s="1"/>
      <c r="B511">
        <v>44789</v>
      </c>
      <c r="G511" s="10" t="s">
        <v>793</v>
      </c>
      <c r="H511" s="11" t="s">
        <v>792</v>
      </c>
      <c r="I511" s="27" t="s">
        <v>894</v>
      </c>
      <c r="J511" t="s">
        <v>50</v>
      </c>
      <c r="K511" s="39" t="s">
        <v>50</v>
      </c>
      <c r="L511" s="54" t="s">
        <v>901</v>
      </c>
      <c r="M511" s="27" t="s">
        <v>905</v>
      </c>
      <c r="N511" s="54" t="s">
        <v>50</v>
      </c>
      <c r="O511" s="54" t="s">
        <v>86</v>
      </c>
      <c r="P511" s="39" t="s">
        <v>896</v>
      </c>
      <c r="Q511" s="27" t="s">
        <v>897</v>
      </c>
      <c r="R511">
        <v>46396</v>
      </c>
      <c r="S511" t="s">
        <v>1184</v>
      </c>
      <c r="T511" s="69" t="s">
        <v>1187</v>
      </c>
      <c r="U511" s="70">
        <v>151</v>
      </c>
      <c r="V511" s="27" t="s">
        <v>907</v>
      </c>
      <c r="X511" s="71">
        <v>9.08</v>
      </c>
      <c r="Y511" s="72">
        <v>0.08</v>
      </c>
      <c r="Z511" s="72">
        <v>0.92</v>
      </c>
      <c r="AA511"/>
      <c r="AB511"/>
      <c r="AD511" t="s">
        <v>792</v>
      </c>
      <c r="AF511" t="s">
        <v>861</v>
      </c>
      <c r="AH511" t="s">
        <v>903</v>
      </c>
      <c r="AI511" t="s">
        <v>1076</v>
      </c>
      <c r="AJ511" s="15"/>
      <c r="AK511" t="s">
        <v>908</v>
      </c>
    </row>
    <row r="512" spans="1:37" hidden="1" x14ac:dyDescent="0.25">
      <c r="A512" s="1"/>
      <c r="B512" s="17">
        <v>44791</v>
      </c>
      <c r="C512" s="17"/>
      <c r="D512" s="17"/>
      <c r="E512" s="17"/>
      <c r="F512" s="17"/>
      <c r="G512" s="74" t="s">
        <v>795</v>
      </c>
      <c r="H512" s="75" t="s">
        <v>794</v>
      </c>
      <c r="I512" s="23" t="s">
        <v>894</v>
      </c>
      <c r="J512" s="17" t="s">
        <v>50</v>
      </c>
      <c r="K512" s="41" t="s">
        <v>50</v>
      </c>
      <c r="L512" s="58" t="s">
        <v>901</v>
      </c>
      <c r="M512" s="23" t="s">
        <v>905</v>
      </c>
      <c r="N512" s="58" t="s">
        <v>50</v>
      </c>
      <c r="O512" s="58" t="s">
        <v>86</v>
      </c>
      <c r="P512" s="41" t="s">
        <v>896</v>
      </c>
      <c r="Q512" s="23" t="s">
        <v>897</v>
      </c>
      <c r="R512" s="17">
        <v>46397</v>
      </c>
      <c r="S512" s="17" t="s">
        <v>1184</v>
      </c>
      <c r="T512" s="65" t="s">
        <v>1188</v>
      </c>
      <c r="U512" s="73">
        <v>152</v>
      </c>
      <c r="V512" s="27" t="s">
        <v>907</v>
      </c>
      <c r="W512" s="17"/>
      <c r="X512" s="67">
        <v>9.67</v>
      </c>
      <c r="Y512" s="68">
        <v>0.08</v>
      </c>
      <c r="Z512" s="68">
        <v>0.92</v>
      </c>
      <c r="AA512" s="17"/>
      <c r="AB512" s="17"/>
      <c r="AC512" s="17"/>
      <c r="AD512" s="17" t="s">
        <v>794</v>
      </c>
      <c r="AE512" s="17"/>
      <c r="AF512" s="17" t="s">
        <v>861</v>
      </c>
      <c r="AG512" s="17"/>
      <c r="AH512" t="s">
        <v>903</v>
      </c>
      <c r="AI512" t="s">
        <v>1076</v>
      </c>
      <c r="AJ512" s="15"/>
      <c r="AK512" t="s">
        <v>908</v>
      </c>
    </row>
    <row r="513" spans="1:37" hidden="1" x14ac:dyDescent="0.25">
      <c r="A513" s="1"/>
      <c r="B513">
        <v>44793</v>
      </c>
      <c r="G513" s="10" t="s">
        <v>797</v>
      </c>
      <c r="H513" s="11" t="s">
        <v>796</v>
      </c>
      <c r="I513" s="27" t="s">
        <v>894</v>
      </c>
      <c r="J513" t="s">
        <v>50</v>
      </c>
      <c r="K513" s="39" t="s">
        <v>50</v>
      </c>
      <c r="L513" s="54" t="s">
        <v>901</v>
      </c>
      <c r="M513" s="27" t="s">
        <v>905</v>
      </c>
      <c r="N513" s="54" t="s">
        <v>50</v>
      </c>
      <c r="O513" s="54" t="s">
        <v>86</v>
      </c>
      <c r="P513" s="39" t="s">
        <v>896</v>
      </c>
      <c r="Q513" s="27" t="s">
        <v>897</v>
      </c>
      <c r="R513">
        <v>46398</v>
      </c>
      <c r="S513" t="s">
        <v>1184</v>
      </c>
      <c r="T513" s="69" t="s">
        <v>1189</v>
      </c>
      <c r="U513" s="70">
        <v>153</v>
      </c>
      <c r="V513" s="27" t="s">
        <v>907</v>
      </c>
      <c r="X513" s="71">
        <v>10.54</v>
      </c>
      <c r="Y513" s="72">
        <v>0.08</v>
      </c>
      <c r="Z513" s="72">
        <v>0.92</v>
      </c>
      <c r="AA513"/>
      <c r="AB513"/>
      <c r="AD513" t="s">
        <v>796</v>
      </c>
      <c r="AF513" t="s">
        <v>861</v>
      </c>
      <c r="AH513" t="s">
        <v>903</v>
      </c>
      <c r="AI513" t="s">
        <v>1076</v>
      </c>
      <c r="AJ513" s="15"/>
      <c r="AK513" t="s">
        <v>908</v>
      </c>
    </row>
    <row r="514" spans="1:37" hidden="1" x14ac:dyDescent="0.25">
      <c r="A514" s="1"/>
      <c r="B514" s="17">
        <v>44795</v>
      </c>
      <c r="C514" s="17"/>
      <c r="D514" s="17"/>
      <c r="E514" s="17"/>
      <c r="F514" s="17"/>
      <c r="G514" s="17" t="s">
        <v>799</v>
      </c>
      <c r="H514" s="17" t="s">
        <v>798</v>
      </c>
      <c r="I514" s="23" t="s">
        <v>894</v>
      </c>
      <c r="J514" s="17" t="s">
        <v>50</v>
      </c>
      <c r="K514" s="41" t="s">
        <v>50</v>
      </c>
      <c r="L514" s="58" t="s">
        <v>901</v>
      </c>
      <c r="M514" s="23" t="s">
        <v>905</v>
      </c>
      <c r="N514" s="58" t="s">
        <v>50</v>
      </c>
      <c r="O514" s="58" t="s">
        <v>86</v>
      </c>
      <c r="P514" s="41" t="s">
        <v>896</v>
      </c>
      <c r="Q514" s="23" t="s">
        <v>897</v>
      </c>
      <c r="R514" s="17">
        <v>46399</v>
      </c>
      <c r="S514" s="17" t="s">
        <v>1184</v>
      </c>
      <c r="T514" s="65" t="s">
        <v>1190</v>
      </c>
      <c r="U514" s="73">
        <v>154</v>
      </c>
      <c r="V514" s="27" t="s">
        <v>907</v>
      </c>
      <c r="W514" s="17"/>
      <c r="X514" s="67">
        <v>11.16</v>
      </c>
      <c r="Y514" s="68">
        <v>0.08</v>
      </c>
      <c r="Z514" s="68">
        <v>0.92</v>
      </c>
      <c r="AA514" s="17"/>
      <c r="AB514" s="17"/>
      <c r="AC514" s="17"/>
      <c r="AD514" s="17" t="s">
        <v>798</v>
      </c>
      <c r="AE514" s="17"/>
      <c r="AF514" s="17" t="s">
        <v>861</v>
      </c>
      <c r="AG514" s="17"/>
      <c r="AH514" t="s">
        <v>903</v>
      </c>
      <c r="AI514" t="s">
        <v>1076</v>
      </c>
      <c r="AJ514" s="15"/>
      <c r="AK514" t="s">
        <v>908</v>
      </c>
    </row>
    <row r="515" spans="1:37" hidden="1" x14ac:dyDescent="0.25">
      <c r="A515" s="1"/>
      <c r="B515">
        <v>44797</v>
      </c>
      <c r="G515" t="s">
        <v>801</v>
      </c>
      <c r="H515" t="s">
        <v>800</v>
      </c>
      <c r="I515" s="27" t="s">
        <v>894</v>
      </c>
      <c r="J515" t="s">
        <v>50</v>
      </c>
      <c r="K515" s="39" t="s">
        <v>50</v>
      </c>
      <c r="L515" s="54" t="s">
        <v>901</v>
      </c>
      <c r="M515" s="27" t="s">
        <v>905</v>
      </c>
      <c r="N515" s="54" t="s">
        <v>50</v>
      </c>
      <c r="O515" s="54" t="s">
        <v>86</v>
      </c>
      <c r="P515" s="39" t="s">
        <v>896</v>
      </c>
      <c r="Q515" s="27" t="s">
        <v>897</v>
      </c>
      <c r="R515">
        <v>46400</v>
      </c>
      <c r="S515" t="s">
        <v>1184</v>
      </c>
      <c r="T515" s="69" t="s">
        <v>1191</v>
      </c>
      <c r="U515" s="70">
        <v>155</v>
      </c>
      <c r="V515" s="27" t="s">
        <v>907</v>
      </c>
      <c r="X515" s="71">
        <v>14.87</v>
      </c>
      <c r="Y515" s="72">
        <v>0.08</v>
      </c>
      <c r="Z515" s="72">
        <v>0.92</v>
      </c>
      <c r="AA515"/>
      <c r="AB515"/>
      <c r="AD515" t="s">
        <v>800</v>
      </c>
      <c r="AF515" t="s">
        <v>861</v>
      </c>
      <c r="AH515" t="s">
        <v>903</v>
      </c>
      <c r="AI515" t="s">
        <v>1076</v>
      </c>
      <c r="AJ515" s="15"/>
      <c r="AK515" t="s">
        <v>908</v>
      </c>
    </row>
    <row r="516" spans="1:37" hidden="1" x14ac:dyDescent="0.25">
      <c r="A516" s="1"/>
      <c r="B516" s="17">
        <v>44799</v>
      </c>
      <c r="C516" s="17"/>
      <c r="D516" s="17"/>
      <c r="E516" s="17"/>
      <c r="F516" s="17"/>
      <c r="G516" s="17" t="s">
        <v>803</v>
      </c>
      <c r="H516" s="17" t="s">
        <v>802</v>
      </c>
      <c r="I516" s="23" t="s">
        <v>894</v>
      </c>
      <c r="J516" s="17" t="s">
        <v>50</v>
      </c>
      <c r="K516" s="41" t="s">
        <v>50</v>
      </c>
      <c r="L516" s="58" t="s">
        <v>901</v>
      </c>
      <c r="M516" s="23" t="s">
        <v>905</v>
      </c>
      <c r="N516" s="58" t="s">
        <v>50</v>
      </c>
      <c r="O516" s="58" t="s">
        <v>86</v>
      </c>
      <c r="P516" s="41" t="s">
        <v>896</v>
      </c>
      <c r="Q516" s="23" t="s">
        <v>897</v>
      </c>
      <c r="R516" s="17">
        <v>46401</v>
      </c>
      <c r="S516" s="17" t="s">
        <v>1184</v>
      </c>
      <c r="T516" s="65" t="s">
        <v>1191</v>
      </c>
      <c r="U516" s="73">
        <v>155</v>
      </c>
      <c r="V516" s="27" t="s">
        <v>907</v>
      </c>
      <c r="W516" s="17"/>
      <c r="X516" s="67">
        <v>14.87</v>
      </c>
      <c r="Y516" s="68">
        <v>0.08</v>
      </c>
      <c r="Z516" s="68">
        <v>0.92</v>
      </c>
      <c r="AA516" s="17"/>
      <c r="AB516" s="17"/>
      <c r="AC516" s="17"/>
      <c r="AD516" s="17" t="s">
        <v>802</v>
      </c>
      <c r="AE516" s="17"/>
      <c r="AF516" s="17" t="s">
        <v>861</v>
      </c>
      <c r="AG516" s="17"/>
      <c r="AH516" t="s">
        <v>903</v>
      </c>
      <c r="AI516" t="s">
        <v>1076</v>
      </c>
      <c r="AJ516" s="15"/>
      <c r="AK516" t="s">
        <v>908</v>
      </c>
    </row>
    <row r="517" spans="1:37" hidden="1" x14ac:dyDescent="0.25">
      <c r="A517" s="1"/>
      <c r="B517">
        <v>44809</v>
      </c>
      <c r="G517" t="s">
        <v>805</v>
      </c>
      <c r="H517" t="s">
        <v>804</v>
      </c>
      <c r="I517" s="27" t="s">
        <v>894</v>
      </c>
      <c r="J517" t="s">
        <v>50</v>
      </c>
      <c r="K517" s="39" t="s">
        <v>50</v>
      </c>
      <c r="L517" s="54" t="s">
        <v>901</v>
      </c>
      <c r="M517" s="27" t="s">
        <v>905</v>
      </c>
      <c r="N517" s="54" t="s">
        <v>50</v>
      </c>
      <c r="O517" s="54" t="s">
        <v>86</v>
      </c>
      <c r="P517" s="39" t="s">
        <v>896</v>
      </c>
      <c r="Q517" s="27" t="s">
        <v>897</v>
      </c>
      <c r="R517">
        <v>46416</v>
      </c>
      <c r="S517" t="s">
        <v>1184</v>
      </c>
      <c r="T517" s="69" t="s">
        <v>1192</v>
      </c>
      <c r="U517" s="70">
        <v>156</v>
      </c>
      <c r="V517" s="27" t="s">
        <v>907</v>
      </c>
      <c r="X517" s="71">
        <v>15.21</v>
      </c>
      <c r="Y517" s="72">
        <v>0.08</v>
      </c>
      <c r="Z517" s="72">
        <v>0.92</v>
      </c>
      <c r="AA517"/>
      <c r="AB517"/>
      <c r="AD517" t="s">
        <v>804</v>
      </c>
      <c r="AF517" t="s">
        <v>861</v>
      </c>
      <c r="AH517" t="s">
        <v>903</v>
      </c>
      <c r="AI517" t="s">
        <v>1076</v>
      </c>
      <c r="AJ517" s="15"/>
      <c r="AK517" t="s">
        <v>908</v>
      </c>
    </row>
    <row r="518" spans="1:37" hidden="1" x14ac:dyDescent="0.25">
      <c r="A518" s="1"/>
      <c r="B518" s="17">
        <v>44811</v>
      </c>
      <c r="C518" s="17"/>
      <c r="D518" s="17"/>
      <c r="E518" s="17"/>
      <c r="F518" s="17"/>
      <c r="G518" s="17" t="s">
        <v>807</v>
      </c>
      <c r="H518" s="17" t="s">
        <v>806</v>
      </c>
      <c r="I518" s="23" t="s">
        <v>894</v>
      </c>
      <c r="J518" s="17" t="s">
        <v>50</v>
      </c>
      <c r="K518" s="41" t="s">
        <v>50</v>
      </c>
      <c r="L518" s="58" t="s">
        <v>901</v>
      </c>
      <c r="M518" s="23" t="s">
        <v>905</v>
      </c>
      <c r="N518" s="58" t="s">
        <v>50</v>
      </c>
      <c r="O518" s="58" t="s">
        <v>86</v>
      </c>
      <c r="P518" s="41" t="s">
        <v>896</v>
      </c>
      <c r="Q518" s="23" t="s">
        <v>897</v>
      </c>
      <c r="R518" s="17">
        <v>46417</v>
      </c>
      <c r="S518" s="17" t="s">
        <v>1184</v>
      </c>
      <c r="T518" s="65" t="s">
        <v>1192</v>
      </c>
      <c r="U518" s="73">
        <v>156</v>
      </c>
      <c r="V518" s="27" t="s">
        <v>907</v>
      </c>
      <c r="W518" s="17"/>
      <c r="X518" s="67">
        <v>15.21</v>
      </c>
      <c r="Y518" s="68">
        <v>0.08</v>
      </c>
      <c r="Z518" s="68">
        <v>0.92</v>
      </c>
      <c r="AA518" s="17"/>
      <c r="AB518" s="17"/>
      <c r="AC518" s="17"/>
      <c r="AD518" s="17" t="s">
        <v>806</v>
      </c>
      <c r="AE518" s="17"/>
      <c r="AF518" s="17" t="s">
        <v>861</v>
      </c>
      <c r="AG518" s="17"/>
      <c r="AH518" t="s">
        <v>903</v>
      </c>
      <c r="AI518" t="s">
        <v>1076</v>
      </c>
      <c r="AJ518" s="15"/>
      <c r="AK518" t="s">
        <v>908</v>
      </c>
    </row>
    <row r="519" spans="1:37" hidden="1" x14ac:dyDescent="0.25">
      <c r="A519" s="1"/>
      <c r="B519">
        <v>44813</v>
      </c>
      <c r="G519" t="s">
        <v>809</v>
      </c>
      <c r="H519" t="s">
        <v>808</v>
      </c>
      <c r="I519" s="27" t="s">
        <v>894</v>
      </c>
      <c r="J519" t="s">
        <v>50</v>
      </c>
      <c r="K519" s="39" t="s">
        <v>50</v>
      </c>
      <c r="L519" s="54" t="s">
        <v>901</v>
      </c>
      <c r="M519" s="27" t="s">
        <v>905</v>
      </c>
      <c r="N519" s="54" t="s">
        <v>50</v>
      </c>
      <c r="O519" s="54" t="s">
        <v>86</v>
      </c>
      <c r="P519" s="39" t="s">
        <v>896</v>
      </c>
      <c r="Q519" s="27" t="s">
        <v>897</v>
      </c>
      <c r="R519">
        <v>46418</v>
      </c>
      <c r="S519" t="s">
        <v>1184</v>
      </c>
      <c r="T519" s="69" t="s">
        <v>1192</v>
      </c>
      <c r="U519" s="70">
        <v>156</v>
      </c>
      <c r="V519" s="27" t="s">
        <v>907</v>
      </c>
      <c r="X519" s="71">
        <v>15.21</v>
      </c>
      <c r="Y519" s="72">
        <v>0.08</v>
      </c>
      <c r="Z519" s="72">
        <v>0.92</v>
      </c>
      <c r="AA519"/>
      <c r="AB519"/>
      <c r="AD519" t="s">
        <v>808</v>
      </c>
      <c r="AF519" t="s">
        <v>861</v>
      </c>
      <c r="AH519" t="s">
        <v>903</v>
      </c>
      <c r="AI519" t="s">
        <v>1076</v>
      </c>
      <c r="AJ519" s="15"/>
      <c r="AK519" t="s">
        <v>908</v>
      </c>
    </row>
    <row r="520" spans="1:37" hidden="1" x14ac:dyDescent="0.25">
      <c r="A520" s="1"/>
      <c r="B520" s="17">
        <v>44815</v>
      </c>
      <c r="C520" s="17"/>
      <c r="D520" s="17"/>
      <c r="E520" s="17"/>
      <c r="F520" s="17"/>
      <c r="G520" s="17" t="s">
        <v>811</v>
      </c>
      <c r="H520" s="17" t="s">
        <v>810</v>
      </c>
      <c r="I520" s="23" t="s">
        <v>894</v>
      </c>
      <c r="J520" s="17" t="s">
        <v>50</v>
      </c>
      <c r="K520" s="41" t="s">
        <v>50</v>
      </c>
      <c r="L520" s="58" t="s">
        <v>901</v>
      </c>
      <c r="M520" s="23" t="s">
        <v>905</v>
      </c>
      <c r="N520" s="58" t="s">
        <v>50</v>
      </c>
      <c r="O520" s="58" t="s">
        <v>86</v>
      </c>
      <c r="P520" s="41" t="s">
        <v>896</v>
      </c>
      <c r="Q520" s="23" t="s">
        <v>897</v>
      </c>
      <c r="R520" s="17">
        <v>46419</v>
      </c>
      <c r="S520" s="17" t="s">
        <v>1184</v>
      </c>
      <c r="T520" s="65" t="s">
        <v>1192</v>
      </c>
      <c r="U520" s="73">
        <v>156</v>
      </c>
      <c r="V520" s="27" t="s">
        <v>907</v>
      </c>
      <c r="W520" s="17"/>
      <c r="X520" s="67">
        <v>15.21</v>
      </c>
      <c r="Y520" s="68">
        <v>0.08</v>
      </c>
      <c r="Z520" s="68">
        <v>0.92</v>
      </c>
      <c r="AA520" s="17"/>
      <c r="AB520" s="17"/>
      <c r="AC520" s="17"/>
      <c r="AD520" s="17" t="s">
        <v>810</v>
      </c>
      <c r="AE520" s="17"/>
      <c r="AF520" s="17" t="s">
        <v>861</v>
      </c>
      <c r="AG520" s="17"/>
      <c r="AH520" t="s">
        <v>903</v>
      </c>
      <c r="AI520" t="s">
        <v>1076</v>
      </c>
      <c r="AJ520" s="15"/>
      <c r="AK520" t="s">
        <v>908</v>
      </c>
    </row>
    <row r="521" spans="1:37" hidden="1" x14ac:dyDescent="0.25">
      <c r="A521" s="1"/>
      <c r="B521">
        <v>44817</v>
      </c>
      <c r="G521" t="s">
        <v>813</v>
      </c>
      <c r="H521" t="s">
        <v>812</v>
      </c>
      <c r="I521" s="27" t="s">
        <v>894</v>
      </c>
      <c r="J521" t="s">
        <v>50</v>
      </c>
      <c r="K521" s="39" t="s">
        <v>50</v>
      </c>
      <c r="L521" s="54" t="s">
        <v>901</v>
      </c>
      <c r="M521" s="27" t="s">
        <v>905</v>
      </c>
      <c r="N521" s="54" t="s">
        <v>50</v>
      </c>
      <c r="O521" s="54" t="s">
        <v>86</v>
      </c>
      <c r="P521" s="39" t="s">
        <v>896</v>
      </c>
      <c r="Q521" s="27" t="s">
        <v>897</v>
      </c>
      <c r="R521">
        <v>46420</v>
      </c>
      <c r="S521" t="s">
        <v>1184</v>
      </c>
      <c r="T521" s="69" t="s">
        <v>1193</v>
      </c>
      <c r="U521" s="70">
        <v>157</v>
      </c>
      <c r="V521" s="27" t="s">
        <v>907</v>
      </c>
      <c r="X521" s="71">
        <v>15.87</v>
      </c>
      <c r="Y521" s="72">
        <v>0.08</v>
      </c>
      <c r="Z521" s="72">
        <v>0.92</v>
      </c>
      <c r="AA521"/>
      <c r="AB521"/>
      <c r="AD521" t="s">
        <v>812</v>
      </c>
      <c r="AF521" t="s">
        <v>861</v>
      </c>
      <c r="AH521" t="s">
        <v>903</v>
      </c>
      <c r="AI521" t="s">
        <v>1076</v>
      </c>
      <c r="AJ521" s="15"/>
      <c r="AK521" t="s">
        <v>908</v>
      </c>
    </row>
    <row r="522" spans="1:37" hidden="1" x14ac:dyDescent="0.25">
      <c r="A522" s="1"/>
      <c r="B522" s="17">
        <v>44819</v>
      </c>
      <c r="C522" s="17"/>
      <c r="D522" s="17"/>
      <c r="E522" s="17"/>
      <c r="F522" s="17"/>
      <c r="G522" s="17" t="s">
        <v>815</v>
      </c>
      <c r="H522" s="17" t="s">
        <v>814</v>
      </c>
      <c r="I522" s="23" t="s">
        <v>894</v>
      </c>
      <c r="J522" s="17" t="s">
        <v>50</v>
      </c>
      <c r="K522" s="41" t="s">
        <v>50</v>
      </c>
      <c r="L522" s="58" t="s">
        <v>901</v>
      </c>
      <c r="M522" s="23" t="s">
        <v>905</v>
      </c>
      <c r="N522" s="58" t="s">
        <v>50</v>
      </c>
      <c r="O522" s="58" t="s">
        <v>86</v>
      </c>
      <c r="P522" s="41" t="s">
        <v>896</v>
      </c>
      <c r="Q522" s="23" t="s">
        <v>897</v>
      </c>
      <c r="R522" s="17">
        <v>46421</v>
      </c>
      <c r="S522" s="17" t="s">
        <v>1184</v>
      </c>
      <c r="T522" s="65" t="s">
        <v>1193</v>
      </c>
      <c r="U522" s="73">
        <v>157</v>
      </c>
      <c r="V522" s="27" t="s">
        <v>907</v>
      </c>
      <c r="W522" s="17"/>
      <c r="X522" s="67">
        <v>15.87</v>
      </c>
      <c r="Y522" s="68">
        <v>0.08</v>
      </c>
      <c r="Z522" s="68">
        <v>0.92</v>
      </c>
      <c r="AA522" s="17"/>
      <c r="AB522" s="17"/>
      <c r="AC522" s="17"/>
      <c r="AD522" s="17" t="s">
        <v>814</v>
      </c>
      <c r="AE522" s="17"/>
      <c r="AF522" s="17" t="s">
        <v>861</v>
      </c>
      <c r="AG522" s="17"/>
      <c r="AH522" t="s">
        <v>903</v>
      </c>
      <c r="AI522" t="s">
        <v>1076</v>
      </c>
      <c r="AJ522" s="15"/>
      <c r="AK522" t="s">
        <v>908</v>
      </c>
    </row>
    <row r="523" spans="1:37" hidden="1" x14ac:dyDescent="0.25">
      <c r="A523" s="1"/>
      <c r="B523">
        <v>44821</v>
      </c>
      <c r="G523" s="11" t="s">
        <v>817</v>
      </c>
      <c r="H523" s="11" t="s">
        <v>816</v>
      </c>
      <c r="I523" s="27" t="s">
        <v>894</v>
      </c>
      <c r="J523" t="s">
        <v>50</v>
      </c>
      <c r="K523" s="39" t="s">
        <v>50</v>
      </c>
      <c r="L523" s="54" t="s">
        <v>901</v>
      </c>
      <c r="M523" s="27" t="s">
        <v>905</v>
      </c>
      <c r="N523" s="54" t="s">
        <v>50</v>
      </c>
      <c r="O523" s="54" t="s">
        <v>86</v>
      </c>
      <c r="P523" s="39" t="s">
        <v>896</v>
      </c>
      <c r="Q523" s="27" t="s">
        <v>897</v>
      </c>
      <c r="R523">
        <v>46422</v>
      </c>
      <c r="S523" t="s">
        <v>1184</v>
      </c>
      <c r="T523" s="69" t="s">
        <v>1193</v>
      </c>
      <c r="U523" s="70">
        <v>157</v>
      </c>
      <c r="V523" s="27" t="s">
        <v>907</v>
      </c>
      <c r="X523" s="71">
        <v>15.87</v>
      </c>
      <c r="Y523" s="72">
        <v>0.08</v>
      </c>
      <c r="Z523" s="72">
        <v>0.92</v>
      </c>
      <c r="AA523"/>
      <c r="AB523"/>
      <c r="AD523" t="s">
        <v>816</v>
      </c>
      <c r="AF523" t="s">
        <v>861</v>
      </c>
      <c r="AH523" t="s">
        <v>903</v>
      </c>
      <c r="AI523" t="s">
        <v>1076</v>
      </c>
      <c r="AJ523" s="15"/>
      <c r="AK523" t="s">
        <v>908</v>
      </c>
    </row>
    <row r="524" spans="1:37" hidden="1" x14ac:dyDescent="0.25">
      <c r="A524" s="1"/>
      <c r="B524" s="17">
        <v>44823</v>
      </c>
      <c r="C524" s="17"/>
      <c r="D524" s="17"/>
      <c r="E524" s="17"/>
      <c r="F524" s="17"/>
      <c r="G524" s="75" t="s">
        <v>819</v>
      </c>
      <c r="H524" s="75" t="s">
        <v>818</v>
      </c>
      <c r="I524" s="23" t="s">
        <v>894</v>
      </c>
      <c r="J524" s="17" t="s">
        <v>50</v>
      </c>
      <c r="K524" s="41" t="s">
        <v>50</v>
      </c>
      <c r="L524" s="58" t="s">
        <v>901</v>
      </c>
      <c r="M524" s="23" t="s">
        <v>905</v>
      </c>
      <c r="N524" s="58" t="s">
        <v>50</v>
      </c>
      <c r="O524" s="58" t="s">
        <v>86</v>
      </c>
      <c r="P524" s="41" t="s">
        <v>896</v>
      </c>
      <c r="Q524" s="23" t="s">
        <v>897</v>
      </c>
      <c r="R524" s="17">
        <v>46423</v>
      </c>
      <c r="S524" s="17" t="s">
        <v>1184</v>
      </c>
      <c r="T524" s="65" t="s">
        <v>1193</v>
      </c>
      <c r="U524" s="73">
        <v>157</v>
      </c>
      <c r="V524" s="27" t="s">
        <v>907</v>
      </c>
      <c r="W524" s="17"/>
      <c r="X524" s="67">
        <v>15.87</v>
      </c>
      <c r="Y524" s="68">
        <v>0.08</v>
      </c>
      <c r="Z524" s="68">
        <v>0.92</v>
      </c>
      <c r="AA524" s="17"/>
      <c r="AB524" s="17"/>
      <c r="AC524" s="17"/>
      <c r="AD524" s="17" t="s">
        <v>818</v>
      </c>
      <c r="AE524" s="17"/>
      <c r="AF524" s="17" t="s">
        <v>861</v>
      </c>
      <c r="AG524" s="17"/>
      <c r="AH524" t="s">
        <v>903</v>
      </c>
      <c r="AI524" t="s">
        <v>1076</v>
      </c>
      <c r="AJ524" s="15"/>
      <c r="AK524" t="s">
        <v>908</v>
      </c>
    </row>
    <row r="525" spans="1:37" hidden="1" x14ac:dyDescent="0.25">
      <c r="A525" s="1"/>
      <c r="B525">
        <v>44825</v>
      </c>
      <c r="G525" s="11" t="s">
        <v>821</v>
      </c>
      <c r="H525" s="11" t="s">
        <v>820</v>
      </c>
      <c r="I525" s="27" t="s">
        <v>894</v>
      </c>
      <c r="J525" t="s">
        <v>50</v>
      </c>
      <c r="K525" s="39" t="s">
        <v>50</v>
      </c>
      <c r="L525" s="54" t="s">
        <v>901</v>
      </c>
      <c r="M525" s="27" t="s">
        <v>905</v>
      </c>
      <c r="N525" s="54" t="s">
        <v>50</v>
      </c>
      <c r="O525" s="54" t="s">
        <v>86</v>
      </c>
      <c r="P525" s="39" t="s">
        <v>896</v>
      </c>
      <c r="Q525" s="27" t="s">
        <v>897</v>
      </c>
      <c r="R525">
        <v>46424</v>
      </c>
      <c r="S525" t="s">
        <v>1184</v>
      </c>
      <c r="T525" s="69" t="s">
        <v>1193</v>
      </c>
      <c r="U525" s="70">
        <v>157</v>
      </c>
      <c r="V525" s="27" t="s">
        <v>907</v>
      </c>
      <c r="X525" s="71">
        <v>15.87</v>
      </c>
      <c r="Y525" s="72">
        <v>0.08</v>
      </c>
      <c r="Z525" s="72">
        <v>0.92</v>
      </c>
      <c r="AA525"/>
      <c r="AB525"/>
      <c r="AD525" t="s">
        <v>820</v>
      </c>
      <c r="AF525" t="s">
        <v>861</v>
      </c>
      <c r="AH525" t="s">
        <v>903</v>
      </c>
      <c r="AI525" t="s">
        <v>1076</v>
      </c>
      <c r="AJ525" s="15"/>
      <c r="AK525" t="s">
        <v>908</v>
      </c>
    </row>
    <row r="526" spans="1:37" hidden="1" x14ac:dyDescent="0.25">
      <c r="A526" s="1"/>
      <c r="B526" s="17">
        <v>44827</v>
      </c>
      <c r="C526" s="17"/>
      <c r="D526" s="17"/>
      <c r="E526" s="17"/>
      <c r="F526" s="17"/>
      <c r="G526" s="75" t="s">
        <v>823</v>
      </c>
      <c r="H526" s="75" t="s">
        <v>822</v>
      </c>
      <c r="I526" s="23" t="s">
        <v>894</v>
      </c>
      <c r="J526" s="17" t="s">
        <v>50</v>
      </c>
      <c r="K526" s="41" t="s">
        <v>50</v>
      </c>
      <c r="L526" s="58" t="s">
        <v>901</v>
      </c>
      <c r="M526" s="23" t="s">
        <v>905</v>
      </c>
      <c r="N526" s="58" t="s">
        <v>50</v>
      </c>
      <c r="O526" s="58" t="s">
        <v>86</v>
      </c>
      <c r="P526" s="41" t="s">
        <v>896</v>
      </c>
      <c r="Q526" s="23" t="s">
        <v>897</v>
      </c>
      <c r="R526" s="17">
        <v>46425</v>
      </c>
      <c r="S526" s="17" t="s">
        <v>1184</v>
      </c>
      <c r="T526" s="65" t="s">
        <v>1193</v>
      </c>
      <c r="U526" s="73">
        <v>157</v>
      </c>
      <c r="V526" s="27" t="s">
        <v>907</v>
      </c>
      <c r="W526" s="17"/>
      <c r="X526" s="67">
        <v>15.87</v>
      </c>
      <c r="Y526" s="68">
        <v>0.08</v>
      </c>
      <c r="Z526" s="68">
        <v>0.92</v>
      </c>
      <c r="AA526" s="17"/>
      <c r="AB526" s="17"/>
      <c r="AC526" s="17"/>
      <c r="AD526" s="17" t="s">
        <v>822</v>
      </c>
      <c r="AE526" s="17"/>
      <c r="AF526" s="17" t="s">
        <v>861</v>
      </c>
      <c r="AG526" s="17"/>
      <c r="AH526" t="s">
        <v>903</v>
      </c>
      <c r="AI526" t="s">
        <v>1076</v>
      </c>
      <c r="AJ526" s="15"/>
      <c r="AK526" t="s">
        <v>908</v>
      </c>
    </row>
    <row r="527" spans="1:37" hidden="1" x14ac:dyDescent="0.25">
      <c r="A527" s="1"/>
      <c r="B527">
        <v>44829</v>
      </c>
      <c r="G527" s="11" t="s">
        <v>825</v>
      </c>
      <c r="H527" s="11" t="s">
        <v>824</v>
      </c>
      <c r="I527" s="27" t="s">
        <v>894</v>
      </c>
      <c r="J527" t="s">
        <v>50</v>
      </c>
      <c r="K527" s="39" t="s">
        <v>50</v>
      </c>
      <c r="L527" s="54" t="s">
        <v>901</v>
      </c>
      <c r="M527" s="27" t="s">
        <v>905</v>
      </c>
      <c r="N527" s="54" t="s">
        <v>50</v>
      </c>
      <c r="O527" s="54" t="s">
        <v>86</v>
      </c>
      <c r="P527" s="39" t="s">
        <v>896</v>
      </c>
      <c r="Q527" s="27" t="s">
        <v>897</v>
      </c>
      <c r="R527">
        <v>46426</v>
      </c>
      <c r="S527" t="s">
        <v>1184</v>
      </c>
      <c r="T527" s="69" t="s">
        <v>1193</v>
      </c>
      <c r="U527" s="70">
        <v>157</v>
      </c>
      <c r="V527" s="27" t="s">
        <v>907</v>
      </c>
      <c r="X527" s="71">
        <v>15.87</v>
      </c>
      <c r="Y527" s="72">
        <v>0.08</v>
      </c>
      <c r="Z527" s="72">
        <v>0.92</v>
      </c>
      <c r="AA527"/>
      <c r="AB527"/>
      <c r="AD527" t="s">
        <v>824</v>
      </c>
      <c r="AF527" t="s">
        <v>861</v>
      </c>
      <c r="AH527" t="s">
        <v>903</v>
      </c>
      <c r="AI527" t="s">
        <v>1076</v>
      </c>
      <c r="AJ527" s="15"/>
      <c r="AK527" t="s">
        <v>908</v>
      </c>
    </row>
    <row r="528" spans="1:37" hidden="1" x14ac:dyDescent="0.25">
      <c r="A528" s="1"/>
      <c r="B528" s="17">
        <v>44831</v>
      </c>
      <c r="C528" s="17"/>
      <c r="D528" s="17"/>
      <c r="E528" s="17"/>
      <c r="F528" s="17"/>
      <c r="G528" s="75" t="s">
        <v>827</v>
      </c>
      <c r="H528" s="75" t="s">
        <v>826</v>
      </c>
      <c r="I528" s="23" t="s">
        <v>894</v>
      </c>
      <c r="J528" s="17" t="s">
        <v>50</v>
      </c>
      <c r="K528" s="41" t="s">
        <v>50</v>
      </c>
      <c r="L528" s="58" t="s">
        <v>901</v>
      </c>
      <c r="M528" s="23" t="s">
        <v>905</v>
      </c>
      <c r="N528" s="58" t="s">
        <v>50</v>
      </c>
      <c r="O528" s="58" t="s">
        <v>86</v>
      </c>
      <c r="P528" s="41" t="s">
        <v>896</v>
      </c>
      <c r="Q528" s="23" t="s">
        <v>897</v>
      </c>
      <c r="R528" s="17">
        <v>46427</v>
      </c>
      <c r="S528" s="17" t="s">
        <v>1184</v>
      </c>
      <c r="T528" s="65" t="s">
        <v>1193</v>
      </c>
      <c r="U528" s="73">
        <v>157</v>
      </c>
      <c r="V528" s="27" t="s">
        <v>907</v>
      </c>
      <c r="W528" s="17"/>
      <c r="X528" s="67">
        <v>15.87</v>
      </c>
      <c r="Y528" s="68">
        <v>0.08</v>
      </c>
      <c r="Z528" s="68">
        <v>0.92</v>
      </c>
      <c r="AA528" s="17"/>
      <c r="AB528" s="17"/>
      <c r="AC528" s="17"/>
      <c r="AD528" s="17" t="s">
        <v>826</v>
      </c>
      <c r="AE528" s="17"/>
      <c r="AF528" s="17" t="s">
        <v>861</v>
      </c>
      <c r="AG528" s="17"/>
      <c r="AH528" t="s">
        <v>903</v>
      </c>
      <c r="AI528" t="s">
        <v>1076</v>
      </c>
      <c r="AJ528" s="15"/>
      <c r="AK528" t="s">
        <v>908</v>
      </c>
    </row>
    <row r="529" spans="1:37" hidden="1" x14ac:dyDescent="0.25">
      <c r="A529" s="1"/>
      <c r="B529">
        <v>44833</v>
      </c>
      <c r="G529" s="11" t="s">
        <v>829</v>
      </c>
      <c r="H529" s="11" t="s">
        <v>828</v>
      </c>
      <c r="I529" s="27" t="s">
        <v>894</v>
      </c>
      <c r="J529" t="s">
        <v>50</v>
      </c>
      <c r="K529" s="39" t="s">
        <v>50</v>
      </c>
      <c r="L529" s="54" t="s">
        <v>901</v>
      </c>
      <c r="M529" s="27" t="s">
        <v>905</v>
      </c>
      <c r="N529" s="54" t="s">
        <v>50</v>
      </c>
      <c r="O529" s="54" t="s">
        <v>86</v>
      </c>
      <c r="P529" s="39" t="s">
        <v>896</v>
      </c>
      <c r="Q529" s="27" t="s">
        <v>897</v>
      </c>
      <c r="R529">
        <v>46428</v>
      </c>
      <c r="S529" t="s">
        <v>1184</v>
      </c>
      <c r="T529" s="69" t="s">
        <v>1194</v>
      </c>
      <c r="U529" s="70">
        <v>158</v>
      </c>
      <c r="V529" s="27" t="s">
        <v>907</v>
      </c>
      <c r="X529" s="71">
        <v>16.16</v>
      </c>
      <c r="Y529" s="72">
        <v>0.08</v>
      </c>
      <c r="Z529" s="72">
        <v>0.92</v>
      </c>
      <c r="AA529"/>
      <c r="AB529"/>
      <c r="AD529" t="s">
        <v>828</v>
      </c>
      <c r="AF529" t="s">
        <v>861</v>
      </c>
      <c r="AH529" t="s">
        <v>903</v>
      </c>
      <c r="AI529" t="s">
        <v>1076</v>
      </c>
      <c r="AJ529" s="15"/>
      <c r="AK529" t="s">
        <v>908</v>
      </c>
    </row>
    <row r="530" spans="1:37" hidden="1" x14ac:dyDescent="0.25">
      <c r="A530" s="1"/>
      <c r="B530" s="17">
        <v>44835</v>
      </c>
      <c r="C530" s="17"/>
      <c r="D530" s="17"/>
      <c r="E530" s="17"/>
      <c r="F530" s="17"/>
      <c r="G530" s="17" t="s">
        <v>831</v>
      </c>
      <c r="H530" s="17" t="s">
        <v>830</v>
      </c>
      <c r="I530" s="23" t="s">
        <v>894</v>
      </c>
      <c r="J530" s="17" t="s">
        <v>50</v>
      </c>
      <c r="K530" s="41" t="s">
        <v>50</v>
      </c>
      <c r="L530" s="58" t="s">
        <v>901</v>
      </c>
      <c r="M530" s="23" t="s">
        <v>905</v>
      </c>
      <c r="N530" s="58" t="s">
        <v>50</v>
      </c>
      <c r="O530" s="58" t="s">
        <v>86</v>
      </c>
      <c r="P530" s="41" t="s">
        <v>896</v>
      </c>
      <c r="Q530" s="23" t="s">
        <v>897</v>
      </c>
      <c r="R530" s="17">
        <v>46429</v>
      </c>
      <c r="S530" s="17" t="s">
        <v>1184</v>
      </c>
      <c r="T530" s="65" t="s">
        <v>1195</v>
      </c>
      <c r="U530" s="73">
        <v>159</v>
      </c>
      <c r="V530" s="27" t="s">
        <v>907</v>
      </c>
      <c r="W530" s="17"/>
      <c r="X530" s="67">
        <v>16.86</v>
      </c>
      <c r="Y530" s="68">
        <v>0.08</v>
      </c>
      <c r="Z530" s="68">
        <v>0.92</v>
      </c>
      <c r="AA530" s="17"/>
      <c r="AB530" s="17"/>
      <c r="AC530" s="17"/>
      <c r="AD530" s="17" t="s">
        <v>830</v>
      </c>
      <c r="AE530" s="17"/>
      <c r="AF530" s="17" t="s">
        <v>861</v>
      </c>
      <c r="AG530" s="17"/>
      <c r="AH530" t="s">
        <v>903</v>
      </c>
      <c r="AI530" t="s">
        <v>1076</v>
      </c>
      <c r="AJ530" s="15"/>
      <c r="AK530" t="s">
        <v>908</v>
      </c>
    </row>
    <row r="531" spans="1:37" hidden="1" x14ac:dyDescent="0.25">
      <c r="A531" s="14"/>
      <c r="B531">
        <v>44837</v>
      </c>
      <c r="G531" t="s">
        <v>833</v>
      </c>
      <c r="H531" t="s">
        <v>832</v>
      </c>
      <c r="I531" s="27" t="s">
        <v>894</v>
      </c>
      <c r="J531" t="s">
        <v>50</v>
      </c>
      <c r="K531" s="39" t="s">
        <v>50</v>
      </c>
      <c r="L531" s="54" t="s">
        <v>901</v>
      </c>
      <c r="M531" s="27" t="s">
        <v>905</v>
      </c>
      <c r="N531" s="54" t="s">
        <v>50</v>
      </c>
      <c r="O531" s="54" t="s">
        <v>86</v>
      </c>
      <c r="P531" s="39" t="s">
        <v>896</v>
      </c>
      <c r="Q531" s="27" t="s">
        <v>897</v>
      </c>
      <c r="R531">
        <v>46430</v>
      </c>
      <c r="S531" t="s">
        <v>1184</v>
      </c>
      <c r="T531" s="69" t="s">
        <v>1195</v>
      </c>
      <c r="U531" s="70">
        <v>159</v>
      </c>
      <c r="V531" s="27" t="s">
        <v>907</v>
      </c>
      <c r="X531" s="71">
        <v>16.86</v>
      </c>
      <c r="Y531" s="72">
        <v>0.08</v>
      </c>
      <c r="Z531" s="72">
        <v>0.92</v>
      </c>
      <c r="AA531"/>
      <c r="AB531"/>
      <c r="AD531" t="s">
        <v>832</v>
      </c>
      <c r="AF531" t="s">
        <v>861</v>
      </c>
      <c r="AH531" t="s">
        <v>903</v>
      </c>
      <c r="AI531" t="s">
        <v>1076</v>
      </c>
      <c r="AJ531" s="15"/>
      <c r="AK531" t="s">
        <v>908</v>
      </c>
    </row>
    <row r="532" spans="1:37" hidden="1" x14ac:dyDescent="0.25">
      <c r="A532" s="1"/>
      <c r="B532" s="17">
        <v>44839</v>
      </c>
      <c r="C532" s="17"/>
      <c r="D532" s="17"/>
      <c r="E532" s="17"/>
      <c r="F532" s="17"/>
      <c r="G532" s="17" t="s">
        <v>835</v>
      </c>
      <c r="H532" s="17" t="s">
        <v>834</v>
      </c>
      <c r="I532" s="23" t="s">
        <v>894</v>
      </c>
      <c r="J532" s="17" t="s">
        <v>50</v>
      </c>
      <c r="K532" s="41" t="s">
        <v>50</v>
      </c>
      <c r="L532" s="58" t="s">
        <v>901</v>
      </c>
      <c r="M532" s="23" t="s">
        <v>905</v>
      </c>
      <c r="N532" s="58" t="s">
        <v>50</v>
      </c>
      <c r="O532" s="58" t="s">
        <v>86</v>
      </c>
      <c r="P532" s="41" t="s">
        <v>896</v>
      </c>
      <c r="Q532" s="23" t="s">
        <v>897</v>
      </c>
      <c r="R532" s="17">
        <v>46436</v>
      </c>
      <c r="S532" s="17" t="s">
        <v>1184</v>
      </c>
      <c r="T532" s="65" t="s">
        <v>1196</v>
      </c>
      <c r="U532" s="73">
        <v>160</v>
      </c>
      <c r="V532" s="27" t="s">
        <v>907</v>
      </c>
      <c r="W532" s="17"/>
      <c r="X532" s="67">
        <v>17.18</v>
      </c>
      <c r="Y532" s="68">
        <v>0.08</v>
      </c>
      <c r="Z532" s="68">
        <v>0.92</v>
      </c>
      <c r="AA532" s="17"/>
      <c r="AB532" s="17"/>
      <c r="AC532" s="17"/>
      <c r="AD532" s="17" t="s">
        <v>834</v>
      </c>
      <c r="AE532" s="17"/>
      <c r="AF532" s="17" t="s">
        <v>861</v>
      </c>
      <c r="AG532" s="17"/>
      <c r="AH532" t="s">
        <v>903</v>
      </c>
      <c r="AI532" t="s">
        <v>1076</v>
      </c>
      <c r="AJ532" s="15"/>
      <c r="AK532" t="s">
        <v>908</v>
      </c>
    </row>
    <row r="533" spans="1:37" hidden="1" x14ac:dyDescent="0.25">
      <c r="A533" s="1"/>
      <c r="B533">
        <v>44841</v>
      </c>
      <c r="G533" t="s">
        <v>837</v>
      </c>
      <c r="H533" t="s">
        <v>836</v>
      </c>
      <c r="I533" s="76" t="s">
        <v>894</v>
      </c>
      <c r="J533" t="s">
        <v>50</v>
      </c>
      <c r="K533" s="39" t="s">
        <v>50</v>
      </c>
      <c r="L533" s="77" t="s">
        <v>901</v>
      </c>
      <c r="M533" s="76" t="s">
        <v>905</v>
      </c>
      <c r="N533" s="77" t="s">
        <v>50</v>
      </c>
      <c r="O533" s="77" t="s">
        <v>86</v>
      </c>
      <c r="P533" s="39" t="s">
        <v>896</v>
      </c>
      <c r="Q533" s="76" t="s">
        <v>897</v>
      </c>
      <c r="R533">
        <v>46437</v>
      </c>
      <c r="S533" t="s">
        <v>1184</v>
      </c>
      <c r="T533" s="78" t="s">
        <v>1197</v>
      </c>
      <c r="U533" s="70">
        <v>161</v>
      </c>
      <c r="V533" s="27" t="s">
        <v>907</v>
      </c>
      <c r="X533" s="79">
        <v>20.83</v>
      </c>
      <c r="Y533" s="80">
        <v>0.08</v>
      </c>
      <c r="Z533" s="80">
        <v>0.92</v>
      </c>
      <c r="AA533"/>
      <c r="AB533"/>
      <c r="AD533" t="s">
        <v>836</v>
      </c>
      <c r="AF533" t="s">
        <v>861</v>
      </c>
      <c r="AH533" t="s">
        <v>903</v>
      </c>
      <c r="AI533" t="s">
        <v>1076</v>
      </c>
      <c r="AJ533" s="15"/>
      <c r="AK533" t="s">
        <v>908</v>
      </c>
    </row>
    <row r="534" spans="1:37" hidden="1" x14ac:dyDescent="0.25">
      <c r="A534" s="1"/>
      <c r="B534" s="81">
        <v>44869</v>
      </c>
      <c r="C534" s="57"/>
      <c r="D534" s="57"/>
      <c r="E534" s="57"/>
      <c r="F534" s="57"/>
      <c r="G534" s="82" t="s">
        <v>323</v>
      </c>
      <c r="H534" s="82" t="s">
        <v>61</v>
      </c>
      <c r="I534" s="23" t="s">
        <v>894</v>
      </c>
      <c r="J534" s="82" t="s">
        <v>118</v>
      </c>
      <c r="K534" s="41" t="s">
        <v>36</v>
      </c>
      <c r="L534" s="58" t="s">
        <v>901</v>
      </c>
      <c r="M534" s="23" t="s">
        <v>905</v>
      </c>
      <c r="N534" s="58" t="s">
        <v>36</v>
      </c>
      <c r="O534" s="58" t="s">
        <v>1198</v>
      </c>
      <c r="P534" s="41" t="s">
        <v>896</v>
      </c>
      <c r="Q534" s="23" t="s">
        <v>897</v>
      </c>
      <c r="R534" s="81">
        <v>46456</v>
      </c>
      <c r="S534" s="82" t="s">
        <v>1181</v>
      </c>
      <c r="T534" s="58" t="s">
        <v>1182</v>
      </c>
      <c r="U534" s="83">
        <v>99</v>
      </c>
      <c r="V534" s="27" t="s">
        <v>907</v>
      </c>
      <c r="W534" s="81"/>
      <c r="X534" s="60">
        <v>14.99</v>
      </c>
      <c r="Y534" s="61">
        <v>0.8</v>
      </c>
      <c r="Z534" s="61">
        <v>0.2</v>
      </c>
      <c r="AA534" s="17"/>
      <c r="AB534" s="17"/>
      <c r="AC534" s="17"/>
      <c r="AD534" s="17" t="s">
        <v>61</v>
      </c>
      <c r="AE534" s="17"/>
      <c r="AF534" s="17" t="s">
        <v>43</v>
      </c>
      <c r="AG534" s="17" t="s">
        <v>1040</v>
      </c>
      <c r="AH534" t="s">
        <v>903</v>
      </c>
      <c r="AJ534" s="15"/>
      <c r="AK534" t="s">
        <v>908</v>
      </c>
    </row>
    <row r="535" spans="1:37" hidden="1" x14ac:dyDescent="0.25">
      <c r="A535" s="1"/>
      <c r="B535" s="13">
        <v>44889</v>
      </c>
      <c r="C535" s="84"/>
      <c r="D535" s="84"/>
      <c r="E535" s="84"/>
      <c r="F535" s="84"/>
      <c r="G535" s="69" t="s">
        <v>1199</v>
      </c>
      <c r="H535" s="69" t="s">
        <v>1200</v>
      </c>
      <c r="I535" s="27" t="s">
        <v>894</v>
      </c>
      <c r="J535" s="69" t="s">
        <v>285</v>
      </c>
      <c r="K535" s="39" t="s">
        <v>285</v>
      </c>
      <c r="L535" s="69" t="s">
        <v>901</v>
      </c>
      <c r="M535" s="27" t="s">
        <v>905</v>
      </c>
      <c r="N535" s="69" t="s">
        <v>285</v>
      </c>
      <c r="O535" s="69" t="s">
        <v>1201</v>
      </c>
      <c r="P535" s="39" t="s">
        <v>896</v>
      </c>
      <c r="Q535" s="27" t="s">
        <v>897</v>
      </c>
      <c r="R535" s="13">
        <v>46476</v>
      </c>
      <c r="S535" s="69" t="s">
        <v>1200</v>
      </c>
      <c r="T535" s="69" t="s">
        <v>1202</v>
      </c>
      <c r="U535" s="13">
        <v>147</v>
      </c>
      <c r="V535" s="27" t="s">
        <v>907</v>
      </c>
      <c r="W535" s="84"/>
      <c r="X535" s="71">
        <v>9.91</v>
      </c>
      <c r="Y535" s="72">
        <v>0.4</v>
      </c>
      <c r="Z535" s="72">
        <v>0.6</v>
      </c>
      <c r="AA535"/>
      <c r="AB535"/>
      <c r="AD535" t="s">
        <v>1200</v>
      </c>
      <c r="AF535" t="s">
        <v>861</v>
      </c>
      <c r="AG535" t="s">
        <v>1040</v>
      </c>
      <c r="AH535" t="s">
        <v>1175</v>
      </c>
      <c r="AJ535" s="15">
        <f>VLOOKUP(Tabla1[[#This Row],[CPC]],[1]Sheet3!$A:$D,4,0)</f>
        <v>0.60034056508577216</v>
      </c>
      <c r="AK535" t="s">
        <v>908</v>
      </c>
    </row>
    <row r="536" spans="1:37" hidden="1" x14ac:dyDescent="0.25">
      <c r="A536" s="14"/>
      <c r="B536" s="66">
        <v>44930</v>
      </c>
      <c r="C536" s="63"/>
      <c r="D536" s="63"/>
      <c r="E536" s="63"/>
      <c r="F536" s="63"/>
      <c r="G536" s="65" t="s">
        <v>1203</v>
      </c>
      <c r="H536" s="65" t="s">
        <v>1204</v>
      </c>
      <c r="I536" s="23" t="s">
        <v>894</v>
      </c>
      <c r="J536" s="23" t="s">
        <v>36</v>
      </c>
      <c r="K536" s="23" t="s">
        <v>1119</v>
      </c>
      <c r="L536" s="65" t="s">
        <v>901</v>
      </c>
      <c r="M536" s="23" t="s">
        <v>905</v>
      </c>
      <c r="N536" s="65" t="s">
        <v>36</v>
      </c>
      <c r="O536" s="65" t="s">
        <v>1205</v>
      </c>
      <c r="P536" s="41" t="s">
        <v>896</v>
      </c>
      <c r="Q536" s="23" t="s">
        <v>897</v>
      </c>
      <c r="R536" s="66">
        <v>46517</v>
      </c>
      <c r="S536" s="65" t="s">
        <v>1206</v>
      </c>
      <c r="T536" s="65" t="s">
        <v>1207</v>
      </c>
      <c r="U536" s="66">
        <v>165</v>
      </c>
      <c r="V536" s="65" t="s">
        <v>913</v>
      </c>
      <c r="W536" s="66"/>
      <c r="X536" s="67">
        <v>29.76</v>
      </c>
      <c r="Y536" s="68">
        <v>0.85560000000000003</v>
      </c>
      <c r="Z536" s="68">
        <v>0.1444</v>
      </c>
      <c r="AA536" s="17"/>
      <c r="AB536" s="17"/>
      <c r="AC536" s="17"/>
      <c r="AD536" s="17" t="s">
        <v>1204</v>
      </c>
      <c r="AE536" s="17"/>
      <c r="AF536" s="17" t="s">
        <v>43</v>
      </c>
      <c r="AG536" s="17" t="s">
        <v>1040</v>
      </c>
      <c r="AH536" t="s">
        <v>903</v>
      </c>
      <c r="AJ536" s="15"/>
      <c r="AK536" t="s">
        <v>908</v>
      </c>
    </row>
    <row r="537" spans="1:37" hidden="1" x14ac:dyDescent="0.25">
      <c r="A537" s="14"/>
      <c r="B537" s="13">
        <v>44932</v>
      </c>
      <c r="C537" s="84"/>
      <c r="D537" s="84"/>
      <c r="E537" s="84"/>
      <c r="F537" s="84"/>
      <c r="G537" s="69" t="s">
        <v>1208</v>
      </c>
      <c r="H537" s="69" t="s">
        <v>1209</v>
      </c>
      <c r="I537" s="27" t="s">
        <v>894</v>
      </c>
      <c r="J537" s="27" t="s">
        <v>36</v>
      </c>
      <c r="K537" s="27" t="s">
        <v>1119</v>
      </c>
      <c r="L537" s="69" t="s">
        <v>901</v>
      </c>
      <c r="M537" s="27" t="s">
        <v>905</v>
      </c>
      <c r="N537" s="69" t="s">
        <v>36</v>
      </c>
      <c r="O537" s="69" t="s">
        <v>1205</v>
      </c>
      <c r="P537" s="39" t="s">
        <v>896</v>
      </c>
      <c r="Q537" s="27" t="s">
        <v>897</v>
      </c>
      <c r="R537" s="13">
        <v>46518</v>
      </c>
      <c r="S537" s="69" t="s">
        <v>1206</v>
      </c>
      <c r="T537" s="69" t="s">
        <v>1210</v>
      </c>
      <c r="U537" s="13">
        <v>164</v>
      </c>
      <c r="V537" s="69" t="s">
        <v>913</v>
      </c>
      <c r="W537" s="13"/>
      <c r="X537" s="71">
        <v>32.93</v>
      </c>
      <c r="Y537" s="72">
        <v>0.92769999999999997</v>
      </c>
      <c r="Z537" s="72">
        <v>7.2300000000000003E-2</v>
      </c>
      <c r="AA537"/>
      <c r="AB537"/>
      <c r="AD537" t="s">
        <v>1209</v>
      </c>
      <c r="AF537" t="s">
        <v>43</v>
      </c>
      <c r="AG537" t="s">
        <v>1040</v>
      </c>
      <c r="AH537" t="s">
        <v>903</v>
      </c>
      <c r="AJ537" s="15"/>
      <c r="AK537" t="s">
        <v>908</v>
      </c>
    </row>
    <row r="538" spans="1:37" hidden="1" x14ac:dyDescent="0.25">
      <c r="A538" s="14"/>
      <c r="B538" s="62">
        <v>44950</v>
      </c>
      <c r="C538" s="63"/>
      <c r="D538" s="63"/>
      <c r="E538" s="63"/>
      <c r="F538" s="63"/>
      <c r="G538" s="64" t="s">
        <v>1211</v>
      </c>
      <c r="H538" s="64" t="s">
        <v>1212</v>
      </c>
      <c r="I538" s="85" t="s">
        <v>894</v>
      </c>
      <c r="J538" s="64" t="s">
        <v>280</v>
      </c>
      <c r="K538" s="41" t="s">
        <v>280</v>
      </c>
      <c r="L538" s="64" t="s">
        <v>901</v>
      </c>
      <c r="M538" s="85" t="s">
        <v>280</v>
      </c>
      <c r="N538" s="64" t="s">
        <v>280</v>
      </c>
      <c r="O538" s="64" t="s">
        <v>1213</v>
      </c>
      <c r="P538" s="41" t="s">
        <v>896</v>
      </c>
      <c r="Q538" s="85" t="s">
        <v>897</v>
      </c>
      <c r="R538" s="62">
        <v>46537</v>
      </c>
      <c r="S538" s="64" t="s">
        <v>1214</v>
      </c>
      <c r="T538" s="64" t="s">
        <v>1215</v>
      </c>
      <c r="U538" s="62">
        <v>149</v>
      </c>
      <c r="V538" s="27" t="s">
        <v>907</v>
      </c>
      <c r="W538" s="63"/>
      <c r="X538" s="86">
        <v>5.78</v>
      </c>
      <c r="Y538" s="87">
        <v>0.6</v>
      </c>
      <c r="Z538" s="87">
        <v>0.4</v>
      </c>
      <c r="AA538" s="17"/>
      <c r="AB538" s="17"/>
      <c r="AC538" s="17"/>
      <c r="AD538" s="17" t="s">
        <v>1212</v>
      </c>
      <c r="AE538" s="17"/>
      <c r="AF538" s="17" t="s">
        <v>280</v>
      </c>
      <c r="AG538" s="17" t="s">
        <v>902</v>
      </c>
      <c r="AH538" t="s">
        <v>903</v>
      </c>
      <c r="AJ538" s="15">
        <f>VLOOKUP(Tabla1[[#This Row],[CPC]],[1]Sheet3!$A:$D,4,0)</f>
        <v>0.60003615142281708</v>
      </c>
      <c r="AK538" t="s">
        <v>908</v>
      </c>
    </row>
    <row r="539" spans="1:37" hidden="1" x14ac:dyDescent="0.25">
      <c r="A539" s="1"/>
      <c r="B539" s="88">
        <v>45030</v>
      </c>
      <c r="C539" s="84"/>
      <c r="D539" s="84"/>
      <c r="E539" s="84"/>
      <c r="F539" s="84"/>
      <c r="G539" s="78" t="s">
        <v>1216</v>
      </c>
      <c r="H539" s="78" t="s">
        <v>1217</v>
      </c>
      <c r="I539" s="76" t="s">
        <v>894</v>
      </c>
      <c r="J539" s="78" t="s">
        <v>36</v>
      </c>
      <c r="K539" s="39" t="s">
        <v>36</v>
      </c>
      <c r="L539" s="78" t="s">
        <v>901</v>
      </c>
      <c r="M539" s="76" t="s">
        <v>905</v>
      </c>
      <c r="N539" s="78" t="s">
        <v>36</v>
      </c>
      <c r="O539" s="78" t="s">
        <v>86</v>
      </c>
      <c r="P539" s="39" t="s">
        <v>896</v>
      </c>
      <c r="Q539" s="76" t="s">
        <v>897</v>
      </c>
      <c r="R539" s="88">
        <v>46596</v>
      </c>
      <c r="S539" s="78" t="s">
        <v>1218</v>
      </c>
      <c r="T539" s="78" t="s">
        <v>1143</v>
      </c>
      <c r="U539" s="88">
        <v>136</v>
      </c>
      <c r="V539" s="78" t="s">
        <v>900</v>
      </c>
      <c r="W539" s="84"/>
      <c r="X539" s="79">
        <v>2.06</v>
      </c>
      <c r="Y539" s="80">
        <v>0.6</v>
      </c>
      <c r="Z539" s="80">
        <v>0.4</v>
      </c>
      <c r="AA539"/>
      <c r="AB539"/>
      <c r="AD539" t="s">
        <v>1219</v>
      </c>
      <c r="AF539" t="s">
        <v>43</v>
      </c>
      <c r="AH539" t="s">
        <v>903</v>
      </c>
      <c r="AI539" t="s">
        <v>1076</v>
      </c>
      <c r="AJ539" s="15"/>
      <c r="AK539" t="s">
        <v>908</v>
      </c>
    </row>
    <row r="540" spans="1:37" hidden="1" x14ac:dyDescent="0.25">
      <c r="A540" s="1"/>
      <c r="B540" s="62">
        <v>45009</v>
      </c>
      <c r="C540" s="62">
        <v>44169</v>
      </c>
      <c r="D540" s="63"/>
      <c r="E540" s="63"/>
      <c r="F540" s="63"/>
      <c r="G540" s="64" t="s">
        <v>1220</v>
      </c>
      <c r="H540" s="64" t="s">
        <v>41</v>
      </c>
      <c r="I540" s="85" t="s">
        <v>894</v>
      </c>
      <c r="J540" s="23" t="s">
        <v>36</v>
      </c>
      <c r="K540" s="23" t="s">
        <v>1119</v>
      </c>
      <c r="L540" s="64" t="s">
        <v>901</v>
      </c>
      <c r="M540" s="85" t="s">
        <v>905</v>
      </c>
      <c r="N540" s="64" t="s">
        <v>36</v>
      </c>
      <c r="O540" s="64" t="s">
        <v>319</v>
      </c>
      <c r="P540" s="41" t="s">
        <v>896</v>
      </c>
      <c r="Q540" s="85" t="s">
        <v>897</v>
      </c>
      <c r="R540" s="62">
        <v>46576</v>
      </c>
      <c r="S540" s="64" t="s">
        <v>1221</v>
      </c>
      <c r="T540" s="64" t="s">
        <v>1090</v>
      </c>
      <c r="U540" s="62">
        <v>0</v>
      </c>
      <c r="V540" s="64" t="s">
        <v>900</v>
      </c>
      <c r="W540" s="63"/>
      <c r="X540" s="86">
        <v>0</v>
      </c>
      <c r="Y540" s="87">
        <v>0</v>
      </c>
      <c r="Z540" s="87">
        <v>0</v>
      </c>
      <c r="AA540" s="17"/>
      <c r="AB540" s="17"/>
      <c r="AC540" s="17"/>
      <c r="AD540" s="17" t="s">
        <v>1221</v>
      </c>
      <c r="AE540" s="17"/>
      <c r="AF540" s="17" t="s">
        <v>43</v>
      </c>
      <c r="AG540" s="17" t="s">
        <v>1040</v>
      </c>
      <c r="AH540" t="s">
        <v>903</v>
      </c>
      <c r="AJ540" s="15"/>
      <c r="AK540" t="s">
        <v>908</v>
      </c>
    </row>
    <row r="541" spans="1:37" x14ac:dyDescent="0.25">
      <c r="A541" s="14"/>
      <c r="B541" s="1">
        <v>45069</v>
      </c>
      <c r="C541" s="26"/>
      <c r="D541" s="26"/>
      <c r="E541" s="26"/>
      <c r="F541" s="26"/>
      <c r="G541" s="27" t="s">
        <v>1222</v>
      </c>
      <c r="H541" s="27" t="s">
        <v>842</v>
      </c>
      <c r="I541" s="27" t="s">
        <v>894</v>
      </c>
      <c r="J541" s="38" t="s">
        <v>838</v>
      </c>
      <c r="K541" s="41" t="s">
        <v>838</v>
      </c>
      <c r="L541" s="27" t="s">
        <v>901</v>
      </c>
      <c r="M541" s="27" t="s">
        <v>905</v>
      </c>
      <c r="N541" s="38" t="s">
        <v>905</v>
      </c>
      <c r="O541" s="27" t="s">
        <v>839</v>
      </c>
      <c r="P541" s="39" t="s">
        <v>896</v>
      </c>
      <c r="Q541" s="27" t="s">
        <v>897</v>
      </c>
      <c r="R541" s="1">
        <v>46616</v>
      </c>
      <c r="S541" s="27" t="s">
        <v>842</v>
      </c>
      <c r="T541" s="27" t="s">
        <v>1090</v>
      </c>
      <c r="U541" s="1">
        <v>0</v>
      </c>
      <c r="V541" s="27" t="s">
        <v>907</v>
      </c>
      <c r="W541" s="26"/>
      <c r="X541" s="28">
        <v>0</v>
      </c>
      <c r="Y541" s="29">
        <v>0</v>
      </c>
      <c r="Z541" s="29">
        <v>0</v>
      </c>
      <c r="AA541"/>
      <c r="AB541"/>
      <c r="AF541" t="s">
        <v>43</v>
      </c>
      <c r="AG541" t="s">
        <v>902</v>
      </c>
      <c r="AH541" t="s">
        <v>903</v>
      </c>
      <c r="AJ541" s="15"/>
      <c r="AK541" t="s">
        <v>908</v>
      </c>
    </row>
    <row r="542" spans="1:37" hidden="1" x14ac:dyDescent="0.25">
      <c r="A542" s="1"/>
      <c r="B542" s="21">
        <v>45129</v>
      </c>
      <c r="C542" s="22"/>
      <c r="D542" s="22"/>
      <c r="E542" s="22"/>
      <c r="F542" s="22"/>
      <c r="G542" s="23" t="s">
        <v>1223</v>
      </c>
      <c r="H542" s="23" t="s">
        <v>1224</v>
      </c>
      <c r="I542" s="23" t="s">
        <v>894</v>
      </c>
      <c r="J542" s="23" t="s">
        <v>36</v>
      </c>
      <c r="K542" s="41" t="s">
        <v>36</v>
      </c>
      <c r="L542" s="23" t="s">
        <v>901</v>
      </c>
      <c r="M542" s="23" t="s">
        <v>905</v>
      </c>
      <c r="N542" s="23" t="s">
        <v>36</v>
      </c>
      <c r="O542" s="23" t="s">
        <v>1225</v>
      </c>
      <c r="P542" s="41" t="s">
        <v>896</v>
      </c>
      <c r="Q542" s="23" t="s">
        <v>897</v>
      </c>
      <c r="R542" s="21">
        <v>46656</v>
      </c>
      <c r="S542" s="23" t="s">
        <v>1226</v>
      </c>
      <c r="T542" s="23" t="s">
        <v>1183</v>
      </c>
      <c r="U542" s="21">
        <v>122</v>
      </c>
      <c r="V542" s="27" t="s">
        <v>907</v>
      </c>
      <c r="W542" s="22"/>
      <c r="X542" s="24">
        <v>8.26</v>
      </c>
      <c r="Y542" s="25">
        <v>0.85</v>
      </c>
      <c r="Z542" s="25">
        <v>0.15</v>
      </c>
      <c r="AA542" s="17"/>
      <c r="AB542" s="17"/>
      <c r="AC542" s="17"/>
      <c r="AD542" s="17"/>
      <c r="AE542" s="17"/>
      <c r="AF542" s="17" t="s">
        <v>43</v>
      </c>
      <c r="AG542" t="s">
        <v>902</v>
      </c>
      <c r="AH542" t="s">
        <v>903</v>
      </c>
      <c r="AJ542" s="15"/>
      <c r="AK542" t="s">
        <v>908</v>
      </c>
    </row>
    <row r="543" spans="1:37" hidden="1" x14ac:dyDescent="0.25">
      <c r="A543" s="1"/>
      <c r="B543" s="88">
        <v>45169</v>
      </c>
      <c r="C543" s="84"/>
      <c r="D543" s="84"/>
      <c r="E543" s="84"/>
      <c r="F543" s="84"/>
      <c r="G543" s="78" t="s">
        <v>1227</v>
      </c>
      <c r="H543" s="78" t="s">
        <v>61</v>
      </c>
      <c r="I543" s="76" t="s">
        <v>894</v>
      </c>
      <c r="J543" s="78" t="s">
        <v>279</v>
      </c>
      <c r="K543" s="39" t="s">
        <v>279</v>
      </c>
      <c r="L543" s="78" t="s">
        <v>925</v>
      </c>
      <c r="M543" s="76" t="s">
        <v>279</v>
      </c>
      <c r="N543" s="78" t="s">
        <v>925</v>
      </c>
      <c r="O543" s="78" t="s">
        <v>299</v>
      </c>
      <c r="P543" s="39" t="s">
        <v>896</v>
      </c>
      <c r="Q543" s="76" t="s">
        <v>897</v>
      </c>
      <c r="R543" s="88">
        <v>46676</v>
      </c>
      <c r="S543" s="78" t="s">
        <v>1228</v>
      </c>
      <c r="T543" s="78" t="s">
        <v>899</v>
      </c>
      <c r="U543" s="88">
        <v>58</v>
      </c>
      <c r="V543" s="78" t="s">
        <v>900</v>
      </c>
      <c r="W543" s="84"/>
      <c r="X543" s="79">
        <v>2.99</v>
      </c>
      <c r="Y543" s="80">
        <v>0.4</v>
      </c>
      <c r="Z543" s="80">
        <v>0.6</v>
      </c>
      <c r="AA543"/>
      <c r="AB543"/>
      <c r="AF543" t="s">
        <v>279</v>
      </c>
      <c r="AG543" t="s">
        <v>902</v>
      </c>
      <c r="AH543" t="s">
        <v>903</v>
      </c>
      <c r="AJ543" s="15">
        <f>VLOOKUP(Tabla1[[#This Row],[CPC]],[1]Sheet3!$A:$D,4,0)</f>
        <v>0.40000014756568297</v>
      </c>
      <c r="AK543" t="s">
        <v>904</v>
      </c>
    </row>
    <row r="544" spans="1:37" x14ac:dyDescent="0.25">
      <c r="A544" s="1"/>
      <c r="B544" s="21">
        <v>45229</v>
      </c>
      <c r="C544" s="22"/>
      <c r="D544" s="22"/>
      <c r="E544" s="22"/>
      <c r="F544" s="22"/>
      <c r="G544" s="23" t="s">
        <v>1229</v>
      </c>
      <c r="H544" s="23" t="s">
        <v>840</v>
      </c>
      <c r="I544" s="23" t="s">
        <v>894</v>
      </c>
      <c r="J544" s="38" t="s">
        <v>838</v>
      </c>
      <c r="K544" s="41" t="s">
        <v>838</v>
      </c>
      <c r="L544" s="23" t="s">
        <v>901</v>
      </c>
      <c r="M544" s="23" t="s">
        <v>905</v>
      </c>
      <c r="N544" s="38" t="s">
        <v>905</v>
      </c>
      <c r="O544" s="23" t="s">
        <v>839</v>
      </c>
      <c r="P544" s="41" t="s">
        <v>896</v>
      </c>
      <c r="Q544" s="23" t="s">
        <v>897</v>
      </c>
      <c r="R544" s="21">
        <v>46696</v>
      </c>
      <c r="S544" s="23" t="s">
        <v>840</v>
      </c>
      <c r="T544" s="23" t="s">
        <v>1174</v>
      </c>
      <c r="U544" s="21">
        <v>64</v>
      </c>
      <c r="V544" s="27" t="s">
        <v>907</v>
      </c>
      <c r="W544" s="22"/>
      <c r="X544" s="24">
        <v>5.99</v>
      </c>
      <c r="Y544" s="25">
        <v>0.88</v>
      </c>
      <c r="Z544" s="25">
        <v>0.12</v>
      </c>
      <c r="AA544" s="22"/>
      <c r="AB544" s="22"/>
      <c r="AC544" s="23" t="s">
        <v>901</v>
      </c>
      <c r="AD544" s="17"/>
      <c r="AE544" s="17"/>
      <c r="AF544" s="17" t="s">
        <v>838</v>
      </c>
      <c r="AG544" t="s">
        <v>902</v>
      </c>
      <c r="AH544" t="s">
        <v>1175</v>
      </c>
      <c r="AJ544" s="15">
        <f>VLOOKUP(Tabla1[[#This Row],[CPC]],[1]Sheet3!$A:$D,4,0)</f>
        <v>0.87999993983744296</v>
      </c>
      <c r="AK544" t="s">
        <v>908</v>
      </c>
    </row>
    <row r="545" spans="1:37" x14ac:dyDescent="0.25">
      <c r="A545" s="1"/>
      <c r="B545" s="1">
        <v>45231</v>
      </c>
      <c r="C545" s="1">
        <v>45229</v>
      </c>
      <c r="D545" s="26"/>
      <c r="E545" s="26"/>
      <c r="F545" s="26"/>
      <c r="G545" s="27" t="s">
        <v>1230</v>
      </c>
      <c r="H545" s="27" t="s">
        <v>842</v>
      </c>
      <c r="I545" s="27" t="s">
        <v>894</v>
      </c>
      <c r="J545" s="38" t="s">
        <v>838</v>
      </c>
      <c r="K545" s="41" t="s">
        <v>838</v>
      </c>
      <c r="L545" s="27" t="s">
        <v>901</v>
      </c>
      <c r="M545" s="27" t="s">
        <v>905</v>
      </c>
      <c r="N545" s="38" t="s">
        <v>905</v>
      </c>
      <c r="O545" s="27" t="s">
        <v>839</v>
      </c>
      <c r="P545" s="39" t="s">
        <v>896</v>
      </c>
      <c r="Q545" s="27" t="s">
        <v>897</v>
      </c>
      <c r="R545" s="1">
        <v>46697</v>
      </c>
      <c r="S545" s="27" t="s">
        <v>843</v>
      </c>
      <c r="T545" s="27" t="s">
        <v>1090</v>
      </c>
      <c r="U545" s="1">
        <v>0</v>
      </c>
      <c r="V545" s="27" t="s">
        <v>907</v>
      </c>
      <c r="W545" s="26"/>
      <c r="X545" s="28">
        <v>0</v>
      </c>
      <c r="Y545" s="26"/>
      <c r="Z545" s="26"/>
      <c r="AA545" s="26"/>
      <c r="AB545" s="26"/>
      <c r="AC545" s="27" t="s">
        <v>901</v>
      </c>
      <c r="AF545" t="s">
        <v>838</v>
      </c>
      <c r="AG545" t="s">
        <v>902</v>
      </c>
      <c r="AH545" t="s">
        <v>1175</v>
      </c>
      <c r="AJ545" s="15"/>
      <c r="AK545" t="s">
        <v>908</v>
      </c>
    </row>
    <row r="546" spans="1:37" x14ac:dyDescent="0.25">
      <c r="A546" s="1"/>
      <c r="B546" s="21">
        <v>45233</v>
      </c>
      <c r="C546" s="21">
        <v>45229</v>
      </c>
      <c r="D546" s="22"/>
      <c r="E546" s="22"/>
      <c r="F546" s="22"/>
      <c r="G546" s="23" t="s">
        <v>1231</v>
      </c>
      <c r="H546" s="23" t="s">
        <v>842</v>
      </c>
      <c r="I546" s="23" t="s">
        <v>894</v>
      </c>
      <c r="J546" s="38" t="s">
        <v>838</v>
      </c>
      <c r="K546" s="41" t="s">
        <v>838</v>
      </c>
      <c r="L546" s="23" t="s">
        <v>901</v>
      </c>
      <c r="M546" s="23" t="s">
        <v>905</v>
      </c>
      <c r="N546" s="38" t="s">
        <v>905</v>
      </c>
      <c r="O546" s="23" t="s">
        <v>839</v>
      </c>
      <c r="P546" s="41" t="s">
        <v>896</v>
      </c>
      <c r="Q546" s="23" t="s">
        <v>897</v>
      </c>
      <c r="R546" s="21">
        <v>46698</v>
      </c>
      <c r="S546" s="23" t="s">
        <v>843</v>
      </c>
      <c r="T546" s="23" t="s">
        <v>1090</v>
      </c>
      <c r="U546" s="21">
        <v>0</v>
      </c>
      <c r="V546" s="27" t="s">
        <v>907</v>
      </c>
      <c r="W546" s="22"/>
      <c r="X546" s="24">
        <v>0</v>
      </c>
      <c r="Y546" s="22"/>
      <c r="Z546" s="22"/>
      <c r="AA546" s="22"/>
      <c r="AB546" s="22"/>
      <c r="AC546" s="23" t="s">
        <v>901</v>
      </c>
      <c r="AD546" s="17"/>
      <c r="AE546" s="17"/>
      <c r="AF546" s="17" t="s">
        <v>838</v>
      </c>
      <c r="AG546" t="s">
        <v>902</v>
      </c>
      <c r="AH546" t="s">
        <v>903</v>
      </c>
      <c r="AJ546" s="15"/>
      <c r="AK546" t="s">
        <v>908</v>
      </c>
    </row>
    <row r="547" spans="1:37" hidden="1" x14ac:dyDescent="0.25">
      <c r="A547" s="1"/>
      <c r="B547" s="1">
        <v>45237</v>
      </c>
      <c r="C547" s="26"/>
      <c r="D547" s="26"/>
      <c r="E547" s="26"/>
      <c r="F547" s="26"/>
      <c r="G547" s="27" t="s">
        <v>1232</v>
      </c>
      <c r="H547" s="27" t="s">
        <v>781</v>
      </c>
      <c r="I547" s="27" t="s">
        <v>894</v>
      </c>
      <c r="J547" s="27" t="s">
        <v>50</v>
      </c>
      <c r="K547" s="39" t="s">
        <v>50</v>
      </c>
      <c r="L547" s="27" t="s">
        <v>901</v>
      </c>
      <c r="M547" s="27" t="s">
        <v>905</v>
      </c>
      <c r="N547" s="27" t="s">
        <v>50</v>
      </c>
      <c r="O547" s="27" t="s">
        <v>86</v>
      </c>
      <c r="P547" s="39" t="s">
        <v>896</v>
      </c>
      <c r="Q547" s="27" t="s">
        <v>897</v>
      </c>
      <c r="R547" s="1">
        <v>46701</v>
      </c>
      <c r="S547" s="27" t="s">
        <v>1184</v>
      </c>
      <c r="T547" s="27" t="s">
        <v>1233</v>
      </c>
      <c r="U547" s="1">
        <v>148</v>
      </c>
      <c r="V547" s="27" t="s">
        <v>907</v>
      </c>
      <c r="W547" s="26"/>
      <c r="X547" s="28">
        <v>3.99</v>
      </c>
      <c r="Y547" s="29">
        <v>0.92</v>
      </c>
      <c r="Z547" s="29">
        <v>0.08</v>
      </c>
      <c r="AA547" s="26"/>
      <c r="AB547" s="26"/>
      <c r="AC547" s="27" t="s">
        <v>901</v>
      </c>
      <c r="AF547" t="s">
        <v>861</v>
      </c>
      <c r="AG547" s="17" t="s">
        <v>1040</v>
      </c>
      <c r="AH547" t="s">
        <v>903</v>
      </c>
      <c r="AI547" t="s">
        <v>1076</v>
      </c>
      <c r="AJ547" s="15"/>
      <c r="AK547" t="s">
        <v>908</v>
      </c>
    </row>
    <row r="548" spans="1:37" hidden="1" x14ac:dyDescent="0.25">
      <c r="A548" s="1"/>
      <c r="B548" s="21">
        <v>45239</v>
      </c>
      <c r="C548" s="22"/>
      <c r="D548" s="22"/>
      <c r="E548" s="22"/>
      <c r="F548" s="22"/>
      <c r="G548" s="23" t="s">
        <v>1234</v>
      </c>
      <c r="H548" s="23" t="s">
        <v>783</v>
      </c>
      <c r="I548" s="23" t="s">
        <v>894</v>
      </c>
      <c r="J548" s="23" t="s">
        <v>50</v>
      </c>
      <c r="K548" s="41" t="s">
        <v>50</v>
      </c>
      <c r="L548" s="23" t="s">
        <v>901</v>
      </c>
      <c r="M548" s="23" t="s">
        <v>905</v>
      </c>
      <c r="N548" s="23" t="s">
        <v>50</v>
      </c>
      <c r="O548" s="23" t="s">
        <v>86</v>
      </c>
      <c r="P548" s="41" t="s">
        <v>896</v>
      </c>
      <c r="Q548" s="23" t="s">
        <v>897</v>
      </c>
      <c r="R548" s="21">
        <v>46702</v>
      </c>
      <c r="S548" s="23" t="s">
        <v>1184</v>
      </c>
      <c r="T548" s="23" t="s">
        <v>1235</v>
      </c>
      <c r="U548" s="21">
        <v>150</v>
      </c>
      <c r="V548" s="27" t="s">
        <v>907</v>
      </c>
      <c r="W548" s="22"/>
      <c r="X548" s="24">
        <v>7.68</v>
      </c>
      <c r="Y548" s="25">
        <v>0.92</v>
      </c>
      <c r="Z548" s="25">
        <v>0.08</v>
      </c>
      <c r="AA548" s="22"/>
      <c r="AB548" s="22"/>
      <c r="AC548" s="23" t="s">
        <v>901</v>
      </c>
      <c r="AD548" s="17"/>
      <c r="AE548" s="17"/>
      <c r="AF548" s="17" t="s">
        <v>861</v>
      </c>
      <c r="AG548" s="17" t="s">
        <v>1040</v>
      </c>
      <c r="AH548" t="s">
        <v>903</v>
      </c>
      <c r="AI548" t="s">
        <v>1076</v>
      </c>
      <c r="AJ548" s="15"/>
      <c r="AK548" t="s">
        <v>908</v>
      </c>
    </row>
    <row r="549" spans="1:37" hidden="1" x14ac:dyDescent="0.25">
      <c r="A549" s="1"/>
      <c r="B549" s="1">
        <v>45241</v>
      </c>
      <c r="C549" s="26"/>
      <c r="D549" s="26"/>
      <c r="E549" s="26"/>
      <c r="F549" s="26"/>
      <c r="G549" s="27" t="s">
        <v>1236</v>
      </c>
      <c r="H549" s="27" t="s">
        <v>785</v>
      </c>
      <c r="I549" s="27" t="s">
        <v>894</v>
      </c>
      <c r="J549" s="27" t="s">
        <v>50</v>
      </c>
      <c r="K549" s="39" t="s">
        <v>50</v>
      </c>
      <c r="L549" s="27" t="s">
        <v>901</v>
      </c>
      <c r="M549" s="27" t="s">
        <v>905</v>
      </c>
      <c r="N549" s="27" t="s">
        <v>50</v>
      </c>
      <c r="O549" s="27" t="s">
        <v>86</v>
      </c>
      <c r="P549" s="39" t="s">
        <v>896</v>
      </c>
      <c r="Q549" s="27" t="s">
        <v>897</v>
      </c>
      <c r="R549" s="1">
        <v>46703</v>
      </c>
      <c r="S549" s="27" t="s">
        <v>1184</v>
      </c>
      <c r="T549" s="27" t="s">
        <v>1235</v>
      </c>
      <c r="U549" s="1">
        <v>150</v>
      </c>
      <c r="V549" s="27" t="s">
        <v>907</v>
      </c>
      <c r="W549" s="26"/>
      <c r="X549" s="28">
        <v>7.68</v>
      </c>
      <c r="Y549" s="29">
        <v>0.92</v>
      </c>
      <c r="Z549" s="29">
        <v>0.08</v>
      </c>
      <c r="AA549" s="26"/>
      <c r="AB549" s="26"/>
      <c r="AC549" s="27" t="s">
        <v>901</v>
      </c>
      <c r="AF549" t="s">
        <v>861</v>
      </c>
      <c r="AG549" s="17" t="s">
        <v>1040</v>
      </c>
      <c r="AH549" t="s">
        <v>903</v>
      </c>
      <c r="AI549" t="s">
        <v>1076</v>
      </c>
      <c r="AJ549" s="15"/>
      <c r="AK549" t="s">
        <v>908</v>
      </c>
    </row>
    <row r="550" spans="1:37" hidden="1" x14ac:dyDescent="0.25">
      <c r="A550" s="1"/>
      <c r="B550" s="21">
        <v>45245</v>
      </c>
      <c r="C550" s="22"/>
      <c r="D550" s="22"/>
      <c r="E550" s="22"/>
      <c r="F550" s="22"/>
      <c r="G550" s="23" t="s">
        <v>1237</v>
      </c>
      <c r="H550" s="23" t="s">
        <v>785</v>
      </c>
      <c r="I550" s="23" t="s">
        <v>894</v>
      </c>
      <c r="J550" s="23" t="s">
        <v>50</v>
      </c>
      <c r="K550" s="41" t="s">
        <v>50</v>
      </c>
      <c r="L550" s="23" t="s">
        <v>901</v>
      </c>
      <c r="M550" s="23" t="s">
        <v>905</v>
      </c>
      <c r="N550" s="23" t="s">
        <v>50</v>
      </c>
      <c r="O550" s="23" t="s">
        <v>86</v>
      </c>
      <c r="P550" s="41" t="s">
        <v>896</v>
      </c>
      <c r="Q550" s="23" t="s">
        <v>897</v>
      </c>
      <c r="R550" s="21">
        <v>46704</v>
      </c>
      <c r="S550" s="23" t="s">
        <v>1184</v>
      </c>
      <c r="T550" s="23" t="s">
        <v>1235</v>
      </c>
      <c r="U550" s="21">
        <v>150</v>
      </c>
      <c r="V550" s="27" t="s">
        <v>907</v>
      </c>
      <c r="W550" s="22"/>
      <c r="X550" s="24">
        <v>7.68</v>
      </c>
      <c r="Y550" s="25">
        <v>0.92</v>
      </c>
      <c r="Z550" s="25">
        <v>0.08</v>
      </c>
      <c r="AA550" s="22"/>
      <c r="AB550" s="22"/>
      <c r="AC550" s="23" t="s">
        <v>901</v>
      </c>
      <c r="AD550" s="17"/>
      <c r="AE550" s="17"/>
      <c r="AF550" s="17" t="s">
        <v>861</v>
      </c>
      <c r="AG550" s="17" t="s">
        <v>1040</v>
      </c>
      <c r="AH550" t="s">
        <v>903</v>
      </c>
      <c r="AI550" t="s">
        <v>1076</v>
      </c>
      <c r="AJ550" s="15"/>
      <c r="AK550" t="s">
        <v>908</v>
      </c>
    </row>
    <row r="551" spans="1:37" hidden="1" x14ac:dyDescent="0.25">
      <c r="A551" s="1"/>
      <c r="B551" s="1">
        <v>45247</v>
      </c>
      <c r="C551" s="26"/>
      <c r="D551" s="26"/>
      <c r="E551" s="26"/>
      <c r="F551" s="26"/>
      <c r="G551" s="27" t="s">
        <v>1238</v>
      </c>
      <c r="H551" s="27" t="s">
        <v>788</v>
      </c>
      <c r="I551" s="27" t="s">
        <v>894</v>
      </c>
      <c r="J551" s="27" t="s">
        <v>50</v>
      </c>
      <c r="K551" s="39" t="s">
        <v>50</v>
      </c>
      <c r="L551" s="27" t="s">
        <v>901</v>
      </c>
      <c r="M551" s="27" t="s">
        <v>905</v>
      </c>
      <c r="N551" s="27" t="s">
        <v>50</v>
      </c>
      <c r="O551" s="27" t="s">
        <v>86</v>
      </c>
      <c r="P551" s="39" t="s">
        <v>896</v>
      </c>
      <c r="Q551" s="27" t="s">
        <v>897</v>
      </c>
      <c r="R551" s="1">
        <v>46706</v>
      </c>
      <c r="S551" s="27" t="s">
        <v>1184</v>
      </c>
      <c r="T551" s="27" t="s">
        <v>1235</v>
      </c>
      <c r="U551" s="1">
        <v>150</v>
      </c>
      <c r="V551" s="27" t="s">
        <v>907</v>
      </c>
      <c r="W551" s="26"/>
      <c r="X551" s="28">
        <v>7.68</v>
      </c>
      <c r="Y551" s="29">
        <v>0.92</v>
      </c>
      <c r="Z551" s="29">
        <v>0.08</v>
      </c>
      <c r="AA551" s="26"/>
      <c r="AB551" s="26"/>
      <c r="AC551" s="27" t="s">
        <v>901</v>
      </c>
      <c r="AF551" t="s">
        <v>861</v>
      </c>
      <c r="AG551" s="17" t="s">
        <v>1040</v>
      </c>
      <c r="AH551" t="s">
        <v>903</v>
      </c>
      <c r="AI551" t="s">
        <v>1076</v>
      </c>
      <c r="AJ551" s="15"/>
      <c r="AK551" t="s">
        <v>908</v>
      </c>
    </row>
    <row r="552" spans="1:37" hidden="1" x14ac:dyDescent="0.25">
      <c r="A552" s="1"/>
      <c r="B552" s="21">
        <v>45249</v>
      </c>
      <c r="C552" s="22"/>
      <c r="D552" s="22"/>
      <c r="E552" s="22"/>
      <c r="F552" s="22"/>
      <c r="G552" s="23" t="s">
        <v>1239</v>
      </c>
      <c r="H552" s="23" t="s">
        <v>790</v>
      </c>
      <c r="I552" s="23" t="s">
        <v>894</v>
      </c>
      <c r="J552" s="23" t="s">
        <v>50</v>
      </c>
      <c r="K552" s="41" t="s">
        <v>50</v>
      </c>
      <c r="L552" s="23" t="s">
        <v>901</v>
      </c>
      <c r="M552" s="23" t="s">
        <v>905</v>
      </c>
      <c r="N552" s="23" t="s">
        <v>50</v>
      </c>
      <c r="O552" s="23" t="s">
        <v>86</v>
      </c>
      <c r="P552" s="41" t="s">
        <v>896</v>
      </c>
      <c r="Q552" s="23" t="s">
        <v>897</v>
      </c>
      <c r="R552" s="21">
        <v>46707</v>
      </c>
      <c r="S552" s="23" t="s">
        <v>1184</v>
      </c>
      <c r="T552" s="23" t="s">
        <v>1240</v>
      </c>
      <c r="U552" s="21">
        <v>122</v>
      </c>
      <c r="V552" s="27" t="s">
        <v>907</v>
      </c>
      <c r="W552" s="22"/>
      <c r="X552" s="24">
        <v>9.61</v>
      </c>
      <c r="Y552" s="25">
        <v>0.92</v>
      </c>
      <c r="Z552" s="25">
        <v>0.08</v>
      </c>
      <c r="AA552" s="22"/>
      <c r="AB552" s="22"/>
      <c r="AC552" s="23" t="s">
        <v>901</v>
      </c>
      <c r="AD552" s="17"/>
      <c r="AE552" s="17"/>
      <c r="AF552" s="17" t="s">
        <v>861</v>
      </c>
      <c r="AG552" s="17" t="s">
        <v>1040</v>
      </c>
      <c r="AH552" t="s">
        <v>903</v>
      </c>
      <c r="AI552" t="s">
        <v>1076</v>
      </c>
      <c r="AJ552" s="15"/>
      <c r="AK552" t="s">
        <v>908</v>
      </c>
    </row>
    <row r="553" spans="1:37" hidden="1" x14ac:dyDescent="0.25">
      <c r="A553" s="1"/>
      <c r="B553" s="1">
        <v>45251</v>
      </c>
      <c r="C553" s="26"/>
      <c r="D553" s="26"/>
      <c r="E553" s="26"/>
      <c r="F553" s="26"/>
      <c r="G553" s="27" t="s">
        <v>1241</v>
      </c>
      <c r="H553" s="27" t="s">
        <v>792</v>
      </c>
      <c r="I553" s="27" t="s">
        <v>894</v>
      </c>
      <c r="J553" s="27" t="s">
        <v>50</v>
      </c>
      <c r="K553" s="39" t="s">
        <v>50</v>
      </c>
      <c r="L553" s="27" t="s">
        <v>901</v>
      </c>
      <c r="M553" s="27" t="s">
        <v>905</v>
      </c>
      <c r="N553" s="27" t="s">
        <v>50</v>
      </c>
      <c r="O553" s="27" t="s">
        <v>86</v>
      </c>
      <c r="P553" s="39" t="s">
        <v>896</v>
      </c>
      <c r="Q553" s="27" t="s">
        <v>897</v>
      </c>
      <c r="R553" s="1">
        <v>46708</v>
      </c>
      <c r="S553" s="27" t="s">
        <v>1184</v>
      </c>
      <c r="T553" s="27" t="s">
        <v>1242</v>
      </c>
      <c r="U553" s="1">
        <v>151</v>
      </c>
      <c r="V553" s="27" t="s">
        <v>907</v>
      </c>
      <c r="W553" s="26"/>
      <c r="X553" s="28">
        <v>10.57</v>
      </c>
      <c r="Y553" s="29">
        <v>0.92</v>
      </c>
      <c r="Z553" s="29">
        <v>0.08</v>
      </c>
      <c r="AA553" s="26"/>
      <c r="AB553" s="26"/>
      <c r="AC553" s="27" t="s">
        <v>901</v>
      </c>
      <c r="AF553" t="s">
        <v>861</v>
      </c>
      <c r="AG553" s="17" t="s">
        <v>1040</v>
      </c>
      <c r="AH553" t="s">
        <v>903</v>
      </c>
      <c r="AI553" t="s">
        <v>1076</v>
      </c>
      <c r="AJ553" s="15"/>
      <c r="AK553" t="s">
        <v>908</v>
      </c>
    </row>
    <row r="554" spans="1:37" hidden="1" x14ac:dyDescent="0.25">
      <c r="A554" s="1"/>
      <c r="B554" s="21">
        <v>45253</v>
      </c>
      <c r="C554" s="22"/>
      <c r="D554" s="22"/>
      <c r="E554" s="22"/>
      <c r="F554" s="22"/>
      <c r="G554" s="23" t="s">
        <v>1243</v>
      </c>
      <c r="H554" s="23" t="s">
        <v>794</v>
      </c>
      <c r="I554" s="23" t="s">
        <v>894</v>
      </c>
      <c r="J554" s="23" t="s">
        <v>50</v>
      </c>
      <c r="K554" s="41" t="s">
        <v>50</v>
      </c>
      <c r="L554" s="23" t="s">
        <v>901</v>
      </c>
      <c r="M554" s="23" t="s">
        <v>905</v>
      </c>
      <c r="N554" s="23" t="s">
        <v>50</v>
      </c>
      <c r="O554" s="23" t="s">
        <v>86</v>
      </c>
      <c r="P554" s="41" t="s">
        <v>896</v>
      </c>
      <c r="Q554" s="23" t="s">
        <v>897</v>
      </c>
      <c r="R554" s="21">
        <v>46709</v>
      </c>
      <c r="S554" s="23" t="s">
        <v>1184</v>
      </c>
      <c r="T554" s="23" t="s">
        <v>1244</v>
      </c>
      <c r="U554" s="21">
        <v>152</v>
      </c>
      <c r="V554" s="27" t="s">
        <v>907</v>
      </c>
      <c r="W554" s="22"/>
      <c r="X554" s="24">
        <v>11.25</v>
      </c>
      <c r="Y554" s="25">
        <v>0.92</v>
      </c>
      <c r="Z554" s="25">
        <v>0.08</v>
      </c>
      <c r="AA554" s="22"/>
      <c r="AB554" s="22"/>
      <c r="AC554" s="23" t="s">
        <v>901</v>
      </c>
      <c r="AD554" s="17"/>
      <c r="AE554" s="17"/>
      <c r="AF554" s="17" t="s">
        <v>861</v>
      </c>
      <c r="AG554" s="17" t="s">
        <v>1040</v>
      </c>
      <c r="AH554" t="s">
        <v>903</v>
      </c>
      <c r="AI554" t="s">
        <v>1076</v>
      </c>
      <c r="AJ554" s="15"/>
      <c r="AK554" t="s">
        <v>908</v>
      </c>
    </row>
    <row r="555" spans="1:37" hidden="1" x14ac:dyDescent="0.25">
      <c r="A555" s="1"/>
      <c r="B555" s="1">
        <v>45255</v>
      </c>
      <c r="C555" s="26"/>
      <c r="D555" s="26"/>
      <c r="E555" s="26"/>
      <c r="F555" s="26"/>
      <c r="G555" s="27" t="s">
        <v>1245</v>
      </c>
      <c r="H555" s="27" t="s">
        <v>796</v>
      </c>
      <c r="I555" s="27" t="s">
        <v>894</v>
      </c>
      <c r="J555" s="27" t="s">
        <v>50</v>
      </c>
      <c r="K555" s="39" t="s">
        <v>50</v>
      </c>
      <c r="L555" s="27" t="s">
        <v>901</v>
      </c>
      <c r="M555" s="27" t="s">
        <v>905</v>
      </c>
      <c r="N555" s="27" t="s">
        <v>50</v>
      </c>
      <c r="O555" s="27" t="s">
        <v>86</v>
      </c>
      <c r="P555" s="39" t="s">
        <v>896</v>
      </c>
      <c r="Q555" s="27" t="s">
        <v>897</v>
      </c>
      <c r="R555" s="1">
        <v>46710</v>
      </c>
      <c r="S555" s="27" t="s">
        <v>1184</v>
      </c>
      <c r="T555" s="27" t="s">
        <v>1246</v>
      </c>
      <c r="U555" s="1">
        <v>153</v>
      </c>
      <c r="V555" s="27" t="s">
        <v>907</v>
      </c>
      <c r="W555" s="26"/>
      <c r="X555" s="28">
        <v>12.26</v>
      </c>
      <c r="Y555" s="29">
        <v>0.92</v>
      </c>
      <c r="Z555" s="29">
        <v>0.08</v>
      </c>
      <c r="AA555" s="26"/>
      <c r="AB555" s="26"/>
      <c r="AC555" s="27" t="s">
        <v>901</v>
      </c>
      <c r="AF555" t="s">
        <v>861</v>
      </c>
      <c r="AG555" s="17" t="s">
        <v>1040</v>
      </c>
      <c r="AH555" t="s">
        <v>903</v>
      </c>
      <c r="AI555" t="s">
        <v>1076</v>
      </c>
      <c r="AJ555" s="15"/>
      <c r="AK555" t="s">
        <v>908</v>
      </c>
    </row>
    <row r="556" spans="1:37" hidden="1" x14ac:dyDescent="0.25">
      <c r="A556" s="1"/>
      <c r="B556" s="21">
        <v>45257</v>
      </c>
      <c r="C556" s="22"/>
      <c r="D556" s="22"/>
      <c r="E556" s="22"/>
      <c r="F556" s="22"/>
      <c r="G556" s="23" t="s">
        <v>1247</v>
      </c>
      <c r="H556" s="23" t="s">
        <v>798</v>
      </c>
      <c r="I556" s="23" t="s">
        <v>894</v>
      </c>
      <c r="J556" s="23" t="s">
        <v>50</v>
      </c>
      <c r="K556" s="41" t="s">
        <v>50</v>
      </c>
      <c r="L556" s="23" t="s">
        <v>901</v>
      </c>
      <c r="M556" s="23" t="s">
        <v>905</v>
      </c>
      <c r="N556" s="23" t="s">
        <v>50</v>
      </c>
      <c r="O556" s="23" t="s">
        <v>86</v>
      </c>
      <c r="P556" s="41" t="s">
        <v>896</v>
      </c>
      <c r="Q556" s="23" t="s">
        <v>897</v>
      </c>
      <c r="R556" s="21">
        <v>46711</v>
      </c>
      <c r="S556" s="23" t="s">
        <v>1184</v>
      </c>
      <c r="T556" s="23" t="s">
        <v>1248</v>
      </c>
      <c r="U556" s="21">
        <v>154</v>
      </c>
      <c r="V556" s="27" t="s">
        <v>907</v>
      </c>
      <c r="W556" s="22"/>
      <c r="X556" s="24">
        <v>12.98</v>
      </c>
      <c r="Y556" s="25">
        <v>0.92</v>
      </c>
      <c r="Z556" s="25">
        <v>0.08</v>
      </c>
      <c r="AA556" s="22"/>
      <c r="AB556" s="22"/>
      <c r="AC556" s="23" t="s">
        <v>901</v>
      </c>
      <c r="AD556" s="17"/>
      <c r="AE556" s="17"/>
      <c r="AF556" s="17" t="s">
        <v>861</v>
      </c>
      <c r="AG556" s="17" t="s">
        <v>1040</v>
      </c>
      <c r="AH556" t="s">
        <v>903</v>
      </c>
      <c r="AI556" t="s">
        <v>1076</v>
      </c>
      <c r="AJ556" s="15"/>
      <c r="AK556" t="s">
        <v>908</v>
      </c>
    </row>
    <row r="557" spans="1:37" hidden="1" x14ac:dyDescent="0.25">
      <c r="A557" s="1"/>
      <c r="B557" s="1">
        <v>45259</v>
      </c>
      <c r="C557" s="26"/>
      <c r="D557" s="26"/>
      <c r="E557" s="26"/>
      <c r="F557" s="26"/>
      <c r="G557" s="27" t="s">
        <v>1249</v>
      </c>
      <c r="H557" s="27" t="s">
        <v>800</v>
      </c>
      <c r="I557" s="27" t="s">
        <v>894</v>
      </c>
      <c r="J557" s="27" t="s">
        <v>50</v>
      </c>
      <c r="K557" s="39" t="s">
        <v>50</v>
      </c>
      <c r="L557" s="27" t="s">
        <v>901</v>
      </c>
      <c r="M557" s="27" t="s">
        <v>905</v>
      </c>
      <c r="N557" s="27" t="s">
        <v>50</v>
      </c>
      <c r="O557" s="27" t="s">
        <v>86</v>
      </c>
      <c r="P557" s="39" t="s">
        <v>896</v>
      </c>
      <c r="Q557" s="27" t="s">
        <v>897</v>
      </c>
      <c r="R557" s="1">
        <v>46712</v>
      </c>
      <c r="S557" s="27" t="s">
        <v>1184</v>
      </c>
      <c r="T557" s="27" t="s">
        <v>1250</v>
      </c>
      <c r="U557" s="1">
        <v>155</v>
      </c>
      <c r="V557" s="27" t="s">
        <v>907</v>
      </c>
      <c r="W557" s="26"/>
      <c r="X557" s="28">
        <v>17.3</v>
      </c>
      <c r="Y557" s="29">
        <v>0.92</v>
      </c>
      <c r="Z557" s="29">
        <v>0.08</v>
      </c>
      <c r="AA557" s="26"/>
      <c r="AB557" s="26"/>
      <c r="AC557" s="27" t="s">
        <v>901</v>
      </c>
      <c r="AF557" t="s">
        <v>861</v>
      </c>
      <c r="AG557" s="17" t="s">
        <v>1040</v>
      </c>
      <c r="AH557" t="s">
        <v>903</v>
      </c>
      <c r="AI557" t="s">
        <v>1076</v>
      </c>
      <c r="AJ557" s="15"/>
      <c r="AK557" t="s">
        <v>908</v>
      </c>
    </row>
    <row r="558" spans="1:37" hidden="1" x14ac:dyDescent="0.25">
      <c r="A558" s="1"/>
      <c r="B558" s="21">
        <v>45261</v>
      </c>
      <c r="C558" s="22"/>
      <c r="D558" s="22"/>
      <c r="E558" s="22"/>
      <c r="F558" s="22"/>
      <c r="G558" s="23" t="s">
        <v>1251</v>
      </c>
      <c r="H558" s="23" t="s">
        <v>802</v>
      </c>
      <c r="I558" s="23" t="s">
        <v>894</v>
      </c>
      <c r="J558" s="23" t="s">
        <v>50</v>
      </c>
      <c r="K558" s="41" t="s">
        <v>50</v>
      </c>
      <c r="L558" s="23" t="s">
        <v>901</v>
      </c>
      <c r="M558" s="23" t="s">
        <v>905</v>
      </c>
      <c r="N558" s="23" t="s">
        <v>50</v>
      </c>
      <c r="O558" s="23" t="s">
        <v>86</v>
      </c>
      <c r="P558" s="41" t="s">
        <v>896</v>
      </c>
      <c r="Q558" s="23" t="s">
        <v>897</v>
      </c>
      <c r="R558" s="21">
        <v>46713</v>
      </c>
      <c r="S558" s="23" t="s">
        <v>1184</v>
      </c>
      <c r="T558" s="23" t="s">
        <v>1250</v>
      </c>
      <c r="U558" s="21">
        <v>155</v>
      </c>
      <c r="V558" s="27" t="s">
        <v>907</v>
      </c>
      <c r="W558" s="22"/>
      <c r="X558" s="24">
        <v>17.3</v>
      </c>
      <c r="Y558" s="25">
        <v>0.92</v>
      </c>
      <c r="Z558" s="25">
        <v>0.08</v>
      </c>
      <c r="AA558" s="22"/>
      <c r="AB558" s="22"/>
      <c r="AC558" s="23" t="s">
        <v>901</v>
      </c>
      <c r="AD558" s="17"/>
      <c r="AE558" s="17"/>
      <c r="AF558" s="17" t="s">
        <v>861</v>
      </c>
      <c r="AG558" s="17" t="s">
        <v>1040</v>
      </c>
      <c r="AH558" t="s">
        <v>903</v>
      </c>
      <c r="AI558" t="s">
        <v>1076</v>
      </c>
      <c r="AJ558" s="15"/>
      <c r="AK558" t="s">
        <v>908</v>
      </c>
    </row>
    <row r="559" spans="1:37" hidden="1" x14ac:dyDescent="0.25">
      <c r="A559" s="1"/>
      <c r="B559" s="1">
        <v>45263</v>
      </c>
      <c r="C559" s="26"/>
      <c r="D559" s="26"/>
      <c r="E559" s="26"/>
      <c r="F559" s="26"/>
      <c r="G559" s="27" t="s">
        <v>1252</v>
      </c>
      <c r="H559" s="27" t="s">
        <v>804</v>
      </c>
      <c r="I559" s="27" t="s">
        <v>894</v>
      </c>
      <c r="J559" s="27" t="s">
        <v>50</v>
      </c>
      <c r="K559" s="39" t="s">
        <v>50</v>
      </c>
      <c r="L559" s="27" t="s">
        <v>901</v>
      </c>
      <c r="M559" s="27" t="s">
        <v>905</v>
      </c>
      <c r="N559" s="27" t="s">
        <v>50</v>
      </c>
      <c r="O559" s="27" t="s">
        <v>86</v>
      </c>
      <c r="P559" s="39" t="s">
        <v>896</v>
      </c>
      <c r="Q559" s="27" t="s">
        <v>897</v>
      </c>
      <c r="R559" s="1">
        <v>46714</v>
      </c>
      <c r="S559" s="27" t="s">
        <v>1184</v>
      </c>
      <c r="T559" s="27" t="s">
        <v>1253</v>
      </c>
      <c r="U559" s="1">
        <v>156</v>
      </c>
      <c r="V559" s="27" t="s">
        <v>907</v>
      </c>
      <c r="W559" s="26"/>
      <c r="X559" s="28">
        <v>17.690000000000001</v>
      </c>
      <c r="Y559" s="29">
        <v>0.92</v>
      </c>
      <c r="Z559" s="29">
        <v>0.08</v>
      </c>
      <c r="AA559" s="26"/>
      <c r="AB559" s="26"/>
      <c r="AC559" s="27" t="s">
        <v>901</v>
      </c>
      <c r="AF559" t="s">
        <v>861</v>
      </c>
      <c r="AG559" s="17" t="s">
        <v>1040</v>
      </c>
      <c r="AH559" t="s">
        <v>903</v>
      </c>
      <c r="AI559" t="s">
        <v>1076</v>
      </c>
      <c r="AJ559" s="15"/>
      <c r="AK559" t="s">
        <v>908</v>
      </c>
    </row>
    <row r="560" spans="1:37" hidden="1" x14ac:dyDescent="0.25">
      <c r="A560" s="1"/>
      <c r="B560" s="21">
        <v>45265</v>
      </c>
      <c r="C560" s="22"/>
      <c r="D560" s="22"/>
      <c r="E560" s="22"/>
      <c r="F560" s="22"/>
      <c r="G560" s="23" t="s">
        <v>1254</v>
      </c>
      <c r="H560" s="23" t="s">
        <v>806</v>
      </c>
      <c r="I560" s="23" t="s">
        <v>894</v>
      </c>
      <c r="J560" s="23" t="s">
        <v>50</v>
      </c>
      <c r="K560" s="41" t="s">
        <v>50</v>
      </c>
      <c r="L560" s="23" t="s">
        <v>901</v>
      </c>
      <c r="M560" s="23" t="s">
        <v>905</v>
      </c>
      <c r="N560" s="23" t="s">
        <v>50</v>
      </c>
      <c r="O560" s="23" t="s">
        <v>86</v>
      </c>
      <c r="P560" s="41" t="s">
        <v>896</v>
      </c>
      <c r="Q560" s="23" t="s">
        <v>897</v>
      </c>
      <c r="R560" s="21">
        <v>46715</v>
      </c>
      <c r="S560" s="23" t="s">
        <v>1184</v>
      </c>
      <c r="T560" s="23" t="s">
        <v>1253</v>
      </c>
      <c r="U560" s="21">
        <v>156</v>
      </c>
      <c r="V560" s="27" t="s">
        <v>907</v>
      </c>
      <c r="W560" s="22"/>
      <c r="X560" s="24">
        <v>17.690000000000001</v>
      </c>
      <c r="Y560" s="25">
        <v>0.92</v>
      </c>
      <c r="Z560" s="25">
        <v>0.08</v>
      </c>
      <c r="AA560" s="22"/>
      <c r="AB560" s="22"/>
      <c r="AC560" s="23" t="s">
        <v>901</v>
      </c>
      <c r="AD560" s="17"/>
      <c r="AE560" s="17"/>
      <c r="AF560" s="17" t="s">
        <v>861</v>
      </c>
      <c r="AG560" s="17" t="s">
        <v>1040</v>
      </c>
      <c r="AH560" t="s">
        <v>903</v>
      </c>
      <c r="AI560" t="s">
        <v>1076</v>
      </c>
      <c r="AJ560" s="15"/>
      <c r="AK560" t="s">
        <v>908</v>
      </c>
    </row>
    <row r="561" spans="1:37" hidden="1" x14ac:dyDescent="0.25">
      <c r="A561" s="1"/>
      <c r="B561" s="1">
        <v>45267</v>
      </c>
      <c r="C561" s="26"/>
      <c r="D561" s="26"/>
      <c r="E561" s="26"/>
      <c r="F561" s="26"/>
      <c r="G561" s="27" t="s">
        <v>1255</v>
      </c>
      <c r="H561" s="27" t="s">
        <v>808</v>
      </c>
      <c r="I561" s="27" t="s">
        <v>894</v>
      </c>
      <c r="J561" s="27" t="s">
        <v>50</v>
      </c>
      <c r="K561" s="39" t="s">
        <v>50</v>
      </c>
      <c r="L561" s="27" t="s">
        <v>901</v>
      </c>
      <c r="M561" s="27" t="s">
        <v>905</v>
      </c>
      <c r="N561" s="27" t="s">
        <v>50</v>
      </c>
      <c r="O561" s="27" t="s">
        <v>86</v>
      </c>
      <c r="P561" s="39" t="s">
        <v>896</v>
      </c>
      <c r="Q561" s="27" t="s">
        <v>897</v>
      </c>
      <c r="R561" s="1">
        <v>46716</v>
      </c>
      <c r="S561" s="27" t="s">
        <v>1184</v>
      </c>
      <c r="T561" s="27" t="s">
        <v>1253</v>
      </c>
      <c r="U561" s="1">
        <v>156</v>
      </c>
      <c r="V561" s="27" t="s">
        <v>907</v>
      </c>
      <c r="W561" s="26"/>
      <c r="X561" s="28">
        <v>17.690000000000001</v>
      </c>
      <c r="Y561" s="29">
        <v>0.92</v>
      </c>
      <c r="Z561" s="29">
        <v>0.08</v>
      </c>
      <c r="AA561" s="26"/>
      <c r="AB561" s="26"/>
      <c r="AC561" s="27" t="s">
        <v>901</v>
      </c>
      <c r="AF561" t="s">
        <v>861</v>
      </c>
      <c r="AG561" s="17" t="s">
        <v>1040</v>
      </c>
      <c r="AH561" t="s">
        <v>903</v>
      </c>
      <c r="AI561" t="s">
        <v>1076</v>
      </c>
      <c r="AJ561" s="15"/>
      <c r="AK561" t="s">
        <v>908</v>
      </c>
    </row>
    <row r="562" spans="1:37" hidden="1" x14ac:dyDescent="0.25">
      <c r="A562" s="1"/>
      <c r="B562" s="21">
        <v>45269</v>
      </c>
      <c r="C562" s="22"/>
      <c r="D562" s="22"/>
      <c r="E562" s="22"/>
      <c r="F562" s="22"/>
      <c r="G562" s="23" t="s">
        <v>1256</v>
      </c>
      <c r="H562" s="23" t="s">
        <v>810</v>
      </c>
      <c r="I562" s="23" t="s">
        <v>894</v>
      </c>
      <c r="J562" s="23" t="s">
        <v>50</v>
      </c>
      <c r="K562" s="41" t="s">
        <v>50</v>
      </c>
      <c r="L562" s="23" t="s">
        <v>901</v>
      </c>
      <c r="M562" s="23" t="s">
        <v>905</v>
      </c>
      <c r="N562" s="23" t="s">
        <v>50</v>
      </c>
      <c r="O562" s="23" t="s">
        <v>86</v>
      </c>
      <c r="P562" s="41" t="s">
        <v>896</v>
      </c>
      <c r="Q562" s="23" t="s">
        <v>897</v>
      </c>
      <c r="R562" s="21">
        <v>46717</v>
      </c>
      <c r="S562" s="23" t="s">
        <v>1184</v>
      </c>
      <c r="T562" s="23" t="s">
        <v>1253</v>
      </c>
      <c r="U562" s="21">
        <v>156</v>
      </c>
      <c r="V562" s="27" t="s">
        <v>907</v>
      </c>
      <c r="W562" s="22"/>
      <c r="X562" s="24">
        <v>17.690000000000001</v>
      </c>
      <c r="Y562" s="25">
        <v>0.92</v>
      </c>
      <c r="Z562" s="25">
        <v>0.08</v>
      </c>
      <c r="AA562" s="22"/>
      <c r="AB562" s="22"/>
      <c r="AC562" s="23" t="s">
        <v>901</v>
      </c>
      <c r="AD562" s="17"/>
      <c r="AE562" s="17"/>
      <c r="AF562" s="17" t="s">
        <v>861</v>
      </c>
      <c r="AG562" s="17" t="s">
        <v>1040</v>
      </c>
      <c r="AH562" t="s">
        <v>903</v>
      </c>
      <c r="AI562" t="s">
        <v>1076</v>
      </c>
      <c r="AJ562" s="15"/>
      <c r="AK562" t="s">
        <v>908</v>
      </c>
    </row>
    <row r="563" spans="1:37" hidden="1" x14ac:dyDescent="0.25">
      <c r="A563" s="1"/>
      <c r="B563" s="1">
        <v>45271</v>
      </c>
      <c r="C563" s="26"/>
      <c r="D563" s="26"/>
      <c r="E563" s="26"/>
      <c r="F563" s="26"/>
      <c r="G563" s="27" t="s">
        <v>1257</v>
      </c>
      <c r="H563" s="27" t="s">
        <v>812</v>
      </c>
      <c r="I563" s="27" t="s">
        <v>894</v>
      </c>
      <c r="J563" s="27" t="s">
        <v>50</v>
      </c>
      <c r="K563" s="39" t="s">
        <v>50</v>
      </c>
      <c r="L563" s="27" t="s">
        <v>901</v>
      </c>
      <c r="M563" s="27" t="s">
        <v>905</v>
      </c>
      <c r="N563" s="27" t="s">
        <v>50</v>
      </c>
      <c r="O563" s="27" t="s">
        <v>86</v>
      </c>
      <c r="P563" s="39" t="s">
        <v>896</v>
      </c>
      <c r="Q563" s="27" t="s">
        <v>897</v>
      </c>
      <c r="R563" s="1">
        <v>46718</v>
      </c>
      <c r="S563" s="27" t="s">
        <v>1184</v>
      </c>
      <c r="T563" s="27" t="s">
        <v>1258</v>
      </c>
      <c r="U563" s="1">
        <v>157</v>
      </c>
      <c r="V563" s="27" t="s">
        <v>907</v>
      </c>
      <c r="W563" s="26"/>
      <c r="X563" s="28">
        <v>18.46</v>
      </c>
      <c r="Y563" s="29">
        <v>0.92</v>
      </c>
      <c r="Z563" s="29">
        <v>0.08</v>
      </c>
      <c r="AA563" s="26"/>
      <c r="AB563" s="26"/>
      <c r="AC563" s="27" t="s">
        <v>901</v>
      </c>
      <c r="AF563" t="s">
        <v>861</v>
      </c>
      <c r="AG563" s="17" t="s">
        <v>1040</v>
      </c>
      <c r="AH563" t="s">
        <v>903</v>
      </c>
      <c r="AI563" t="s">
        <v>1076</v>
      </c>
      <c r="AJ563" s="15"/>
      <c r="AK563" t="s">
        <v>908</v>
      </c>
    </row>
    <row r="564" spans="1:37" hidden="1" x14ac:dyDescent="0.25">
      <c r="A564" s="1"/>
      <c r="B564" s="21">
        <v>45273</v>
      </c>
      <c r="C564" s="22"/>
      <c r="D564" s="22"/>
      <c r="E564" s="22"/>
      <c r="F564" s="22"/>
      <c r="G564" s="23" t="s">
        <v>1259</v>
      </c>
      <c r="H564" s="23" t="s">
        <v>814</v>
      </c>
      <c r="I564" s="23" t="s">
        <v>894</v>
      </c>
      <c r="J564" s="23" t="s">
        <v>50</v>
      </c>
      <c r="K564" s="41" t="s">
        <v>50</v>
      </c>
      <c r="L564" s="23" t="s">
        <v>901</v>
      </c>
      <c r="M564" s="23" t="s">
        <v>905</v>
      </c>
      <c r="N564" s="23" t="s">
        <v>50</v>
      </c>
      <c r="O564" s="23" t="s">
        <v>86</v>
      </c>
      <c r="P564" s="41" t="s">
        <v>896</v>
      </c>
      <c r="Q564" s="23" t="s">
        <v>897</v>
      </c>
      <c r="R564" s="21">
        <v>46719</v>
      </c>
      <c r="S564" s="23" t="s">
        <v>1184</v>
      </c>
      <c r="T564" s="23" t="s">
        <v>1258</v>
      </c>
      <c r="U564" s="21">
        <v>157</v>
      </c>
      <c r="V564" s="27" t="s">
        <v>907</v>
      </c>
      <c r="W564" s="22"/>
      <c r="X564" s="24">
        <v>18.46</v>
      </c>
      <c r="Y564" s="25">
        <v>0.92</v>
      </c>
      <c r="Z564" s="25">
        <v>0.08</v>
      </c>
      <c r="AA564" s="22"/>
      <c r="AB564" s="22"/>
      <c r="AC564" s="23" t="s">
        <v>901</v>
      </c>
      <c r="AD564" s="17"/>
      <c r="AE564" s="17"/>
      <c r="AF564" s="17" t="s">
        <v>861</v>
      </c>
      <c r="AG564" s="17" t="s">
        <v>1040</v>
      </c>
      <c r="AH564" t="s">
        <v>903</v>
      </c>
      <c r="AI564" t="s">
        <v>1076</v>
      </c>
      <c r="AJ564" s="15"/>
      <c r="AK564" t="s">
        <v>908</v>
      </c>
    </row>
    <row r="565" spans="1:37" hidden="1" x14ac:dyDescent="0.25">
      <c r="A565" s="1"/>
      <c r="B565" s="1">
        <v>45275</v>
      </c>
      <c r="C565" s="26"/>
      <c r="D565" s="26"/>
      <c r="E565" s="26"/>
      <c r="F565" s="26"/>
      <c r="G565" s="27" t="s">
        <v>1260</v>
      </c>
      <c r="H565" s="27" t="s">
        <v>816</v>
      </c>
      <c r="I565" s="27" t="s">
        <v>894</v>
      </c>
      <c r="J565" s="27" t="s">
        <v>50</v>
      </c>
      <c r="K565" s="39" t="s">
        <v>50</v>
      </c>
      <c r="L565" s="27" t="s">
        <v>901</v>
      </c>
      <c r="M565" s="27" t="s">
        <v>905</v>
      </c>
      <c r="N565" s="27" t="s">
        <v>50</v>
      </c>
      <c r="O565" s="27" t="s">
        <v>86</v>
      </c>
      <c r="P565" s="39" t="s">
        <v>896</v>
      </c>
      <c r="Q565" s="27" t="s">
        <v>897</v>
      </c>
      <c r="R565" s="1">
        <v>46720</v>
      </c>
      <c r="S565" s="27" t="s">
        <v>1184</v>
      </c>
      <c r="T565" s="27" t="s">
        <v>1258</v>
      </c>
      <c r="U565" s="1">
        <v>157</v>
      </c>
      <c r="V565" s="27" t="s">
        <v>907</v>
      </c>
      <c r="W565" s="26"/>
      <c r="X565" s="28">
        <v>18.46</v>
      </c>
      <c r="Y565" s="29">
        <v>0.92</v>
      </c>
      <c r="Z565" s="29">
        <v>0.08</v>
      </c>
      <c r="AA565" s="26"/>
      <c r="AB565" s="26"/>
      <c r="AC565" s="27" t="s">
        <v>901</v>
      </c>
      <c r="AF565" t="s">
        <v>861</v>
      </c>
      <c r="AG565" s="17" t="s">
        <v>1040</v>
      </c>
      <c r="AH565" t="s">
        <v>903</v>
      </c>
      <c r="AI565" t="s">
        <v>1076</v>
      </c>
      <c r="AJ565" s="15"/>
      <c r="AK565" t="s">
        <v>908</v>
      </c>
    </row>
    <row r="566" spans="1:37" hidden="1" x14ac:dyDescent="0.25">
      <c r="A566" s="1"/>
      <c r="B566" s="21">
        <v>45277</v>
      </c>
      <c r="C566" s="22"/>
      <c r="D566" s="22"/>
      <c r="E566" s="22"/>
      <c r="F566" s="22"/>
      <c r="G566" s="23" t="s">
        <v>1261</v>
      </c>
      <c r="H566" s="23" t="s">
        <v>818</v>
      </c>
      <c r="I566" s="23" t="s">
        <v>894</v>
      </c>
      <c r="J566" s="23" t="s">
        <v>50</v>
      </c>
      <c r="K566" s="41" t="s">
        <v>50</v>
      </c>
      <c r="L566" s="23" t="s">
        <v>901</v>
      </c>
      <c r="M566" s="23" t="s">
        <v>905</v>
      </c>
      <c r="N566" s="23" t="s">
        <v>50</v>
      </c>
      <c r="O566" s="23" t="s">
        <v>86</v>
      </c>
      <c r="P566" s="41" t="s">
        <v>896</v>
      </c>
      <c r="Q566" s="23" t="s">
        <v>897</v>
      </c>
      <c r="R566" s="21">
        <v>46721</v>
      </c>
      <c r="S566" s="23" t="s">
        <v>1184</v>
      </c>
      <c r="T566" s="23" t="s">
        <v>1258</v>
      </c>
      <c r="U566" s="21">
        <v>157</v>
      </c>
      <c r="V566" s="27" t="s">
        <v>907</v>
      </c>
      <c r="W566" s="22"/>
      <c r="X566" s="24">
        <v>18.46</v>
      </c>
      <c r="Y566" s="25">
        <v>0.92</v>
      </c>
      <c r="Z566" s="25">
        <v>0.08</v>
      </c>
      <c r="AA566" s="22"/>
      <c r="AB566" s="22"/>
      <c r="AC566" s="23" t="s">
        <v>901</v>
      </c>
      <c r="AD566" s="17"/>
      <c r="AE566" s="17"/>
      <c r="AF566" s="17" t="s">
        <v>861</v>
      </c>
      <c r="AG566" s="17" t="s">
        <v>1040</v>
      </c>
      <c r="AH566" t="s">
        <v>903</v>
      </c>
      <c r="AI566" t="s">
        <v>1076</v>
      </c>
      <c r="AJ566" s="15"/>
      <c r="AK566" t="s">
        <v>908</v>
      </c>
    </row>
    <row r="567" spans="1:37" hidden="1" x14ac:dyDescent="0.25">
      <c r="A567" s="1"/>
      <c r="B567" s="1">
        <v>45279</v>
      </c>
      <c r="C567" s="26"/>
      <c r="D567" s="26"/>
      <c r="E567" s="26"/>
      <c r="F567" s="26"/>
      <c r="G567" s="27" t="s">
        <v>1262</v>
      </c>
      <c r="H567" s="27" t="s">
        <v>820</v>
      </c>
      <c r="I567" s="27" t="s">
        <v>894</v>
      </c>
      <c r="J567" s="27" t="s">
        <v>50</v>
      </c>
      <c r="K567" s="39" t="s">
        <v>50</v>
      </c>
      <c r="L567" s="27" t="s">
        <v>901</v>
      </c>
      <c r="M567" s="27" t="s">
        <v>905</v>
      </c>
      <c r="N567" s="27" t="s">
        <v>50</v>
      </c>
      <c r="O567" s="27" t="s">
        <v>86</v>
      </c>
      <c r="P567" s="39" t="s">
        <v>896</v>
      </c>
      <c r="Q567" s="27" t="s">
        <v>897</v>
      </c>
      <c r="R567" s="1">
        <v>46722</v>
      </c>
      <c r="S567" s="27" t="s">
        <v>1184</v>
      </c>
      <c r="T567" s="27" t="s">
        <v>1258</v>
      </c>
      <c r="U567" s="1">
        <v>157</v>
      </c>
      <c r="V567" s="27" t="s">
        <v>907</v>
      </c>
      <c r="W567" s="26"/>
      <c r="X567" s="28">
        <v>18.46</v>
      </c>
      <c r="Y567" s="29">
        <v>0.92</v>
      </c>
      <c r="Z567" s="29">
        <v>0.08</v>
      </c>
      <c r="AA567" s="26"/>
      <c r="AB567" s="26"/>
      <c r="AC567" s="27" t="s">
        <v>901</v>
      </c>
      <c r="AF567" t="s">
        <v>861</v>
      </c>
      <c r="AG567" s="17" t="s">
        <v>1040</v>
      </c>
      <c r="AH567" t="s">
        <v>903</v>
      </c>
      <c r="AI567" t="s">
        <v>1076</v>
      </c>
      <c r="AJ567" s="15"/>
      <c r="AK567" t="s">
        <v>908</v>
      </c>
    </row>
    <row r="568" spans="1:37" hidden="1" x14ac:dyDescent="0.25">
      <c r="A568" s="1"/>
      <c r="B568" s="21">
        <v>45281</v>
      </c>
      <c r="C568" s="22"/>
      <c r="D568" s="22"/>
      <c r="E568" s="22"/>
      <c r="F568" s="22"/>
      <c r="G568" s="23" t="s">
        <v>1263</v>
      </c>
      <c r="H568" s="23" t="s">
        <v>822</v>
      </c>
      <c r="I568" s="23" t="s">
        <v>894</v>
      </c>
      <c r="J568" s="23" t="s">
        <v>50</v>
      </c>
      <c r="K568" s="41" t="s">
        <v>50</v>
      </c>
      <c r="L568" s="23" t="s">
        <v>901</v>
      </c>
      <c r="M568" s="23" t="s">
        <v>905</v>
      </c>
      <c r="N568" s="23" t="s">
        <v>50</v>
      </c>
      <c r="O568" s="23" t="s">
        <v>86</v>
      </c>
      <c r="P568" s="41" t="s">
        <v>896</v>
      </c>
      <c r="Q568" s="23" t="s">
        <v>897</v>
      </c>
      <c r="R568" s="21">
        <v>46723</v>
      </c>
      <c r="S568" s="23" t="s">
        <v>1184</v>
      </c>
      <c r="T568" s="23" t="s">
        <v>1258</v>
      </c>
      <c r="U568" s="21">
        <v>157</v>
      </c>
      <c r="V568" s="27" t="s">
        <v>907</v>
      </c>
      <c r="W568" s="22"/>
      <c r="X568" s="24">
        <v>18.46</v>
      </c>
      <c r="Y568" s="25">
        <v>0.92</v>
      </c>
      <c r="Z568" s="25">
        <v>0.08</v>
      </c>
      <c r="AA568" s="22"/>
      <c r="AB568" s="22"/>
      <c r="AC568" s="23" t="s">
        <v>901</v>
      </c>
      <c r="AD568" s="17"/>
      <c r="AE568" s="17"/>
      <c r="AF568" s="17" t="s">
        <v>861</v>
      </c>
      <c r="AG568" s="17" t="s">
        <v>1040</v>
      </c>
      <c r="AH568" t="s">
        <v>903</v>
      </c>
      <c r="AI568" t="s">
        <v>1076</v>
      </c>
      <c r="AJ568" s="15"/>
      <c r="AK568" t="s">
        <v>908</v>
      </c>
    </row>
    <row r="569" spans="1:37" hidden="1" x14ac:dyDescent="0.25">
      <c r="A569" s="1"/>
      <c r="B569" s="1">
        <v>45283</v>
      </c>
      <c r="C569" s="26"/>
      <c r="D569" s="26"/>
      <c r="E569" s="26"/>
      <c r="F569" s="26"/>
      <c r="G569" s="27" t="s">
        <v>1264</v>
      </c>
      <c r="H569" s="27" t="s">
        <v>824</v>
      </c>
      <c r="I569" s="27" t="s">
        <v>894</v>
      </c>
      <c r="J569" s="27" t="s">
        <v>50</v>
      </c>
      <c r="K569" s="39" t="s">
        <v>50</v>
      </c>
      <c r="L569" s="27" t="s">
        <v>901</v>
      </c>
      <c r="M569" s="27" t="s">
        <v>905</v>
      </c>
      <c r="N569" s="27" t="s">
        <v>50</v>
      </c>
      <c r="O569" s="27" t="s">
        <v>86</v>
      </c>
      <c r="P569" s="39" t="s">
        <v>896</v>
      </c>
      <c r="Q569" s="27" t="s">
        <v>897</v>
      </c>
      <c r="R569" s="1">
        <v>46724</v>
      </c>
      <c r="S569" s="27" t="s">
        <v>1184</v>
      </c>
      <c r="T569" s="27" t="s">
        <v>1258</v>
      </c>
      <c r="U569" s="1">
        <v>157</v>
      </c>
      <c r="V569" s="27" t="s">
        <v>907</v>
      </c>
      <c r="W569" s="26"/>
      <c r="X569" s="28">
        <v>18.46</v>
      </c>
      <c r="Y569" s="29">
        <v>0.92</v>
      </c>
      <c r="Z569" s="29">
        <v>0.08</v>
      </c>
      <c r="AA569" s="26"/>
      <c r="AB569" s="26"/>
      <c r="AC569" s="27" t="s">
        <v>901</v>
      </c>
      <c r="AF569" t="s">
        <v>861</v>
      </c>
      <c r="AG569" s="17" t="s">
        <v>1040</v>
      </c>
      <c r="AH569" t="s">
        <v>903</v>
      </c>
      <c r="AI569" t="s">
        <v>1076</v>
      </c>
      <c r="AJ569" s="15"/>
      <c r="AK569" t="s">
        <v>908</v>
      </c>
    </row>
    <row r="570" spans="1:37" hidden="1" x14ac:dyDescent="0.25">
      <c r="A570" s="1"/>
      <c r="B570" s="21">
        <v>45285</v>
      </c>
      <c r="C570" s="22"/>
      <c r="D570" s="22"/>
      <c r="E570" s="22"/>
      <c r="F570" s="22"/>
      <c r="G570" s="23" t="s">
        <v>1265</v>
      </c>
      <c r="H570" s="23" t="s">
        <v>826</v>
      </c>
      <c r="I570" s="23" t="s">
        <v>894</v>
      </c>
      <c r="J570" s="23" t="s">
        <v>50</v>
      </c>
      <c r="K570" s="41" t="s">
        <v>50</v>
      </c>
      <c r="L570" s="23" t="s">
        <v>901</v>
      </c>
      <c r="M570" s="23" t="s">
        <v>905</v>
      </c>
      <c r="N570" s="23" t="s">
        <v>50</v>
      </c>
      <c r="O570" s="23" t="s">
        <v>86</v>
      </c>
      <c r="P570" s="41" t="s">
        <v>896</v>
      </c>
      <c r="Q570" s="23" t="s">
        <v>897</v>
      </c>
      <c r="R570" s="21">
        <v>46725</v>
      </c>
      <c r="S570" s="23" t="s">
        <v>1184</v>
      </c>
      <c r="T570" s="23" t="s">
        <v>1258</v>
      </c>
      <c r="U570" s="21">
        <v>157</v>
      </c>
      <c r="V570" s="27" t="s">
        <v>907</v>
      </c>
      <c r="W570" s="22"/>
      <c r="X570" s="24">
        <v>18.46</v>
      </c>
      <c r="Y570" s="25">
        <v>0.92</v>
      </c>
      <c r="Z570" s="25">
        <v>0.08</v>
      </c>
      <c r="AA570" s="22"/>
      <c r="AB570" s="22"/>
      <c r="AC570" s="23" t="s">
        <v>901</v>
      </c>
      <c r="AD570" s="17"/>
      <c r="AE570" s="17"/>
      <c r="AF570" s="17" t="s">
        <v>861</v>
      </c>
      <c r="AG570" s="17" t="s">
        <v>1040</v>
      </c>
      <c r="AH570" t="s">
        <v>903</v>
      </c>
      <c r="AI570" t="s">
        <v>1076</v>
      </c>
      <c r="AJ570" s="15"/>
      <c r="AK570" t="s">
        <v>908</v>
      </c>
    </row>
    <row r="571" spans="1:37" hidden="1" x14ac:dyDescent="0.25">
      <c r="A571" s="1"/>
      <c r="B571" s="1">
        <v>45287</v>
      </c>
      <c r="C571" s="26"/>
      <c r="D571" s="26"/>
      <c r="E571" s="26"/>
      <c r="F571" s="26"/>
      <c r="G571" s="27" t="s">
        <v>1266</v>
      </c>
      <c r="H571" s="27" t="s">
        <v>828</v>
      </c>
      <c r="I571" s="27" t="s">
        <v>894</v>
      </c>
      <c r="J571" s="27" t="s">
        <v>50</v>
      </c>
      <c r="K571" s="39" t="s">
        <v>50</v>
      </c>
      <c r="L571" s="27" t="s">
        <v>901</v>
      </c>
      <c r="M571" s="27" t="s">
        <v>905</v>
      </c>
      <c r="N571" s="27" t="s">
        <v>50</v>
      </c>
      <c r="O571" s="27" t="s">
        <v>86</v>
      </c>
      <c r="P571" s="39" t="s">
        <v>896</v>
      </c>
      <c r="Q571" s="27" t="s">
        <v>897</v>
      </c>
      <c r="R571" s="1">
        <v>46726</v>
      </c>
      <c r="S571" s="27" t="s">
        <v>1184</v>
      </c>
      <c r="T571" s="27" t="s">
        <v>1267</v>
      </c>
      <c r="U571" s="1">
        <v>158</v>
      </c>
      <c r="V571" s="27" t="s">
        <v>907</v>
      </c>
      <c r="W571" s="26"/>
      <c r="X571" s="28">
        <v>18.8</v>
      </c>
      <c r="Y571" s="29">
        <v>0.92</v>
      </c>
      <c r="Z571" s="29">
        <v>0.08</v>
      </c>
      <c r="AA571" s="26"/>
      <c r="AB571" s="26"/>
      <c r="AC571" s="27" t="s">
        <v>901</v>
      </c>
      <c r="AF571" t="s">
        <v>861</v>
      </c>
      <c r="AG571" s="17" t="s">
        <v>1040</v>
      </c>
      <c r="AH571" t="s">
        <v>903</v>
      </c>
      <c r="AI571" t="s">
        <v>1076</v>
      </c>
      <c r="AJ571" s="15"/>
      <c r="AK571" t="s">
        <v>908</v>
      </c>
    </row>
    <row r="572" spans="1:37" hidden="1" x14ac:dyDescent="0.25">
      <c r="A572" s="1"/>
      <c r="B572" s="21">
        <v>45289</v>
      </c>
      <c r="C572" s="22"/>
      <c r="D572" s="22"/>
      <c r="E572" s="22"/>
      <c r="F572" s="22"/>
      <c r="G572" s="23" t="s">
        <v>1268</v>
      </c>
      <c r="H572" s="23" t="s">
        <v>830</v>
      </c>
      <c r="I572" s="23" t="s">
        <v>894</v>
      </c>
      <c r="J572" s="23" t="s">
        <v>50</v>
      </c>
      <c r="K572" s="41" t="s">
        <v>50</v>
      </c>
      <c r="L572" s="23" t="s">
        <v>901</v>
      </c>
      <c r="M572" s="23" t="s">
        <v>905</v>
      </c>
      <c r="N572" s="23" t="s">
        <v>50</v>
      </c>
      <c r="O572" s="23" t="s">
        <v>86</v>
      </c>
      <c r="P572" s="41" t="s">
        <v>896</v>
      </c>
      <c r="Q572" s="23" t="s">
        <v>897</v>
      </c>
      <c r="R572" s="21">
        <v>46727</v>
      </c>
      <c r="S572" s="23" t="s">
        <v>1184</v>
      </c>
      <c r="T572" s="23" t="s">
        <v>1269</v>
      </c>
      <c r="U572" s="21">
        <v>159</v>
      </c>
      <c r="V572" s="27" t="s">
        <v>907</v>
      </c>
      <c r="W572" s="22"/>
      <c r="X572" s="24">
        <v>19.62</v>
      </c>
      <c r="Y572" s="25">
        <v>0.92</v>
      </c>
      <c r="Z572" s="25">
        <v>0.08</v>
      </c>
      <c r="AA572" s="22"/>
      <c r="AB572" s="22"/>
      <c r="AC572" s="23" t="s">
        <v>901</v>
      </c>
      <c r="AD572" s="17"/>
      <c r="AE572" s="17"/>
      <c r="AF572" s="17" t="s">
        <v>861</v>
      </c>
      <c r="AG572" s="17" t="s">
        <v>1040</v>
      </c>
      <c r="AH572" t="s">
        <v>903</v>
      </c>
      <c r="AI572" t="s">
        <v>1076</v>
      </c>
      <c r="AJ572" s="15"/>
      <c r="AK572" t="s">
        <v>908</v>
      </c>
    </row>
    <row r="573" spans="1:37" hidden="1" x14ac:dyDescent="0.25">
      <c r="A573" s="1"/>
      <c r="B573" s="1">
        <v>45292</v>
      </c>
      <c r="C573" s="26"/>
      <c r="D573" s="26"/>
      <c r="E573" s="26"/>
      <c r="F573" s="26"/>
      <c r="G573" s="27" t="s">
        <v>1270</v>
      </c>
      <c r="H573" s="27" t="s">
        <v>832</v>
      </c>
      <c r="I573" s="27" t="s">
        <v>894</v>
      </c>
      <c r="J573" s="27" t="s">
        <v>50</v>
      </c>
      <c r="K573" s="39" t="s">
        <v>50</v>
      </c>
      <c r="L573" s="27" t="s">
        <v>901</v>
      </c>
      <c r="M573" s="27" t="s">
        <v>905</v>
      </c>
      <c r="N573" s="27" t="s">
        <v>50</v>
      </c>
      <c r="O573" s="27" t="s">
        <v>86</v>
      </c>
      <c r="P573" s="39" t="s">
        <v>896</v>
      </c>
      <c r="Q573" s="27" t="s">
        <v>897</v>
      </c>
      <c r="R573" s="1">
        <v>46728</v>
      </c>
      <c r="S573" s="27" t="s">
        <v>1184</v>
      </c>
      <c r="T573" s="27" t="s">
        <v>1269</v>
      </c>
      <c r="U573" s="1">
        <v>159</v>
      </c>
      <c r="V573" s="27" t="s">
        <v>907</v>
      </c>
      <c r="W573" s="26"/>
      <c r="X573" s="28">
        <v>19.62</v>
      </c>
      <c r="Y573" s="29">
        <v>0.92</v>
      </c>
      <c r="Z573" s="29">
        <v>0.08</v>
      </c>
      <c r="AA573" s="26"/>
      <c r="AB573" s="26"/>
      <c r="AC573" s="27" t="s">
        <v>901</v>
      </c>
      <c r="AF573" t="s">
        <v>861</v>
      </c>
      <c r="AG573" s="17" t="s">
        <v>1040</v>
      </c>
      <c r="AH573" t="s">
        <v>903</v>
      </c>
      <c r="AI573" t="s">
        <v>1076</v>
      </c>
      <c r="AJ573" s="15"/>
      <c r="AK573" t="s">
        <v>908</v>
      </c>
    </row>
    <row r="574" spans="1:37" hidden="1" x14ac:dyDescent="0.25">
      <c r="A574" s="1"/>
      <c r="B574" s="21">
        <v>45294</v>
      </c>
      <c r="C574" s="22"/>
      <c r="D574" s="22"/>
      <c r="E574" s="22"/>
      <c r="F574" s="22"/>
      <c r="G574" s="23" t="s">
        <v>1271</v>
      </c>
      <c r="H574" s="23" t="s">
        <v>834</v>
      </c>
      <c r="I574" s="23" t="s">
        <v>894</v>
      </c>
      <c r="J574" s="23" t="s">
        <v>50</v>
      </c>
      <c r="K574" s="41" t="s">
        <v>50</v>
      </c>
      <c r="L574" s="23" t="s">
        <v>901</v>
      </c>
      <c r="M574" s="23" t="s">
        <v>905</v>
      </c>
      <c r="N574" s="23" t="s">
        <v>50</v>
      </c>
      <c r="O574" s="23" t="s">
        <v>86</v>
      </c>
      <c r="P574" s="41" t="s">
        <v>896</v>
      </c>
      <c r="Q574" s="23" t="s">
        <v>897</v>
      </c>
      <c r="R574" s="21">
        <v>46729</v>
      </c>
      <c r="S574" s="23" t="s">
        <v>1184</v>
      </c>
      <c r="T574" s="23" t="s">
        <v>1272</v>
      </c>
      <c r="U574" s="21">
        <v>160</v>
      </c>
      <c r="V574" s="27" t="s">
        <v>907</v>
      </c>
      <c r="W574" s="22"/>
      <c r="X574" s="24">
        <v>19.989999999999998</v>
      </c>
      <c r="Y574" s="25">
        <v>0.92</v>
      </c>
      <c r="Z574" s="25">
        <v>0.08</v>
      </c>
      <c r="AA574" s="22"/>
      <c r="AB574" s="22"/>
      <c r="AC574" s="23" t="s">
        <v>901</v>
      </c>
      <c r="AD574" s="17"/>
      <c r="AE574" s="17"/>
      <c r="AF574" s="17" t="s">
        <v>861</v>
      </c>
      <c r="AG574" s="17" t="s">
        <v>1040</v>
      </c>
      <c r="AH574" t="s">
        <v>903</v>
      </c>
      <c r="AI574" t="s">
        <v>1076</v>
      </c>
      <c r="AJ574" s="15"/>
      <c r="AK574" t="s">
        <v>908</v>
      </c>
    </row>
    <row r="575" spans="1:37" hidden="1" x14ac:dyDescent="0.25">
      <c r="A575" s="1"/>
      <c r="B575" s="1">
        <v>45296</v>
      </c>
      <c r="C575" s="26"/>
      <c r="D575" s="26"/>
      <c r="E575" s="26"/>
      <c r="F575" s="26"/>
      <c r="G575" s="27" t="s">
        <v>1273</v>
      </c>
      <c r="H575" s="27" t="s">
        <v>836</v>
      </c>
      <c r="I575" s="27" t="s">
        <v>894</v>
      </c>
      <c r="J575" s="27" t="s">
        <v>50</v>
      </c>
      <c r="K575" s="39" t="s">
        <v>50</v>
      </c>
      <c r="L575" s="27" t="s">
        <v>901</v>
      </c>
      <c r="M575" s="27" t="s">
        <v>905</v>
      </c>
      <c r="N575" s="27" t="s">
        <v>50</v>
      </c>
      <c r="O575" s="27" t="s">
        <v>86</v>
      </c>
      <c r="P575" s="39" t="s">
        <v>896</v>
      </c>
      <c r="Q575" s="27" t="s">
        <v>897</v>
      </c>
      <c r="R575" s="1">
        <v>46730</v>
      </c>
      <c r="S575" s="27" t="s">
        <v>1184</v>
      </c>
      <c r="T575" s="27" t="s">
        <v>1274</v>
      </c>
      <c r="U575" s="1">
        <v>161</v>
      </c>
      <c r="V575" s="27" t="s">
        <v>907</v>
      </c>
      <c r="W575" s="26"/>
      <c r="X575" s="28">
        <v>24.23</v>
      </c>
      <c r="Y575" s="29">
        <v>0.92</v>
      </c>
      <c r="Z575" s="29">
        <v>0.08</v>
      </c>
      <c r="AA575" s="26"/>
      <c r="AB575" s="26"/>
      <c r="AC575" s="27" t="s">
        <v>901</v>
      </c>
      <c r="AF575" t="s">
        <v>861</v>
      </c>
      <c r="AG575" s="17" t="s">
        <v>1040</v>
      </c>
      <c r="AH575" t="s">
        <v>903</v>
      </c>
      <c r="AI575" t="s">
        <v>1076</v>
      </c>
      <c r="AJ575" s="15"/>
      <c r="AK575" t="s">
        <v>908</v>
      </c>
    </row>
    <row r="576" spans="1:37" hidden="1" x14ac:dyDescent="0.25">
      <c r="A576" s="1"/>
      <c r="B576" s="21">
        <v>45300</v>
      </c>
      <c r="C576" s="22"/>
      <c r="D576" s="22"/>
      <c r="E576" s="22"/>
      <c r="F576" s="22"/>
      <c r="G576" s="23" t="s">
        <v>1275</v>
      </c>
      <c r="H576" s="23" t="s">
        <v>1217</v>
      </c>
      <c r="I576" s="23" t="s">
        <v>894</v>
      </c>
      <c r="J576" s="23" t="s">
        <v>36</v>
      </c>
      <c r="K576" s="41" t="s">
        <v>36</v>
      </c>
      <c r="L576" s="23" t="s">
        <v>901</v>
      </c>
      <c r="M576" s="23" t="s">
        <v>905</v>
      </c>
      <c r="N576" s="23" t="s">
        <v>36</v>
      </c>
      <c r="O576" s="23" t="s">
        <v>1218</v>
      </c>
      <c r="P576" s="41" t="s">
        <v>896</v>
      </c>
      <c r="Q576" s="23" t="s">
        <v>897</v>
      </c>
      <c r="R576" s="21">
        <v>46732</v>
      </c>
      <c r="S576" s="23" t="s">
        <v>1218</v>
      </c>
      <c r="T576" s="23" t="s">
        <v>1276</v>
      </c>
      <c r="U576" s="22"/>
      <c r="V576" s="23" t="s">
        <v>900</v>
      </c>
      <c r="W576" s="22"/>
      <c r="X576" s="24">
        <v>1.91</v>
      </c>
      <c r="Y576" s="25">
        <v>0.6</v>
      </c>
      <c r="Z576" s="25">
        <v>0.4</v>
      </c>
      <c r="AA576" s="22"/>
      <c r="AB576" s="22"/>
      <c r="AC576" s="23" t="s">
        <v>901</v>
      </c>
      <c r="AD576" s="17"/>
      <c r="AE576" s="17"/>
      <c r="AF576" s="17" t="s">
        <v>43</v>
      </c>
      <c r="AG576" s="17" t="s">
        <v>1040</v>
      </c>
      <c r="AH576" t="s">
        <v>903</v>
      </c>
      <c r="AJ576" s="15">
        <f>VLOOKUP(Tabla1[[#This Row],[CPC]],[1]Sheet3!$A:$D,4,0)</f>
        <v>0.60000118280182102</v>
      </c>
      <c r="AK576" t="s">
        <v>908</v>
      </c>
    </row>
    <row r="577" spans="1:37" hidden="1" x14ac:dyDescent="0.25">
      <c r="A577" s="1"/>
      <c r="B577" s="1">
        <v>45309</v>
      </c>
      <c r="C577" s="26"/>
      <c r="D577" s="26"/>
      <c r="E577" s="26"/>
      <c r="F577" s="26"/>
      <c r="G577" s="27" t="s">
        <v>1223</v>
      </c>
      <c r="H577" s="27" t="s">
        <v>1224</v>
      </c>
      <c r="I577" s="27" t="s">
        <v>894</v>
      </c>
      <c r="J577" s="27" t="s">
        <v>36</v>
      </c>
      <c r="K577" s="39" t="s">
        <v>36</v>
      </c>
      <c r="L577" s="27" t="s">
        <v>901</v>
      </c>
      <c r="M577" s="27" t="s">
        <v>905</v>
      </c>
      <c r="N577" s="27" t="s">
        <v>36</v>
      </c>
      <c r="O577" s="27" t="s">
        <v>1225</v>
      </c>
      <c r="P577" s="39" t="s">
        <v>896</v>
      </c>
      <c r="Q577" s="27" t="s">
        <v>897</v>
      </c>
      <c r="R577" s="1">
        <v>46736</v>
      </c>
      <c r="S577" s="27" t="s">
        <v>1226</v>
      </c>
      <c r="T577" s="27" t="s">
        <v>1277</v>
      </c>
      <c r="U577" s="26"/>
      <c r="V577" s="27" t="s">
        <v>907</v>
      </c>
      <c r="W577" s="26"/>
      <c r="X577" s="28">
        <v>8.64</v>
      </c>
      <c r="Y577" s="29">
        <v>0.85</v>
      </c>
      <c r="Z577" s="29">
        <v>0.15</v>
      </c>
      <c r="AA577" s="26"/>
      <c r="AB577" s="26"/>
      <c r="AC577" s="27" t="s">
        <v>901</v>
      </c>
      <c r="AF577" t="s">
        <v>43</v>
      </c>
      <c r="AG577" t="s">
        <v>1040</v>
      </c>
      <c r="AH577" t="s">
        <v>903</v>
      </c>
      <c r="AJ577" s="15">
        <f>VLOOKUP(Tabla1[[#This Row],[CPC]],[1]Sheet3!$A:$D,4,0)</f>
        <v>0.84983896940418702</v>
      </c>
      <c r="AK577" t="s">
        <v>908</v>
      </c>
    </row>
    <row r="578" spans="1:37" hidden="1" x14ac:dyDescent="0.25">
      <c r="A578" s="1"/>
      <c r="B578" s="21">
        <v>45329</v>
      </c>
      <c r="C578" s="22"/>
      <c r="D578" s="22"/>
      <c r="E578" s="22"/>
      <c r="F578" s="22"/>
      <c r="G578" s="23" t="s">
        <v>1278</v>
      </c>
      <c r="H578" s="23" t="s">
        <v>281</v>
      </c>
      <c r="I578" s="23" t="s">
        <v>894</v>
      </c>
      <c r="J578" s="23" t="s">
        <v>50</v>
      </c>
      <c r="K578" s="41" t="s">
        <v>50</v>
      </c>
      <c r="L578" s="23" t="s">
        <v>901</v>
      </c>
      <c r="M578" s="23" t="s">
        <v>905</v>
      </c>
      <c r="N578" s="23" t="s">
        <v>50</v>
      </c>
      <c r="O578" s="23" t="s">
        <v>86</v>
      </c>
      <c r="P578" s="41" t="s">
        <v>896</v>
      </c>
      <c r="Q578" s="23" t="s">
        <v>897</v>
      </c>
      <c r="R578" s="21">
        <v>46756</v>
      </c>
      <c r="S578" s="23" t="s">
        <v>1168</v>
      </c>
      <c r="T578" s="23" t="s">
        <v>1279</v>
      </c>
      <c r="U578" s="22"/>
      <c r="V578" s="23" t="s">
        <v>900</v>
      </c>
      <c r="W578" s="22"/>
      <c r="X578" s="24">
        <v>1.1499999999999999</v>
      </c>
      <c r="Y578" s="25">
        <v>0.5</v>
      </c>
      <c r="Z578" s="25">
        <v>0.5</v>
      </c>
      <c r="AA578" s="22"/>
      <c r="AB578" s="22"/>
      <c r="AC578" s="23" t="s">
        <v>901</v>
      </c>
      <c r="AD578" s="17"/>
      <c r="AE578" s="17"/>
      <c r="AF578" s="17" t="s">
        <v>861</v>
      </c>
      <c r="AG578" s="17" t="s">
        <v>1075</v>
      </c>
      <c r="AH578" t="s">
        <v>903</v>
      </c>
      <c r="AI578" t="s">
        <v>1076</v>
      </c>
      <c r="AJ578" s="15">
        <f>VLOOKUP(Tabla1[[#This Row],[CPC]],[1]Sheet3!$A:$D,4,0)</f>
        <v>0.50000990814489099</v>
      </c>
      <c r="AK578" t="s">
        <v>908</v>
      </c>
    </row>
    <row r="579" spans="1:37" hidden="1" x14ac:dyDescent="0.25">
      <c r="A579" s="1"/>
      <c r="B579" s="1">
        <v>45331</v>
      </c>
      <c r="C579" s="26"/>
      <c r="D579" s="26"/>
      <c r="E579" s="26"/>
      <c r="F579" s="26"/>
      <c r="G579" s="27" t="s">
        <v>1278</v>
      </c>
      <c r="H579" s="27" t="s">
        <v>281</v>
      </c>
      <c r="I579" s="27" t="s">
        <v>894</v>
      </c>
      <c r="J579" s="27" t="s">
        <v>50</v>
      </c>
      <c r="K579" s="39" t="s">
        <v>50</v>
      </c>
      <c r="L579" s="27" t="s">
        <v>901</v>
      </c>
      <c r="M579" s="27" t="s">
        <v>905</v>
      </c>
      <c r="N579" s="27" t="s">
        <v>50</v>
      </c>
      <c r="O579" s="27" t="s">
        <v>86</v>
      </c>
      <c r="P579" s="39" t="s">
        <v>896</v>
      </c>
      <c r="Q579" s="27" t="s">
        <v>897</v>
      </c>
      <c r="R579" s="1">
        <v>46757</v>
      </c>
      <c r="S579" s="27" t="s">
        <v>1168</v>
      </c>
      <c r="T579" s="27" t="s">
        <v>1280</v>
      </c>
      <c r="U579" s="26"/>
      <c r="V579" s="27" t="s">
        <v>900</v>
      </c>
      <c r="W579" s="26"/>
      <c r="X579" s="28">
        <v>1.43</v>
      </c>
      <c r="Y579" s="29">
        <v>0.5</v>
      </c>
      <c r="Z579" s="29">
        <v>0.5</v>
      </c>
      <c r="AA579" s="26"/>
      <c r="AB579" s="26"/>
      <c r="AC579" s="27" t="s">
        <v>901</v>
      </c>
      <c r="AF579" t="s">
        <v>861</v>
      </c>
      <c r="AG579" t="s">
        <v>1075</v>
      </c>
      <c r="AH579" t="s">
        <v>903</v>
      </c>
      <c r="AI579" t="s">
        <v>1076</v>
      </c>
      <c r="AJ579" s="15"/>
      <c r="AK579" t="s">
        <v>908</v>
      </c>
    </row>
    <row r="580" spans="1:37" hidden="1" x14ac:dyDescent="0.25">
      <c r="A580" s="1"/>
      <c r="B580" s="21">
        <v>45333</v>
      </c>
      <c r="C580" s="22"/>
      <c r="D580" s="22"/>
      <c r="E580" s="22"/>
      <c r="F580" s="22"/>
      <c r="G580" s="23" t="s">
        <v>1278</v>
      </c>
      <c r="H580" s="23" t="s">
        <v>281</v>
      </c>
      <c r="I580" s="23" t="s">
        <v>894</v>
      </c>
      <c r="J580" s="23" t="s">
        <v>50</v>
      </c>
      <c r="K580" s="41" t="s">
        <v>50</v>
      </c>
      <c r="L580" s="23" t="s">
        <v>901</v>
      </c>
      <c r="M580" s="23" t="s">
        <v>905</v>
      </c>
      <c r="N580" s="23" t="s">
        <v>50</v>
      </c>
      <c r="O580" s="23" t="s">
        <v>86</v>
      </c>
      <c r="P580" s="41" t="s">
        <v>896</v>
      </c>
      <c r="Q580" s="23" t="s">
        <v>897</v>
      </c>
      <c r="R580" s="21">
        <v>46758</v>
      </c>
      <c r="S580" s="23" t="s">
        <v>1168</v>
      </c>
      <c r="T580" s="23" t="s">
        <v>1280</v>
      </c>
      <c r="U580" s="22"/>
      <c r="V580" s="23" t="s">
        <v>900</v>
      </c>
      <c r="W580" s="22"/>
      <c r="X580" s="24">
        <v>1.43</v>
      </c>
      <c r="Y580" s="25">
        <v>0.4</v>
      </c>
      <c r="Z580" s="25">
        <v>0.6</v>
      </c>
      <c r="AA580" s="22"/>
      <c r="AB580" s="22"/>
      <c r="AC580" s="23" t="s">
        <v>901</v>
      </c>
      <c r="AD580" s="17"/>
      <c r="AE580" s="17"/>
      <c r="AF580" s="17" t="s">
        <v>861</v>
      </c>
      <c r="AG580" s="17" t="s">
        <v>1075</v>
      </c>
      <c r="AH580" t="s">
        <v>903</v>
      </c>
      <c r="AI580" t="s">
        <v>1076</v>
      </c>
      <c r="AJ580" s="15">
        <f>VLOOKUP(Tabla1[[#This Row],[CPC]],[1]Sheet3!$A:$D,4,0)</f>
        <v>0.39999983396433803</v>
      </c>
      <c r="AK580" t="s">
        <v>908</v>
      </c>
    </row>
    <row r="581" spans="1:37" hidden="1" x14ac:dyDescent="0.25">
      <c r="A581" s="1"/>
      <c r="B581" s="1">
        <v>45335</v>
      </c>
      <c r="C581" s="26"/>
      <c r="D581" s="26"/>
      <c r="E581" s="26"/>
      <c r="F581" s="26"/>
      <c r="G581" s="27" t="s">
        <v>1278</v>
      </c>
      <c r="H581" s="27" t="s">
        <v>281</v>
      </c>
      <c r="I581" s="27" t="s">
        <v>894</v>
      </c>
      <c r="J581" s="27" t="s">
        <v>50</v>
      </c>
      <c r="K581" s="39" t="s">
        <v>50</v>
      </c>
      <c r="L581" s="27" t="s">
        <v>901</v>
      </c>
      <c r="M581" s="27" t="s">
        <v>905</v>
      </c>
      <c r="N581" s="27" t="s">
        <v>50</v>
      </c>
      <c r="O581" s="27" t="s">
        <v>86</v>
      </c>
      <c r="P581" s="39" t="s">
        <v>896</v>
      </c>
      <c r="Q581" s="27" t="s">
        <v>897</v>
      </c>
      <c r="R581" s="1">
        <v>46759</v>
      </c>
      <c r="S581" s="27" t="s">
        <v>1168</v>
      </c>
      <c r="T581" s="27" t="s">
        <v>1281</v>
      </c>
      <c r="U581" s="26"/>
      <c r="V581" s="27" t="s">
        <v>900</v>
      </c>
      <c r="W581" s="26"/>
      <c r="X581" s="28">
        <v>1.91</v>
      </c>
      <c r="Y581" s="29">
        <v>0.5</v>
      </c>
      <c r="Z581" s="29">
        <v>0.5</v>
      </c>
      <c r="AA581" s="26"/>
      <c r="AB581" s="26"/>
      <c r="AC581" s="27" t="s">
        <v>901</v>
      </c>
      <c r="AF581" t="s">
        <v>861</v>
      </c>
      <c r="AG581" t="s">
        <v>1075</v>
      </c>
      <c r="AH581" t="s">
        <v>903</v>
      </c>
      <c r="AI581" t="s">
        <v>1076</v>
      </c>
      <c r="AJ581" s="15">
        <f>VLOOKUP(Tabla1[[#This Row],[CPC]],[1]Sheet3!$A:$D,4,0)</f>
        <v>0.50000012031731167</v>
      </c>
      <c r="AK581" t="s">
        <v>908</v>
      </c>
    </row>
    <row r="582" spans="1:37" hidden="1" x14ac:dyDescent="0.25">
      <c r="A582" s="1"/>
      <c r="B582" s="21">
        <v>45337</v>
      </c>
      <c r="C582" s="22"/>
      <c r="D582" s="22"/>
      <c r="E582" s="22"/>
      <c r="F582" s="22"/>
      <c r="G582" s="23" t="s">
        <v>1282</v>
      </c>
      <c r="H582" s="23" t="s">
        <v>845</v>
      </c>
      <c r="I582" s="23" t="s">
        <v>894</v>
      </c>
      <c r="J582" s="23" t="s">
        <v>285</v>
      </c>
      <c r="K582" s="41" t="s">
        <v>285</v>
      </c>
      <c r="L582" s="23" t="s">
        <v>901</v>
      </c>
      <c r="M582" s="23" t="s">
        <v>905</v>
      </c>
      <c r="N582" s="23" t="s">
        <v>285</v>
      </c>
      <c r="O582" s="23" t="s">
        <v>86</v>
      </c>
      <c r="P582" s="41" t="s">
        <v>896</v>
      </c>
      <c r="Q582" s="23" t="s">
        <v>897</v>
      </c>
      <c r="R582" s="21">
        <v>46760</v>
      </c>
      <c r="S582" s="23" t="s">
        <v>1074</v>
      </c>
      <c r="T582" s="23" t="s">
        <v>1279</v>
      </c>
      <c r="U582" s="22"/>
      <c r="V582" s="23" t="s">
        <v>900</v>
      </c>
      <c r="W582" s="22"/>
      <c r="X582" s="24">
        <v>1.1499999999999999</v>
      </c>
      <c r="Y582" s="25">
        <v>0.5</v>
      </c>
      <c r="Z582" s="25">
        <v>0.5</v>
      </c>
      <c r="AA582" s="22"/>
      <c r="AB582" s="22"/>
      <c r="AC582" s="23" t="s">
        <v>901</v>
      </c>
      <c r="AD582" s="17"/>
      <c r="AE582" s="17"/>
      <c r="AF582" s="17" t="s">
        <v>1283</v>
      </c>
      <c r="AG582" s="17" t="s">
        <v>1075</v>
      </c>
      <c r="AH582" t="s">
        <v>903</v>
      </c>
      <c r="AI582" t="s">
        <v>1076</v>
      </c>
      <c r="AJ582" s="15">
        <f>VLOOKUP(Tabla1[[#This Row],[CPC]],[1]Sheet3!$A:$D,4,0)</f>
        <v>0.50000439147194076</v>
      </c>
      <c r="AK582" t="s">
        <v>908</v>
      </c>
    </row>
    <row r="583" spans="1:37" hidden="1" x14ac:dyDescent="0.25">
      <c r="A583" s="1"/>
      <c r="B583" s="1">
        <v>45339</v>
      </c>
      <c r="C583" s="26"/>
      <c r="D583" s="26"/>
      <c r="E583" s="26"/>
      <c r="F583" s="26"/>
      <c r="G583" s="27" t="s">
        <v>1282</v>
      </c>
      <c r="H583" s="27" t="s">
        <v>845</v>
      </c>
      <c r="I583" s="27" t="s">
        <v>894</v>
      </c>
      <c r="J583" s="27" t="s">
        <v>285</v>
      </c>
      <c r="K583" s="39" t="s">
        <v>285</v>
      </c>
      <c r="L583" s="27" t="s">
        <v>901</v>
      </c>
      <c r="M583" s="27" t="s">
        <v>905</v>
      </c>
      <c r="N583" s="27" t="s">
        <v>285</v>
      </c>
      <c r="O583" s="27" t="s">
        <v>86</v>
      </c>
      <c r="P583" s="39" t="s">
        <v>896</v>
      </c>
      <c r="Q583" s="27" t="s">
        <v>897</v>
      </c>
      <c r="R583" s="1">
        <v>46761</v>
      </c>
      <c r="S583" s="27" t="s">
        <v>1074</v>
      </c>
      <c r="T583" s="27" t="s">
        <v>1280</v>
      </c>
      <c r="U583" s="26"/>
      <c r="V583" s="27" t="s">
        <v>900</v>
      </c>
      <c r="W583" s="26"/>
      <c r="X583" s="28">
        <v>1.43</v>
      </c>
      <c r="Y583" s="29">
        <v>0.5</v>
      </c>
      <c r="Z583" s="29">
        <v>0.5</v>
      </c>
      <c r="AA583" s="26"/>
      <c r="AB583" s="26"/>
      <c r="AC583" s="27" t="s">
        <v>901</v>
      </c>
      <c r="AF583" t="s">
        <v>1283</v>
      </c>
      <c r="AG583" t="s">
        <v>1075</v>
      </c>
      <c r="AH583" t="s">
        <v>903</v>
      </c>
      <c r="AI583" t="s">
        <v>1076</v>
      </c>
      <c r="AJ583" s="15">
        <f>VLOOKUP(Tabla1[[#This Row],[CPC]],[1]Sheet3!$A:$D,4,0)</f>
        <v>0.50000250204703189</v>
      </c>
      <c r="AK583" t="s">
        <v>908</v>
      </c>
    </row>
    <row r="584" spans="1:37" hidden="1" x14ac:dyDescent="0.25">
      <c r="A584" s="1"/>
      <c r="B584" s="21">
        <v>45341</v>
      </c>
      <c r="C584" s="22"/>
      <c r="D584" s="22"/>
      <c r="E584" s="22"/>
      <c r="F584" s="22"/>
      <c r="G584" s="23" t="s">
        <v>1282</v>
      </c>
      <c r="H584" s="23" t="s">
        <v>845</v>
      </c>
      <c r="I584" s="23" t="s">
        <v>894</v>
      </c>
      <c r="J584" s="23" t="s">
        <v>285</v>
      </c>
      <c r="K584" s="41" t="s">
        <v>285</v>
      </c>
      <c r="L584" s="23" t="s">
        <v>901</v>
      </c>
      <c r="M584" s="23" t="s">
        <v>905</v>
      </c>
      <c r="N584" s="23" t="s">
        <v>285</v>
      </c>
      <c r="O584" s="23" t="s">
        <v>86</v>
      </c>
      <c r="P584" s="41" t="s">
        <v>896</v>
      </c>
      <c r="Q584" s="23" t="s">
        <v>897</v>
      </c>
      <c r="R584" s="21">
        <v>46762</v>
      </c>
      <c r="S584" s="23" t="s">
        <v>1074</v>
      </c>
      <c r="T584" s="23" t="s">
        <v>1280</v>
      </c>
      <c r="U584" s="22"/>
      <c r="V584" s="23" t="s">
        <v>900</v>
      </c>
      <c r="W584" s="22"/>
      <c r="X584" s="24">
        <v>1.43</v>
      </c>
      <c r="Y584" s="25">
        <v>0.4</v>
      </c>
      <c r="Z584" s="25">
        <v>0.6</v>
      </c>
      <c r="AA584" s="22"/>
      <c r="AB584" s="22"/>
      <c r="AC584" s="23" t="s">
        <v>901</v>
      </c>
      <c r="AD584" s="17"/>
      <c r="AE584" s="17"/>
      <c r="AF584" s="17" t="s">
        <v>1283</v>
      </c>
      <c r="AG584" s="17" t="s">
        <v>1075</v>
      </c>
      <c r="AH584" t="s">
        <v>903</v>
      </c>
      <c r="AI584" t="s">
        <v>1076</v>
      </c>
      <c r="AJ584" s="15">
        <f>VLOOKUP(Tabla1[[#This Row],[CPC]],[1]Sheet3!$A:$D,4,0)</f>
        <v>0.39960870154775818</v>
      </c>
      <c r="AK584" t="s">
        <v>908</v>
      </c>
    </row>
    <row r="585" spans="1:37" hidden="1" x14ac:dyDescent="0.25">
      <c r="A585" s="1"/>
      <c r="B585" s="1">
        <v>45343</v>
      </c>
      <c r="C585" s="26"/>
      <c r="D585" s="26"/>
      <c r="E585" s="26"/>
      <c r="F585" s="26"/>
      <c r="G585" s="27" t="s">
        <v>1282</v>
      </c>
      <c r="H585" s="27" t="s">
        <v>845</v>
      </c>
      <c r="I585" s="27" t="s">
        <v>894</v>
      </c>
      <c r="J585" s="27" t="s">
        <v>285</v>
      </c>
      <c r="K585" s="39" t="s">
        <v>285</v>
      </c>
      <c r="L585" s="27" t="s">
        <v>901</v>
      </c>
      <c r="M585" s="27" t="s">
        <v>905</v>
      </c>
      <c r="N585" s="27" t="s">
        <v>285</v>
      </c>
      <c r="O585" s="27" t="s">
        <v>86</v>
      </c>
      <c r="P585" s="39" t="s">
        <v>896</v>
      </c>
      <c r="Q585" s="27" t="s">
        <v>897</v>
      </c>
      <c r="R585" s="1">
        <v>46763</v>
      </c>
      <c r="S585" s="27" t="s">
        <v>1074</v>
      </c>
      <c r="T585" s="27" t="s">
        <v>1281</v>
      </c>
      <c r="U585" s="26"/>
      <c r="V585" s="27" t="s">
        <v>900</v>
      </c>
      <c r="W585" s="26"/>
      <c r="X585" s="28">
        <v>1.91</v>
      </c>
      <c r="Y585" s="29">
        <v>0.5</v>
      </c>
      <c r="Z585" s="29">
        <v>0.5</v>
      </c>
      <c r="AA585" s="26"/>
      <c r="AB585" s="26"/>
      <c r="AC585" s="27" t="s">
        <v>901</v>
      </c>
      <c r="AF585" t="s">
        <v>1283</v>
      </c>
      <c r="AG585" t="s">
        <v>1075</v>
      </c>
      <c r="AH585" t="s">
        <v>903</v>
      </c>
      <c r="AI585" t="s">
        <v>1076</v>
      </c>
      <c r="AJ585" s="15">
        <f>VLOOKUP(Tabla1[[#This Row],[CPC]],[1]Sheet3!$A:$D,4,0)</f>
        <v>0.49999979501453512</v>
      </c>
      <c r="AK585" t="s">
        <v>908</v>
      </c>
    </row>
    <row r="586" spans="1:37" hidden="1" x14ac:dyDescent="0.25">
      <c r="A586" s="1"/>
      <c r="B586" s="21">
        <v>45345</v>
      </c>
      <c r="C586" s="22"/>
      <c r="D586" s="22"/>
      <c r="E586" s="22"/>
      <c r="F586" s="22"/>
      <c r="G586" s="23" t="s">
        <v>1284</v>
      </c>
      <c r="H586" s="23" t="s">
        <v>850</v>
      </c>
      <c r="I586" s="23" t="s">
        <v>894</v>
      </c>
      <c r="J586" s="23" t="s">
        <v>285</v>
      </c>
      <c r="K586" s="41" t="s">
        <v>285</v>
      </c>
      <c r="L586" s="23" t="s">
        <v>901</v>
      </c>
      <c r="M586" s="23" t="s">
        <v>905</v>
      </c>
      <c r="N586" s="23" t="s">
        <v>285</v>
      </c>
      <c r="O586" s="23" t="s">
        <v>86</v>
      </c>
      <c r="P586" s="41" t="s">
        <v>896</v>
      </c>
      <c r="Q586" s="23" t="s">
        <v>897</v>
      </c>
      <c r="R586" s="21">
        <v>46764</v>
      </c>
      <c r="S586" s="23" t="s">
        <v>850</v>
      </c>
      <c r="T586" s="23" t="s">
        <v>1279</v>
      </c>
      <c r="U586" s="22"/>
      <c r="V586" s="23" t="s">
        <v>900</v>
      </c>
      <c r="W586" s="22"/>
      <c r="X586" s="24">
        <v>1.1499999999999999</v>
      </c>
      <c r="Y586" s="25">
        <v>0.5</v>
      </c>
      <c r="Z586" s="25">
        <v>0.5</v>
      </c>
      <c r="AA586" s="22"/>
      <c r="AB586" s="22"/>
      <c r="AC586" s="23" t="s">
        <v>901</v>
      </c>
      <c r="AD586" s="17"/>
      <c r="AE586" s="17"/>
      <c r="AF586" s="17" t="s">
        <v>1283</v>
      </c>
      <c r="AG586" s="17" t="s">
        <v>1075</v>
      </c>
      <c r="AH586" t="s">
        <v>903</v>
      </c>
      <c r="AI586" t="s">
        <v>1076</v>
      </c>
      <c r="AJ586" s="15">
        <f>VLOOKUP(Tabla1[[#This Row],[CPC]],[1]Sheet3!$A:$D,4,0)</f>
        <v>0.50000655163094665</v>
      </c>
      <c r="AK586" t="s">
        <v>908</v>
      </c>
    </row>
    <row r="587" spans="1:37" hidden="1" x14ac:dyDescent="0.25">
      <c r="A587" s="1"/>
      <c r="B587" s="1">
        <v>45347</v>
      </c>
      <c r="C587" s="26"/>
      <c r="D587" s="26"/>
      <c r="E587" s="26"/>
      <c r="F587" s="26"/>
      <c r="G587" s="27" t="s">
        <v>1285</v>
      </c>
      <c r="H587" s="27" t="s">
        <v>1286</v>
      </c>
      <c r="I587" s="27" t="s">
        <v>894</v>
      </c>
      <c r="J587" s="27" t="s">
        <v>12</v>
      </c>
      <c r="K587" s="39" t="s">
        <v>5</v>
      </c>
      <c r="L587" s="27" t="s">
        <v>901</v>
      </c>
      <c r="M587" s="27" t="s">
        <v>905</v>
      </c>
      <c r="N587" s="27" t="s">
        <v>5</v>
      </c>
      <c r="O587" s="27" t="s">
        <v>86</v>
      </c>
      <c r="P587" s="39" t="s">
        <v>896</v>
      </c>
      <c r="Q587" s="27" t="s">
        <v>897</v>
      </c>
      <c r="R587" s="1">
        <v>46765</v>
      </c>
      <c r="S587" s="27" t="s">
        <v>1124</v>
      </c>
      <c r="T587" s="27" t="s">
        <v>917</v>
      </c>
      <c r="U587" s="1">
        <v>54</v>
      </c>
      <c r="V587" s="27" t="s">
        <v>900</v>
      </c>
      <c r="W587" s="26"/>
      <c r="X587" s="28">
        <v>0.99</v>
      </c>
      <c r="Y587" s="29">
        <v>0.5</v>
      </c>
      <c r="Z587" s="29">
        <v>0.5</v>
      </c>
      <c r="AA587" s="26"/>
      <c r="AB587" s="26"/>
      <c r="AC587" s="27" t="s">
        <v>901</v>
      </c>
      <c r="AF587" t="s">
        <v>862</v>
      </c>
      <c r="AG587" t="s">
        <v>1075</v>
      </c>
      <c r="AH587" t="s">
        <v>903</v>
      </c>
      <c r="AI587" t="s">
        <v>1076</v>
      </c>
      <c r="AJ587" s="15">
        <f>VLOOKUP(Tabla1[[#This Row],[CPC]],[1]Sheet3!$A:$D,4,0)</f>
        <v>0.49999996711101879</v>
      </c>
      <c r="AK587" t="s">
        <v>908</v>
      </c>
    </row>
    <row r="588" spans="1:37" hidden="1" x14ac:dyDescent="0.25">
      <c r="A588" s="1"/>
      <c r="B588" s="21">
        <v>45349</v>
      </c>
      <c r="C588" s="22"/>
      <c r="D588" s="22"/>
      <c r="E588" s="22"/>
      <c r="F588" s="22"/>
      <c r="G588" s="23" t="s">
        <v>1287</v>
      </c>
      <c r="H588" s="23" t="s">
        <v>1288</v>
      </c>
      <c r="I588" s="23" t="s">
        <v>894</v>
      </c>
      <c r="J588" s="23" t="s">
        <v>12</v>
      </c>
      <c r="K588" s="41" t="s">
        <v>5</v>
      </c>
      <c r="L588" s="23" t="s">
        <v>901</v>
      </c>
      <c r="M588" s="23" t="s">
        <v>905</v>
      </c>
      <c r="N588" s="23" t="s">
        <v>5</v>
      </c>
      <c r="O588" s="23" t="s">
        <v>86</v>
      </c>
      <c r="P588" s="41" t="s">
        <v>896</v>
      </c>
      <c r="Q588" s="23" t="s">
        <v>897</v>
      </c>
      <c r="R588" s="21">
        <v>46776</v>
      </c>
      <c r="S588" s="23" t="s">
        <v>1126</v>
      </c>
      <c r="T588" s="23" t="s">
        <v>917</v>
      </c>
      <c r="U588" s="21">
        <v>54</v>
      </c>
      <c r="V588" s="23" t="s">
        <v>900</v>
      </c>
      <c r="W588" s="22"/>
      <c r="X588" s="24">
        <v>0.99</v>
      </c>
      <c r="Y588" s="25">
        <v>0.5</v>
      </c>
      <c r="Z588" s="25">
        <v>0.5</v>
      </c>
      <c r="AA588" s="22"/>
      <c r="AB588" s="22"/>
      <c r="AC588" s="23" t="s">
        <v>901</v>
      </c>
      <c r="AD588" s="17"/>
      <c r="AE588" s="17"/>
      <c r="AF588" s="17" t="s">
        <v>862</v>
      </c>
      <c r="AG588" s="17" t="s">
        <v>1075</v>
      </c>
      <c r="AH588" t="s">
        <v>903</v>
      </c>
      <c r="AI588" t="s">
        <v>1076</v>
      </c>
      <c r="AJ588" s="15">
        <f>VLOOKUP(Tabla1[[#This Row],[CPC]],[1]Sheet3!$A:$D,4,0)</f>
        <v>0.50000058173153583</v>
      </c>
      <c r="AK588" t="s">
        <v>908</v>
      </c>
    </row>
    <row r="589" spans="1:37" hidden="1" x14ac:dyDescent="0.25">
      <c r="A589" s="1"/>
      <c r="B589" s="1">
        <v>45351</v>
      </c>
      <c r="C589" s="26"/>
      <c r="D589" s="26"/>
      <c r="E589" s="26"/>
      <c r="F589" s="26"/>
      <c r="G589" s="27" t="s">
        <v>1289</v>
      </c>
      <c r="H589" s="27" t="s">
        <v>1290</v>
      </c>
      <c r="I589" s="27" t="s">
        <v>894</v>
      </c>
      <c r="J589" s="27" t="s">
        <v>50</v>
      </c>
      <c r="K589" s="39" t="s">
        <v>36</v>
      </c>
      <c r="L589" s="27" t="s">
        <v>901</v>
      </c>
      <c r="M589" s="27" t="s">
        <v>905</v>
      </c>
      <c r="N589" s="27" t="s">
        <v>36</v>
      </c>
      <c r="O589" s="27" t="s">
        <v>86</v>
      </c>
      <c r="P589" s="39" t="s">
        <v>896</v>
      </c>
      <c r="Q589" s="27" t="s">
        <v>897</v>
      </c>
      <c r="R589" s="1">
        <v>46777</v>
      </c>
      <c r="S589" s="27" t="s">
        <v>1290</v>
      </c>
      <c r="T589" s="27" t="s">
        <v>1281</v>
      </c>
      <c r="U589" s="26"/>
      <c r="V589" s="27" t="s">
        <v>900</v>
      </c>
      <c r="W589" s="26"/>
      <c r="X589" s="28">
        <v>1.91</v>
      </c>
      <c r="Y589" s="29">
        <v>0.5</v>
      </c>
      <c r="Z589" s="29">
        <v>0.5</v>
      </c>
      <c r="AA589" s="26"/>
      <c r="AB589" s="26"/>
      <c r="AC589" s="27" t="s">
        <v>901</v>
      </c>
      <c r="AF589" t="s">
        <v>861</v>
      </c>
      <c r="AG589" t="s">
        <v>1075</v>
      </c>
      <c r="AH589" t="s">
        <v>903</v>
      </c>
      <c r="AI589" t="s">
        <v>1076</v>
      </c>
      <c r="AJ589" s="15">
        <f>VLOOKUP(Tabla1[[#This Row],[CPC]],[1]Sheet3!$A:$D,4,0)</f>
        <v>0.50000017345543846</v>
      </c>
      <c r="AK589" t="s">
        <v>908</v>
      </c>
    </row>
    <row r="590" spans="1:37" hidden="1" x14ac:dyDescent="0.25">
      <c r="A590" s="1"/>
      <c r="B590" s="21">
        <v>45353</v>
      </c>
      <c r="C590" s="22"/>
      <c r="D590" s="22"/>
      <c r="E590" s="22"/>
      <c r="F590" s="22"/>
      <c r="G590" s="23" t="s">
        <v>1289</v>
      </c>
      <c r="H590" s="23" t="s">
        <v>1290</v>
      </c>
      <c r="I590" s="23" t="s">
        <v>894</v>
      </c>
      <c r="J590" s="23" t="s">
        <v>50</v>
      </c>
      <c r="K590" s="41" t="s">
        <v>36</v>
      </c>
      <c r="L590" s="23" t="s">
        <v>901</v>
      </c>
      <c r="M590" s="23" t="s">
        <v>905</v>
      </c>
      <c r="N590" s="23" t="s">
        <v>36</v>
      </c>
      <c r="O590" s="23" t="s">
        <v>86</v>
      </c>
      <c r="P590" s="41" t="s">
        <v>896</v>
      </c>
      <c r="Q590" s="23" t="s">
        <v>897</v>
      </c>
      <c r="R590" s="21">
        <v>46778</v>
      </c>
      <c r="S590" s="23" t="s">
        <v>1290</v>
      </c>
      <c r="T590" s="23" t="s">
        <v>1281</v>
      </c>
      <c r="U590" s="22"/>
      <c r="V590" s="23" t="s">
        <v>900</v>
      </c>
      <c r="W590" s="22"/>
      <c r="X590" s="24">
        <v>1.91</v>
      </c>
      <c r="Y590" s="25">
        <v>0.4</v>
      </c>
      <c r="Z590" s="25">
        <v>0.6</v>
      </c>
      <c r="AA590" s="22"/>
      <c r="AB590" s="22"/>
      <c r="AC590" s="23" t="s">
        <v>901</v>
      </c>
      <c r="AD590" s="17"/>
      <c r="AE590" s="17"/>
      <c r="AF590" s="17" t="s">
        <v>861</v>
      </c>
      <c r="AG590" t="s">
        <v>1075</v>
      </c>
      <c r="AH590" t="s">
        <v>903</v>
      </c>
      <c r="AI590" t="s">
        <v>1076</v>
      </c>
      <c r="AJ590" s="15">
        <f>VLOOKUP(Tabla1[[#This Row],[CPC]],[1]Sheet3!$A:$D,4,0)</f>
        <v>0.39994214177533977</v>
      </c>
      <c r="AK590" t="s">
        <v>908</v>
      </c>
    </row>
    <row r="591" spans="1:37" hidden="1" x14ac:dyDescent="0.25">
      <c r="A591" s="14"/>
      <c r="B591" s="1">
        <v>45355</v>
      </c>
      <c r="C591" s="26"/>
      <c r="D591" s="26"/>
      <c r="E591" s="26"/>
      <c r="F591" s="26"/>
      <c r="G591" s="27" t="s">
        <v>1291</v>
      </c>
      <c r="H591" s="27" t="s">
        <v>24</v>
      </c>
      <c r="I591" s="27" t="s">
        <v>894</v>
      </c>
      <c r="J591" s="27" t="s">
        <v>12</v>
      </c>
      <c r="K591" s="39" t="s">
        <v>5</v>
      </c>
      <c r="L591" s="27" t="s">
        <v>901</v>
      </c>
      <c r="M591" s="27" t="s">
        <v>905</v>
      </c>
      <c r="N591" s="27" t="s">
        <v>5</v>
      </c>
      <c r="O591" s="27" t="s">
        <v>305</v>
      </c>
      <c r="P591" s="39" t="s">
        <v>896</v>
      </c>
      <c r="Q591" s="27" t="s">
        <v>897</v>
      </c>
      <c r="R591" s="1">
        <v>46779</v>
      </c>
      <c r="S591" s="27" t="s">
        <v>1140</v>
      </c>
      <c r="T591" s="27" t="s">
        <v>1280</v>
      </c>
      <c r="U591" s="26"/>
      <c r="V591" s="27" t="s">
        <v>900</v>
      </c>
      <c r="W591" s="26"/>
      <c r="X591" s="28">
        <v>1.43</v>
      </c>
      <c r="Y591" s="29">
        <v>0.6</v>
      </c>
      <c r="Z591" s="29">
        <v>0.4</v>
      </c>
      <c r="AA591" s="26"/>
      <c r="AB591" s="26"/>
      <c r="AC591" s="27" t="s">
        <v>901</v>
      </c>
      <c r="AF591" t="s">
        <v>862</v>
      </c>
      <c r="AG591" t="s">
        <v>1040</v>
      </c>
      <c r="AH591" t="s">
        <v>903</v>
      </c>
      <c r="AJ591" s="15">
        <f>VLOOKUP(Tabla1[[#This Row],[CPC]],[1]Sheet3!$A:$D,4,0)</f>
        <v>0.60000120465236828</v>
      </c>
      <c r="AK591" t="s">
        <v>908</v>
      </c>
    </row>
    <row r="592" spans="1:37" hidden="1" x14ac:dyDescent="0.25">
      <c r="A592" s="14"/>
      <c r="B592" s="21">
        <v>45357</v>
      </c>
      <c r="C592" s="22"/>
      <c r="D592" s="22"/>
      <c r="E592" s="22"/>
      <c r="F592" s="22"/>
      <c r="G592" s="23" t="s">
        <v>1291</v>
      </c>
      <c r="H592" s="23" t="s">
        <v>24</v>
      </c>
      <c r="I592" s="23" t="s">
        <v>894</v>
      </c>
      <c r="J592" s="23" t="s">
        <v>12</v>
      </c>
      <c r="K592" s="41" t="s">
        <v>5</v>
      </c>
      <c r="L592" s="23" t="s">
        <v>901</v>
      </c>
      <c r="M592" s="23" t="s">
        <v>905</v>
      </c>
      <c r="N592" s="23" t="s">
        <v>5</v>
      </c>
      <c r="O592" s="23" t="s">
        <v>305</v>
      </c>
      <c r="P592" s="41" t="s">
        <v>896</v>
      </c>
      <c r="Q592" s="23" t="s">
        <v>897</v>
      </c>
      <c r="R592" s="21">
        <v>46780</v>
      </c>
      <c r="S592" s="23" t="s">
        <v>1140</v>
      </c>
      <c r="T592" s="23" t="s">
        <v>1280</v>
      </c>
      <c r="U592" s="22"/>
      <c r="V592" s="23" t="s">
        <v>900</v>
      </c>
      <c r="W592" s="22"/>
      <c r="X592" s="24">
        <v>1.43</v>
      </c>
      <c r="Y592" s="25">
        <v>0.5</v>
      </c>
      <c r="Z592" s="25">
        <v>0.5</v>
      </c>
      <c r="AA592" s="22"/>
      <c r="AB592" s="22"/>
      <c r="AC592" s="23" t="s">
        <v>901</v>
      </c>
      <c r="AD592" s="17"/>
      <c r="AE592" s="17"/>
      <c r="AF592" s="17" t="s">
        <v>862</v>
      </c>
      <c r="AG592" s="17" t="s">
        <v>1040</v>
      </c>
      <c r="AH592" t="s">
        <v>903</v>
      </c>
      <c r="AJ592" s="15">
        <f>VLOOKUP(Tabla1[[#This Row],[CPC]],[1]Sheet3!$A:$D,4,0)</f>
        <v>0.50349650349650354</v>
      </c>
      <c r="AK592" t="s">
        <v>908</v>
      </c>
    </row>
    <row r="593" spans="1:37" hidden="1" x14ac:dyDescent="0.25">
      <c r="A593" s="1"/>
      <c r="B593" s="14">
        <v>45359</v>
      </c>
      <c r="C593" s="26"/>
      <c r="D593" s="26"/>
      <c r="E593" s="26"/>
      <c r="F593" s="26"/>
      <c r="G593" s="76" t="s">
        <v>1292</v>
      </c>
      <c r="H593" s="76" t="s">
        <v>109</v>
      </c>
      <c r="I593" s="76" t="s">
        <v>894</v>
      </c>
      <c r="J593" s="76" t="s">
        <v>12</v>
      </c>
      <c r="K593" s="39" t="s">
        <v>36</v>
      </c>
      <c r="L593" s="76" t="s">
        <v>901</v>
      </c>
      <c r="M593" s="76" t="s">
        <v>905</v>
      </c>
      <c r="N593" s="76" t="s">
        <v>36</v>
      </c>
      <c r="O593" s="76" t="s">
        <v>305</v>
      </c>
      <c r="P593" s="39" t="s">
        <v>896</v>
      </c>
      <c r="Q593" s="76" t="s">
        <v>897</v>
      </c>
      <c r="R593" s="14">
        <v>46781</v>
      </c>
      <c r="S593" s="76" t="s">
        <v>109</v>
      </c>
      <c r="T593" s="76" t="s">
        <v>1280</v>
      </c>
      <c r="U593" s="26"/>
      <c r="V593" s="76" t="s">
        <v>900</v>
      </c>
      <c r="W593" s="26"/>
      <c r="X593" s="89">
        <v>1.43</v>
      </c>
      <c r="Y593" s="90">
        <v>0.5</v>
      </c>
      <c r="Z593" s="90">
        <v>0.5</v>
      </c>
      <c r="AA593" s="26"/>
      <c r="AB593" s="26"/>
      <c r="AC593" s="76" t="s">
        <v>901</v>
      </c>
      <c r="AF593" t="s">
        <v>862</v>
      </c>
      <c r="AG593" t="s">
        <v>1040</v>
      </c>
      <c r="AH593" t="s">
        <v>903</v>
      </c>
      <c r="AJ593" s="15">
        <f>VLOOKUP(Tabla1[[#This Row],[CPC]],[1]Sheet3!$A:$D,4,0)</f>
        <v>0.50035258858788279</v>
      </c>
      <c r="AK593" t="s">
        <v>908</v>
      </c>
    </row>
    <row r="594" spans="1:37" hidden="1" x14ac:dyDescent="0.25">
      <c r="A594" s="1"/>
      <c r="B594" s="62">
        <v>45371</v>
      </c>
      <c r="C594" s="63"/>
      <c r="D594" s="63"/>
      <c r="E594" s="63"/>
      <c r="F594" s="63"/>
      <c r="G594" s="64" t="s">
        <v>1293</v>
      </c>
      <c r="H594" s="64" t="s">
        <v>1294</v>
      </c>
      <c r="I594" s="85" t="s">
        <v>894</v>
      </c>
      <c r="J594" s="23" t="s">
        <v>36</v>
      </c>
      <c r="K594" s="23" t="s">
        <v>1119</v>
      </c>
      <c r="L594" s="64" t="s">
        <v>901</v>
      </c>
      <c r="M594" s="85" t="s">
        <v>905</v>
      </c>
      <c r="N594" s="64" t="s">
        <v>36</v>
      </c>
      <c r="O594" s="64" t="s">
        <v>1295</v>
      </c>
      <c r="P594" s="41" t="s">
        <v>896</v>
      </c>
      <c r="Q594" s="85" t="s">
        <v>897</v>
      </c>
      <c r="R594" s="62">
        <v>46797</v>
      </c>
      <c r="S594" s="64" t="s">
        <v>1296</v>
      </c>
      <c r="T594" s="64" t="s">
        <v>1186</v>
      </c>
      <c r="U594" s="62">
        <v>150</v>
      </c>
      <c r="V594" s="27" t="s">
        <v>907</v>
      </c>
      <c r="W594" s="63"/>
      <c r="X594" s="86">
        <v>6.6</v>
      </c>
      <c r="Y594" s="87">
        <v>0.78</v>
      </c>
      <c r="Z594" s="87">
        <v>0.22</v>
      </c>
      <c r="AA594" s="17"/>
      <c r="AB594" s="17"/>
      <c r="AC594" s="17"/>
      <c r="AD594" s="17"/>
      <c r="AE594" s="17"/>
      <c r="AF594" s="17" t="s">
        <v>862</v>
      </c>
      <c r="AG594" s="17" t="s">
        <v>1040</v>
      </c>
      <c r="AH594" t="s">
        <v>903</v>
      </c>
      <c r="AJ594" s="15">
        <f>VLOOKUP(Tabla1[[#This Row],[CPC]],[1]Sheet3!$A:$D,4,0)</f>
        <v>0.78012157503175328</v>
      </c>
      <c r="AK594" t="s">
        <v>908</v>
      </c>
    </row>
    <row r="595" spans="1:37" x14ac:dyDescent="0.25">
      <c r="A595" s="14"/>
      <c r="B595" s="1">
        <v>45389</v>
      </c>
      <c r="C595" s="26"/>
      <c r="D595" s="26"/>
      <c r="E595" s="26"/>
      <c r="F595" s="26"/>
      <c r="G595" s="27" t="s">
        <v>1297</v>
      </c>
      <c r="H595" s="27" t="s">
        <v>1298</v>
      </c>
      <c r="I595" s="27" t="s">
        <v>894</v>
      </c>
      <c r="J595" s="38" t="s">
        <v>838</v>
      </c>
      <c r="K595" s="41" t="s">
        <v>838</v>
      </c>
      <c r="L595" s="27" t="s">
        <v>901</v>
      </c>
      <c r="M595" s="27" t="s">
        <v>905</v>
      </c>
      <c r="N595" s="38" t="s">
        <v>905</v>
      </c>
      <c r="O595" s="27" t="s">
        <v>839</v>
      </c>
      <c r="P595" s="39" t="s">
        <v>896</v>
      </c>
      <c r="Q595" s="27" t="s">
        <v>897</v>
      </c>
      <c r="R595" s="1">
        <v>46816</v>
      </c>
      <c r="S595" s="27" t="s">
        <v>1299</v>
      </c>
      <c r="T595" s="27" t="s">
        <v>1300</v>
      </c>
      <c r="U595" s="1">
        <v>0</v>
      </c>
      <c r="V595" s="27" t="s">
        <v>907</v>
      </c>
      <c r="W595" s="26"/>
      <c r="X595" s="28">
        <v>5.76</v>
      </c>
      <c r="Y595" s="29">
        <v>0.88</v>
      </c>
      <c r="Z595" s="29">
        <v>0.12</v>
      </c>
      <c r="AA595" s="26"/>
      <c r="AB595" s="26"/>
      <c r="AC595" s="27" t="s">
        <v>901</v>
      </c>
      <c r="AF595" t="s">
        <v>43</v>
      </c>
      <c r="AG595" s="17" t="s">
        <v>902</v>
      </c>
      <c r="AH595" t="s">
        <v>1175</v>
      </c>
      <c r="AJ595" s="15"/>
      <c r="AK595" t="s">
        <v>908</v>
      </c>
    </row>
    <row r="596" spans="1:37" x14ac:dyDescent="0.25">
      <c r="A596" s="1"/>
      <c r="B596" s="21">
        <v>45391</v>
      </c>
      <c r="C596" s="22"/>
      <c r="D596" s="22"/>
      <c r="E596" s="22"/>
      <c r="F596" s="22"/>
      <c r="G596" s="23" t="s">
        <v>1301</v>
      </c>
      <c r="H596" s="23" t="s">
        <v>1302</v>
      </c>
      <c r="I596" s="23" t="s">
        <v>894</v>
      </c>
      <c r="J596" s="38" t="s">
        <v>838</v>
      </c>
      <c r="K596" s="41" t="s">
        <v>838</v>
      </c>
      <c r="L596" s="23" t="s">
        <v>901</v>
      </c>
      <c r="M596" s="23" t="s">
        <v>905</v>
      </c>
      <c r="N596" s="38" t="s">
        <v>905</v>
      </c>
      <c r="O596" s="23" t="s">
        <v>839</v>
      </c>
      <c r="P596" s="41" t="s">
        <v>896</v>
      </c>
      <c r="Q596" s="23" t="s">
        <v>897</v>
      </c>
      <c r="R596" s="21">
        <v>46817</v>
      </c>
      <c r="S596" s="23" t="s">
        <v>1303</v>
      </c>
      <c r="T596" s="23" t="s">
        <v>1090</v>
      </c>
      <c r="U596" s="21">
        <v>0</v>
      </c>
      <c r="V596" s="27" t="s">
        <v>907</v>
      </c>
      <c r="W596" s="22"/>
      <c r="X596" s="24">
        <v>0</v>
      </c>
      <c r="Y596" s="25">
        <v>0</v>
      </c>
      <c r="Z596" s="25">
        <v>0</v>
      </c>
      <c r="AA596" s="22"/>
      <c r="AB596" s="22"/>
      <c r="AC596" s="23" t="s">
        <v>901</v>
      </c>
      <c r="AD596" s="17"/>
      <c r="AE596" s="17"/>
      <c r="AF596" s="17" t="s">
        <v>43</v>
      </c>
      <c r="AG596" s="17" t="s">
        <v>902</v>
      </c>
      <c r="AH596" t="s">
        <v>903</v>
      </c>
      <c r="AJ596" s="15"/>
      <c r="AK596" t="s">
        <v>908</v>
      </c>
    </row>
    <row r="597" spans="1:37" x14ac:dyDescent="0.25">
      <c r="A597" s="1"/>
      <c r="B597" s="14">
        <v>45393</v>
      </c>
      <c r="C597" s="26"/>
      <c r="D597" s="26"/>
      <c r="E597" s="26"/>
      <c r="F597" s="26"/>
      <c r="G597" s="76" t="s">
        <v>1304</v>
      </c>
      <c r="H597" s="76" t="s">
        <v>1302</v>
      </c>
      <c r="I597" s="76" t="s">
        <v>894</v>
      </c>
      <c r="J597" s="38" t="s">
        <v>838</v>
      </c>
      <c r="K597" s="41" t="s">
        <v>838</v>
      </c>
      <c r="L597" s="76" t="s">
        <v>901</v>
      </c>
      <c r="M597" s="76" t="s">
        <v>905</v>
      </c>
      <c r="N597" s="38" t="s">
        <v>905</v>
      </c>
      <c r="O597" s="76" t="s">
        <v>839</v>
      </c>
      <c r="P597" s="39" t="s">
        <v>896</v>
      </c>
      <c r="Q597" s="76" t="s">
        <v>897</v>
      </c>
      <c r="R597" s="14">
        <v>46818</v>
      </c>
      <c r="S597" s="76" t="s">
        <v>1303</v>
      </c>
      <c r="T597" s="76" t="s">
        <v>1090</v>
      </c>
      <c r="U597" s="14">
        <v>0</v>
      </c>
      <c r="V597" s="27" t="s">
        <v>907</v>
      </c>
      <c r="W597" s="26"/>
      <c r="X597" s="89">
        <v>0</v>
      </c>
      <c r="Y597" s="90">
        <v>0</v>
      </c>
      <c r="Z597" s="90">
        <v>0</v>
      </c>
      <c r="AA597" s="26"/>
      <c r="AB597" s="26"/>
      <c r="AC597" s="76" t="s">
        <v>901</v>
      </c>
      <c r="AF597" t="s">
        <v>43</v>
      </c>
      <c r="AG597" s="17" t="s">
        <v>902</v>
      </c>
      <c r="AH597" t="s">
        <v>903</v>
      </c>
      <c r="AJ597" s="15"/>
      <c r="AK597" t="s">
        <v>908</v>
      </c>
    </row>
    <row r="598" spans="1:37" hidden="1" x14ac:dyDescent="0.25">
      <c r="A598" s="14"/>
      <c r="B598" s="21">
        <v>45431</v>
      </c>
      <c r="C598" s="22"/>
      <c r="D598" s="22"/>
      <c r="E598" s="22"/>
      <c r="F598" s="22"/>
      <c r="G598" s="23" t="s">
        <v>1305</v>
      </c>
      <c r="H598" s="23" t="s">
        <v>1306</v>
      </c>
      <c r="I598" s="23" t="s">
        <v>894</v>
      </c>
      <c r="J598" s="23" t="s">
        <v>280</v>
      </c>
      <c r="K598" s="41" t="s">
        <v>280</v>
      </c>
      <c r="L598" s="23" t="s">
        <v>901</v>
      </c>
      <c r="M598" s="23" t="s">
        <v>280</v>
      </c>
      <c r="N598" s="23" t="s">
        <v>901</v>
      </c>
      <c r="O598" s="23" t="s">
        <v>307</v>
      </c>
      <c r="P598" s="41" t="s">
        <v>896</v>
      </c>
      <c r="Q598" s="23" t="s">
        <v>897</v>
      </c>
      <c r="R598" s="21">
        <v>46837</v>
      </c>
      <c r="S598" s="23" t="s">
        <v>1306</v>
      </c>
      <c r="T598" s="23" t="s">
        <v>1307</v>
      </c>
      <c r="U598" s="21">
        <v>0</v>
      </c>
      <c r="V598" s="23" t="s">
        <v>900</v>
      </c>
      <c r="W598" s="21">
        <v>0</v>
      </c>
      <c r="X598" s="24">
        <v>2.89</v>
      </c>
      <c r="Y598" s="25">
        <v>0.65</v>
      </c>
      <c r="Z598" s="25">
        <v>0.35</v>
      </c>
      <c r="AA598" s="25">
        <v>0.35</v>
      </c>
      <c r="AB598" s="22"/>
      <c r="AC598" s="22"/>
      <c r="AD598" s="23" t="s">
        <v>901</v>
      </c>
      <c r="AE598" s="23" t="s">
        <v>901</v>
      </c>
      <c r="AF598" s="17" t="s">
        <v>280</v>
      </c>
      <c r="AG598" s="17" t="s">
        <v>902</v>
      </c>
      <c r="AH598" t="s">
        <v>903</v>
      </c>
      <c r="AJ598" s="15"/>
      <c r="AK598" t="s">
        <v>908</v>
      </c>
    </row>
    <row r="599" spans="1:37" hidden="1" x14ac:dyDescent="0.25">
      <c r="A599" s="1"/>
      <c r="B599" s="1">
        <v>45433</v>
      </c>
      <c r="C599" s="26"/>
      <c r="D599" s="26"/>
      <c r="E599" s="26"/>
      <c r="F599" s="26"/>
      <c r="G599" s="27" t="s">
        <v>1308</v>
      </c>
      <c r="H599" s="27" t="s">
        <v>1309</v>
      </c>
      <c r="I599" s="27" t="s">
        <v>894</v>
      </c>
      <c r="J599" s="27" t="s">
        <v>36</v>
      </c>
      <c r="K599" s="39" t="s">
        <v>36</v>
      </c>
      <c r="L599" s="27" t="s">
        <v>901</v>
      </c>
      <c r="M599" s="27" t="s">
        <v>905</v>
      </c>
      <c r="N599" s="27" t="s">
        <v>36</v>
      </c>
      <c r="O599" s="27" t="s">
        <v>1310</v>
      </c>
      <c r="P599" s="39" t="s">
        <v>896</v>
      </c>
      <c r="Q599" s="27" t="s">
        <v>897</v>
      </c>
      <c r="R599" s="1">
        <v>46838</v>
      </c>
      <c r="S599" s="27" t="s">
        <v>1309</v>
      </c>
      <c r="T599" s="27" t="s">
        <v>1311</v>
      </c>
      <c r="U599" s="1">
        <v>0</v>
      </c>
      <c r="V599" s="27" t="s">
        <v>907</v>
      </c>
      <c r="W599" s="1">
        <v>0</v>
      </c>
      <c r="X599" s="28">
        <v>6.6</v>
      </c>
      <c r="Y599" s="29">
        <v>0.85</v>
      </c>
      <c r="Z599" s="29">
        <v>0.15</v>
      </c>
      <c r="AA599" s="29">
        <v>0.15</v>
      </c>
      <c r="AB599" s="26"/>
      <c r="AC599" s="26"/>
      <c r="AD599" s="27" t="s">
        <v>901</v>
      </c>
      <c r="AE599" s="27" t="s">
        <v>901</v>
      </c>
      <c r="AF599" t="s">
        <v>43</v>
      </c>
      <c r="AG599" t="s">
        <v>1040</v>
      </c>
      <c r="AH599" t="s">
        <v>903</v>
      </c>
      <c r="AJ599" s="15">
        <f>VLOOKUP(Tabla1[[#This Row],[CPC]],[1]Sheet3!$A:$D,4,0)</f>
        <v>0.85</v>
      </c>
      <c r="AK599" t="s">
        <v>908</v>
      </c>
    </row>
    <row r="600" spans="1:37" hidden="1" x14ac:dyDescent="0.25">
      <c r="A600" s="1"/>
      <c r="B600" s="21">
        <v>45489</v>
      </c>
      <c r="C600" s="22"/>
      <c r="D600" s="22"/>
      <c r="E600" s="22"/>
      <c r="F600" s="22"/>
      <c r="G600" s="23" t="s">
        <v>1312</v>
      </c>
      <c r="H600" s="23" t="s">
        <v>1313</v>
      </c>
      <c r="I600" s="23" t="s">
        <v>894</v>
      </c>
      <c r="J600" s="23" t="s">
        <v>901</v>
      </c>
      <c r="K600" s="23" t="s">
        <v>257</v>
      </c>
      <c r="L600" s="23" t="s">
        <v>901</v>
      </c>
      <c r="M600" s="23" t="s">
        <v>905</v>
      </c>
      <c r="N600" s="23" t="s">
        <v>257</v>
      </c>
      <c r="O600" s="23" t="s">
        <v>122</v>
      </c>
      <c r="P600" s="23" t="s">
        <v>896</v>
      </c>
      <c r="Q600" s="23" t="s">
        <v>897</v>
      </c>
      <c r="R600" s="21">
        <v>46876</v>
      </c>
      <c r="S600" s="23" t="s">
        <v>1313</v>
      </c>
      <c r="T600" s="23" t="s">
        <v>1314</v>
      </c>
      <c r="U600" s="21">
        <v>0</v>
      </c>
      <c r="V600" s="27" t="s">
        <v>907</v>
      </c>
      <c r="W600" s="21">
        <v>0</v>
      </c>
      <c r="X600" s="24">
        <v>7.02</v>
      </c>
      <c r="Y600" s="25">
        <v>0.21</v>
      </c>
      <c r="Z600" s="25">
        <v>0.64500000000000002</v>
      </c>
      <c r="AA600" s="25">
        <v>0.35499999999999998</v>
      </c>
      <c r="AB600" s="22"/>
      <c r="AC600" s="22"/>
      <c r="AD600" s="23" t="s">
        <v>901</v>
      </c>
      <c r="AE600" s="23" t="s">
        <v>901</v>
      </c>
      <c r="AF600" t="s">
        <v>43</v>
      </c>
      <c r="AG600" s="23" t="s">
        <v>1040</v>
      </c>
      <c r="AH600" t="s">
        <v>903</v>
      </c>
      <c r="AJ600" s="15">
        <f>VLOOKUP(Tabla1[[#This Row],[CPC]],[1]Sheet3!$A:$D,4,0)</f>
        <v>0.64499807226619055</v>
      </c>
      <c r="AK600" t="s">
        <v>908</v>
      </c>
    </row>
    <row r="601" spans="1:37" hidden="1" x14ac:dyDescent="0.25">
      <c r="A601" s="1"/>
      <c r="B601" s="14">
        <v>45449</v>
      </c>
      <c r="C601" s="14">
        <v>44950</v>
      </c>
      <c r="D601" s="26"/>
      <c r="E601" s="26"/>
      <c r="F601" s="26"/>
      <c r="G601" s="76" t="s">
        <v>1315</v>
      </c>
      <c r="H601" s="76" t="s">
        <v>1316</v>
      </c>
      <c r="I601" s="76" t="s">
        <v>894</v>
      </c>
      <c r="J601" s="76" t="s">
        <v>280</v>
      </c>
      <c r="K601" s="39" t="s">
        <v>280</v>
      </c>
      <c r="L601" s="76" t="s">
        <v>901</v>
      </c>
      <c r="M601" s="76" t="s">
        <v>280</v>
      </c>
      <c r="N601" s="76" t="s">
        <v>901</v>
      </c>
      <c r="O601" s="76" t="s">
        <v>1213</v>
      </c>
      <c r="P601" s="39" t="s">
        <v>896</v>
      </c>
      <c r="Q601" s="76" t="s">
        <v>897</v>
      </c>
      <c r="R601" s="14">
        <v>46856</v>
      </c>
      <c r="S601" s="76" t="s">
        <v>1214</v>
      </c>
      <c r="T601" s="76" t="s">
        <v>1090</v>
      </c>
      <c r="U601" s="26"/>
      <c r="V601" s="27" t="s">
        <v>907</v>
      </c>
      <c r="W601" s="26"/>
      <c r="X601" s="89">
        <v>0</v>
      </c>
      <c r="Y601" s="90">
        <v>0</v>
      </c>
      <c r="Z601" s="90">
        <v>0</v>
      </c>
      <c r="AA601" s="90">
        <v>0</v>
      </c>
      <c r="AB601" s="26"/>
      <c r="AC601" s="26"/>
      <c r="AD601" s="76" t="s">
        <v>901</v>
      </c>
      <c r="AE601" s="76" t="s">
        <v>901</v>
      </c>
      <c r="AF601" t="s">
        <v>43</v>
      </c>
      <c r="AG601" s="23" t="s">
        <v>1040</v>
      </c>
      <c r="AH601" t="s">
        <v>903</v>
      </c>
      <c r="AJ601" s="15"/>
      <c r="AK601" t="s">
        <v>908</v>
      </c>
    </row>
    <row r="602" spans="1:37" hidden="1" x14ac:dyDescent="0.25">
      <c r="A602" s="1"/>
      <c r="B602" s="21">
        <v>45530</v>
      </c>
      <c r="C602" s="22"/>
      <c r="D602" s="22"/>
      <c r="E602" s="22"/>
      <c r="F602" s="22"/>
      <c r="G602" s="23" t="s">
        <v>1317</v>
      </c>
      <c r="H602" s="23" t="s">
        <v>1318</v>
      </c>
      <c r="I602" s="23" t="s">
        <v>894</v>
      </c>
      <c r="J602" s="23" t="s">
        <v>280</v>
      </c>
      <c r="K602" s="41" t="s">
        <v>280</v>
      </c>
      <c r="L602" s="23" t="s">
        <v>901</v>
      </c>
      <c r="M602" s="23" t="s">
        <v>280</v>
      </c>
      <c r="N602" s="23" t="s">
        <v>901</v>
      </c>
      <c r="O602" s="23" t="s">
        <v>1319</v>
      </c>
      <c r="P602" s="41" t="s">
        <v>896</v>
      </c>
      <c r="Q602" s="23" t="s">
        <v>897</v>
      </c>
      <c r="R602" s="21">
        <v>46897</v>
      </c>
      <c r="S602" s="23" t="s">
        <v>1320</v>
      </c>
      <c r="T602" s="23" t="s">
        <v>1183</v>
      </c>
      <c r="U602" s="21">
        <v>122</v>
      </c>
      <c r="V602" s="27" t="s">
        <v>907</v>
      </c>
      <c r="W602" s="22"/>
      <c r="X602" s="24">
        <v>8.26</v>
      </c>
      <c r="Y602" s="25">
        <v>0.9</v>
      </c>
      <c r="Z602" s="25">
        <v>0.1</v>
      </c>
      <c r="AA602" s="25">
        <v>0.1</v>
      </c>
      <c r="AB602" s="22"/>
      <c r="AC602" s="22"/>
      <c r="AD602" s="23" t="s">
        <v>901</v>
      </c>
      <c r="AE602" s="23" t="s">
        <v>901</v>
      </c>
      <c r="AF602" t="s">
        <v>43</v>
      </c>
      <c r="AG602" s="23" t="s">
        <v>902</v>
      </c>
      <c r="AH602" t="s">
        <v>1175</v>
      </c>
      <c r="AJ602" s="15"/>
      <c r="AK602" t="s">
        <v>908</v>
      </c>
    </row>
    <row r="603" spans="1:37" hidden="1" x14ac:dyDescent="0.25">
      <c r="A603" s="1"/>
      <c r="B603" s="14">
        <v>45531</v>
      </c>
      <c r="C603" s="14">
        <v>45530</v>
      </c>
      <c r="D603" s="26"/>
      <c r="E603" s="26"/>
      <c r="F603" s="26"/>
      <c r="G603" s="76" t="s">
        <v>1321</v>
      </c>
      <c r="H603" s="76" t="s">
        <v>1318</v>
      </c>
      <c r="I603" s="76" t="s">
        <v>894</v>
      </c>
      <c r="J603" s="76" t="s">
        <v>280</v>
      </c>
      <c r="K603" s="39" t="s">
        <v>280</v>
      </c>
      <c r="L603" s="76" t="s">
        <v>901</v>
      </c>
      <c r="M603" s="76" t="s">
        <v>280</v>
      </c>
      <c r="N603" s="76" t="s">
        <v>901</v>
      </c>
      <c r="O603" s="76" t="s">
        <v>1319</v>
      </c>
      <c r="P603" s="39" t="s">
        <v>896</v>
      </c>
      <c r="Q603" s="76" t="s">
        <v>897</v>
      </c>
      <c r="R603" s="14">
        <v>46896</v>
      </c>
      <c r="S603" s="76" t="s">
        <v>1320</v>
      </c>
      <c r="T603" s="76" t="s">
        <v>1090</v>
      </c>
      <c r="U603" s="26"/>
      <c r="V603" s="27" t="s">
        <v>907</v>
      </c>
      <c r="W603" s="26"/>
      <c r="X603" s="89">
        <v>0</v>
      </c>
      <c r="Y603" s="90">
        <v>0</v>
      </c>
      <c r="Z603" s="90">
        <v>0</v>
      </c>
      <c r="AA603" s="90">
        <v>0</v>
      </c>
      <c r="AB603" s="26"/>
      <c r="AC603" s="26"/>
      <c r="AD603" s="76" t="s">
        <v>901</v>
      </c>
      <c r="AE603" s="76" t="s">
        <v>901</v>
      </c>
      <c r="AF603" t="s">
        <v>43</v>
      </c>
      <c r="AG603" s="76" t="s">
        <v>902</v>
      </c>
      <c r="AH603" t="s">
        <v>1175</v>
      </c>
      <c r="AJ603" s="15"/>
      <c r="AK603" t="s">
        <v>908</v>
      </c>
    </row>
    <row r="604" spans="1:37" x14ac:dyDescent="0.25">
      <c r="A604" s="1"/>
      <c r="B604" s="21">
        <v>45570</v>
      </c>
      <c r="C604" s="21">
        <v>45229</v>
      </c>
      <c r="D604" s="22"/>
      <c r="E604" s="22"/>
      <c r="F604" s="22"/>
      <c r="G604" s="23" t="s">
        <v>1322</v>
      </c>
      <c r="H604" s="23" t="s">
        <v>840</v>
      </c>
      <c r="I604" s="23" t="s">
        <v>894</v>
      </c>
      <c r="J604" s="38" t="s">
        <v>838</v>
      </c>
      <c r="K604" s="41" t="s">
        <v>838</v>
      </c>
      <c r="L604" s="23" t="s">
        <v>901</v>
      </c>
      <c r="M604" s="23" t="s">
        <v>905</v>
      </c>
      <c r="N604" s="38" t="s">
        <v>905</v>
      </c>
      <c r="O604" s="23" t="s">
        <v>839</v>
      </c>
      <c r="P604" s="41" t="s">
        <v>896</v>
      </c>
      <c r="Q604" s="23" t="s">
        <v>897</v>
      </c>
      <c r="R604" s="21">
        <v>46917</v>
      </c>
      <c r="S604" s="23" t="s">
        <v>1323</v>
      </c>
      <c r="T604" s="23" t="s">
        <v>1324</v>
      </c>
      <c r="U604" s="22"/>
      <c r="V604" s="27" t="s">
        <v>907</v>
      </c>
      <c r="W604" s="22"/>
      <c r="X604" s="24">
        <v>3.84</v>
      </c>
      <c r="Y604" s="25">
        <v>0.04</v>
      </c>
      <c r="Z604" s="25">
        <v>0.88</v>
      </c>
      <c r="AA604" s="25">
        <v>0.12</v>
      </c>
      <c r="AB604" s="22"/>
      <c r="AC604" s="22"/>
      <c r="AD604" s="23" t="s">
        <v>901</v>
      </c>
      <c r="AE604" s="23" t="s">
        <v>901</v>
      </c>
      <c r="AF604" t="s">
        <v>43</v>
      </c>
      <c r="AG604" s="76" t="s">
        <v>902</v>
      </c>
      <c r="AH604" t="s">
        <v>903</v>
      </c>
      <c r="AJ604" s="15"/>
      <c r="AK604" t="s">
        <v>908</v>
      </c>
    </row>
    <row r="605" spans="1:37" hidden="1" x14ac:dyDescent="0.25">
      <c r="A605" s="1"/>
      <c r="B605" s="88">
        <v>45589</v>
      </c>
      <c r="C605" s="84"/>
      <c r="D605" s="84"/>
      <c r="E605" s="84"/>
      <c r="F605" s="84"/>
      <c r="G605" s="78" t="s">
        <v>1325</v>
      </c>
      <c r="H605" s="78" t="s">
        <v>1326</v>
      </c>
      <c r="I605" s="76" t="s">
        <v>894</v>
      </c>
      <c r="J605" s="78" t="s">
        <v>901</v>
      </c>
      <c r="K605" s="39" t="s">
        <v>280</v>
      </c>
      <c r="L605" s="78" t="s">
        <v>901</v>
      </c>
      <c r="M605" s="76" t="s">
        <v>280</v>
      </c>
      <c r="N605" s="78" t="s">
        <v>901</v>
      </c>
      <c r="O605" s="78" t="s">
        <v>122</v>
      </c>
      <c r="P605" s="39" t="s">
        <v>896</v>
      </c>
      <c r="Q605" s="76" t="s">
        <v>897</v>
      </c>
      <c r="R605" s="88">
        <v>46936</v>
      </c>
      <c r="S605" s="78" t="s">
        <v>1326</v>
      </c>
      <c r="T605" s="78" t="s">
        <v>1183</v>
      </c>
      <c r="U605" s="88">
        <v>122</v>
      </c>
      <c r="V605" s="27" t="s">
        <v>907</v>
      </c>
      <c r="W605" s="84"/>
      <c r="X605" s="79">
        <v>8.26</v>
      </c>
      <c r="Y605" s="29">
        <v>0.8</v>
      </c>
      <c r="Z605" s="29">
        <v>0.2</v>
      </c>
      <c r="AA605" s="80">
        <v>0.2</v>
      </c>
      <c r="AB605" s="84"/>
      <c r="AC605" s="84"/>
      <c r="AD605" s="78" t="s">
        <v>901</v>
      </c>
      <c r="AE605" s="78" t="s">
        <v>901</v>
      </c>
      <c r="AF605" t="s">
        <v>43</v>
      </c>
      <c r="AG605" s="78" t="s">
        <v>902</v>
      </c>
      <c r="AH605" t="s">
        <v>1175</v>
      </c>
      <c r="AJ605" s="15">
        <f>VLOOKUP(Tabla1[[#This Row],[CPC]],[1]Sheet3!$A:$D,4,0)</f>
        <v>0.79999998996151356</v>
      </c>
      <c r="AK605" t="s">
        <v>908</v>
      </c>
    </row>
    <row r="606" spans="1:37" hidden="1" x14ac:dyDescent="0.25">
      <c r="A606" s="1"/>
      <c r="B606" s="21">
        <v>45609</v>
      </c>
      <c r="C606" s="21">
        <v>45589</v>
      </c>
      <c r="D606" s="22"/>
      <c r="E606" s="22"/>
      <c r="F606" s="22"/>
      <c r="G606" s="23" t="s">
        <v>1327</v>
      </c>
      <c r="H606" s="23" t="s">
        <v>1326</v>
      </c>
      <c r="I606" s="23" t="s">
        <v>894</v>
      </c>
      <c r="J606" s="23" t="s">
        <v>901</v>
      </c>
      <c r="K606" s="41" t="s">
        <v>280</v>
      </c>
      <c r="L606" s="23" t="s">
        <v>901</v>
      </c>
      <c r="M606" s="23" t="s">
        <v>280</v>
      </c>
      <c r="N606" s="23" t="s">
        <v>901</v>
      </c>
      <c r="O606" s="23" t="s">
        <v>122</v>
      </c>
      <c r="P606" s="41" t="s">
        <v>896</v>
      </c>
      <c r="Q606" s="23" t="s">
        <v>897</v>
      </c>
      <c r="R606" s="21">
        <v>46956</v>
      </c>
      <c r="S606" s="23" t="s">
        <v>1326</v>
      </c>
      <c r="T606" s="23" t="s">
        <v>1090</v>
      </c>
      <c r="U606" s="22"/>
      <c r="V606" s="27" t="s">
        <v>907</v>
      </c>
      <c r="W606" s="22"/>
      <c r="X606" s="24">
        <v>0</v>
      </c>
      <c r="Y606" s="29">
        <v>0</v>
      </c>
      <c r="Z606" s="29">
        <v>0</v>
      </c>
      <c r="AA606" s="25">
        <v>0</v>
      </c>
      <c r="AB606" s="17"/>
      <c r="AC606" s="17"/>
      <c r="AD606" s="17"/>
      <c r="AE606" s="17"/>
      <c r="AF606" t="s">
        <v>43</v>
      </c>
      <c r="AG606" s="78" t="s">
        <v>902</v>
      </c>
      <c r="AH606" t="s">
        <v>903</v>
      </c>
      <c r="AJ606" s="15"/>
      <c r="AK606" t="s">
        <v>908</v>
      </c>
    </row>
    <row r="607" spans="1:37" hidden="1" x14ac:dyDescent="0.25">
      <c r="A607" s="1"/>
      <c r="B607" s="1">
        <v>45629</v>
      </c>
      <c r="C607" s="26"/>
      <c r="D607" s="26"/>
      <c r="E607" s="26"/>
      <c r="F607" s="26"/>
      <c r="G607" s="27" t="s">
        <v>1328</v>
      </c>
      <c r="H607" s="27" t="s">
        <v>1329</v>
      </c>
      <c r="I607" s="27" t="s">
        <v>894</v>
      </c>
      <c r="J607" s="27" t="s">
        <v>901</v>
      </c>
      <c r="K607" s="39" t="s">
        <v>280</v>
      </c>
      <c r="L607" s="27" t="s">
        <v>901</v>
      </c>
      <c r="M607" s="27" t="s">
        <v>280</v>
      </c>
      <c r="N607" s="27" t="s">
        <v>901</v>
      </c>
      <c r="O607" s="27" t="s">
        <v>1330</v>
      </c>
      <c r="P607" s="39" t="s">
        <v>896</v>
      </c>
      <c r="Q607" s="27" t="s">
        <v>897</v>
      </c>
      <c r="R607" s="1">
        <v>46976</v>
      </c>
      <c r="S607" s="27" t="s">
        <v>1331</v>
      </c>
      <c r="T607" s="27" t="s">
        <v>1183</v>
      </c>
      <c r="U607" s="26"/>
      <c r="V607" s="27" t="s">
        <v>907</v>
      </c>
      <c r="W607" s="26"/>
      <c r="X607" s="28">
        <v>8.26</v>
      </c>
      <c r="Y607" s="29">
        <v>0.83</v>
      </c>
      <c r="Z607" s="29">
        <v>0.17</v>
      </c>
      <c r="AA607" s="29">
        <v>0.17</v>
      </c>
      <c r="AB607"/>
      <c r="AF607" t="s">
        <v>43</v>
      </c>
      <c r="AG607" t="s">
        <v>902</v>
      </c>
      <c r="AH607" t="s">
        <v>1175</v>
      </c>
      <c r="AI607" t="s">
        <v>1076</v>
      </c>
      <c r="AJ607" s="15">
        <f>VLOOKUP(Tabla1[[#This Row],[CPC]],[1]Sheet3!$A:$D,4,0)</f>
        <v>0.82999999853012107</v>
      </c>
      <c r="AK607" t="s">
        <v>908</v>
      </c>
    </row>
    <row r="608" spans="1:37" hidden="1" x14ac:dyDescent="0.25">
      <c r="A608" s="1"/>
      <c r="B608" s="21">
        <v>45631</v>
      </c>
      <c r="C608" s="21">
        <v>45629</v>
      </c>
      <c r="D608" s="22"/>
      <c r="E608" s="22"/>
      <c r="F608" s="22"/>
      <c r="G608" s="23" t="s">
        <v>1332</v>
      </c>
      <c r="H608" s="23" t="s">
        <v>1333</v>
      </c>
      <c r="I608" s="23" t="s">
        <v>894</v>
      </c>
      <c r="J608" s="23" t="s">
        <v>901</v>
      </c>
      <c r="K608" s="41" t="s">
        <v>280</v>
      </c>
      <c r="L608" s="23" t="s">
        <v>901</v>
      </c>
      <c r="M608" s="23" t="s">
        <v>280</v>
      </c>
      <c r="N608" s="23" t="s">
        <v>901</v>
      </c>
      <c r="O608" s="23" t="s">
        <v>1330</v>
      </c>
      <c r="P608" s="41" t="s">
        <v>896</v>
      </c>
      <c r="Q608" s="23" t="s">
        <v>897</v>
      </c>
      <c r="R608" s="21">
        <v>46977</v>
      </c>
      <c r="S608" s="23" t="s">
        <v>1331</v>
      </c>
      <c r="T608" s="23" t="s">
        <v>1090</v>
      </c>
      <c r="U608" s="22"/>
      <c r="V608" s="27" t="s">
        <v>907</v>
      </c>
      <c r="W608" s="22"/>
      <c r="X608" s="24">
        <v>0</v>
      </c>
      <c r="Y608" s="29">
        <v>0</v>
      </c>
      <c r="Z608" s="29">
        <v>0</v>
      </c>
      <c r="AA608" s="25">
        <v>0</v>
      </c>
      <c r="AB608" s="17"/>
      <c r="AC608" s="17"/>
      <c r="AD608" s="17"/>
      <c r="AE608" s="17"/>
      <c r="AF608" t="s">
        <v>43</v>
      </c>
      <c r="AG608" s="17" t="s">
        <v>902</v>
      </c>
      <c r="AH608" t="s">
        <v>1175</v>
      </c>
      <c r="AI608" t="s">
        <v>1076</v>
      </c>
      <c r="AJ608" s="15"/>
      <c r="AK608" t="s">
        <v>908</v>
      </c>
    </row>
    <row r="609" spans="1:37" hidden="1" x14ac:dyDescent="0.25">
      <c r="A609" s="1"/>
      <c r="B609" s="1">
        <v>45633</v>
      </c>
      <c r="C609" s="26"/>
      <c r="D609" s="26"/>
      <c r="E609" s="26"/>
      <c r="F609" s="26"/>
      <c r="G609" s="27" t="s">
        <v>1334</v>
      </c>
      <c r="H609" s="27" t="s">
        <v>1329</v>
      </c>
      <c r="I609" s="27" t="s">
        <v>894</v>
      </c>
      <c r="J609" s="27" t="s">
        <v>901</v>
      </c>
      <c r="K609" s="39" t="s">
        <v>280</v>
      </c>
      <c r="L609" s="27" t="s">
        <v>901</v>
      </c>
      <c r="M609" s="27" t="s">
        <v>280</v>
      </c>
      <c r="N609" s="27" t="s">
        <v>901</v>
      </c>
      <c r="O609" s="27" t="s">
        <v>1330</v>
      </c>
      <c r="P609" s="39" t="s">
        <v>896</v>
      </c>
      <c r="Q609" s="27" t="s">
        <v>897</v>
      </c>
      <c r="R609" s="1">
        <v>46978</v>
      </c>
      <c r="S609" s="27" t="s">
        <v>1331</v>
      </c>
      <c r="T609" s="27" t="s">
        <v>1335</v>
      </c>
      <c r="U609" s="26"/>
      <c r="V609" s="27" t="s">
        <v>900</v>
      </c>
      <c r="W609" s="26"/>
      <c r="X609" s="28">
        <v>2.76</v>
      </c>
      <c r="Y609" s="29">
        <v>0.83</v>
      </c>
      <c r="Z609" s="29">
        <v>0.17</v>
      </c>
      <c r="AA609" s="29">
        <v>0.17</v>
      </c>
      <c r="AB609"/>
      <c r="AF609" t="s">
        <v>43</v>
      </c>
      <c r="AG609" t="s">
        <v>902</v>
      </c>
      <c r="AH609" t="s">
        <v>1175</v>
      </c>
      <c r="AI609" t="s">
        <v>1076</v>
      </c>
      <c r="AJ609" s="15">
        <f>VLOOKUP(Tabla1[[#This Row],[CPC]],[1]Sheet3!$A:$D,4,0)</f>
        <v>0.82999353002070364</v>
      </c>
      <c r="AK609" t="s">
        <v>908</v>
      </c>
    </row>
    <row r="610" spans="1:37" hidden="1" x14ac:dyDescent="0.25">
      <c r="A610" s="1"/>
      <c r="B610" s="21">
        <v>45635</v>
      </c>
      <c r="C610" s="21">
        <v>45633</v>
      </c>
      <c r="D610" s="22"/>
      <c r="E610" s="22"/>
      <c r="F610" s="22"/>
      <c r="G610" s="23" t="s">
        <v>1336</v>
      </c>
      <c r="H610" s="23" t="s">
        <v>1333</v>
      </c>
      <c r="I610" s="23" t="s">
        <v>894</v>
      </c>
      <c r="J610" s="23" t="s">
        <v>901</v>
      </c>
      <c r="K610" s="41" t="s">
        <v>280</v>
      </c>
      <c r="L610" s="23" t="s">
        <v>901</v>
      </c>
      <c r="M610" s="23" t="s">
        <v>280</v>
      </c>
      <c r="N610" s="23" t="s">
        <v>901</v>
      </c>
      <c r="O610" s="23" t="s">
        <v>1330</v>
      </c>
      <c r="P610" s="41" t="s">
        <v>896</v>
      </c>
      <c r="Q610" s="23" t="s">
        <v>897</v>
      </c>
      <c r="R610" s="21">
        <v>46979</v>
      </c>
      <c r="S610" s="23" t="s">
        <v>1331</v>
      </c>
      <c r="T610" s="23" t="s">
        <v>1090</v>
      </c>
      <c r="U610" s="22"/>
      <c r="V610" s="23" t="s">
        <v>900</v>
      </c>
      <c r="W610" s="22"/>
      <c r="X610" s="24">
        <v>0</v>
      </c>
      <c r="Y610" s="29">
        <v>0</v>
      </c>
      <c r="Z610" s="29">
        <v>0</v>
      </c>
      <c r="AA610" s="25">
        <v>0</v>
      </c>
      <c r="AB610" s="17"/>
      <c r="AC610" s="17"/>
      <c r="AD610" s="17"/>
      <c r="AE610" s="17"/>
      <c r="AF610" t="s">
        <v>43</v>
      </c>
      <c r="AG610" s="17" t="s">
        <v>902</v>
      </c>
      <c r="AH610" t="s">
        <v>1175</v>
      </c>
      <c r="AI610" t="s">
        <v>1076</v>
      </c>
      <c r="AJ610" s="15"/>
      <c r="AK610" t="s">
        <v>908</v>
      </c>
    </row>
    <row r="611" spans="1:37" hidden="1" x14ac:dyDescent="0.25">
      <c r="A611" s="1"/>
      <c r="B611" s="1">
        <v>45637</v>
      </c>
      <c r="C611" s="26"/>
      <c r="D611" s="26"/>
      <c r="E611" s="26"/>
      <c r="F611" s="26"/>
      <c r="G611" s="27" t="s">
        <v>1337</v>
      </c>
      <c r="H611" s="27" t="s">
        <v>1338</v>
      </c>
      <c r="I611" s="27" t="s">
        <v>894</v>
      </c>
      <c r="J611" s="27" t="s">
        <v>901</v>
      </c>
      <c r="K611" s="39" t="s">
        <v>280</v>
      </c>
      <c r="L611" s="27" t="s">
        <v>901</v>
      </c>
      <c r="M611" s="27" t="s">
        <v>280</v>
      </c>
      <c r="N611" s="27" t="s">
        <v>901</v>
      </c>
      <c r="O611" s="27" t="s">
        <v>1330</v>
      </c>
      <c r="P611" s="39" t="s">
        <v>896</v>
      </c>
      <c r="Q611" s="27" t="s">
        <v>897</v>
      </c>
      <c r="R611" s="1">
        <v>46980</v>
      </c>
      <c r="S611" s="27" t="s">
        <v>1331</v>
      </c>
      <c r="T611" s="27" t="s">
        <v>1339</v>
      </c>
      <c r="U611" s="26"/>
      <c r="V611" s="27" t="s">
        <v>907</v>
      </c>
      <c r="W611" s="26"/>
      <c r="X611" s="28">
        <v>4.12</v>
      </c>
      <c r="Y611" s="29">
        <v>0.83</v>
      </c>
      <c r="Z611" s="29">
        <v>0.17</v>
      </c>
      <c r="AA611" s="29">
        <v>0.17</v>
      </c>
      <c r="AB611"/>
      <c r="AF611" t="s">
        <v>43</v>
      </c>
      <c r="AG611" t="s">
        <v>902</v>
      </c>
      <c r="AH611" t="s">
        <v>1175</v>
      </c>
      <c r="AI611" t="s">
        <v>1076</v>
      </c>
      <c r="AJ611" s="15">
        <f>VLOOKUP(Tabla1[[#This Row],[CPC]],[1]Sheet3!$A:$D,4,0)</f>
        <v>0.82998527519558463</v>
      </c>
      <c r="AK611" t="s">
        <v>908</v>
      </c>
    </row>
    <row r="612" spans="1:37" hidden="1" x14ac:dyDescent="0.25">
      <c r="A612" s="1"/>
      <c r="B612" s="21">
        <v>45639</v>
      </c>
      <c r="C612" s="21">
        <v>45637</v>
      </c>
      <c r="D612" s="22"/>
      <c r="E612" s="22"/>
      <c r="F612" s="22"/>
      <c r="G612" s="23" t="s">
        <v>1340</v>
      </c>
      <c r="H612" s="23" t="s">
        <v>1341</v>
      </c>
      <c r="I612" s="23" t="s">
        <v>894</v>
      </c>
      <c r="J612" s="23" t="s">
        <v>901</v>
      </c>
      <c r="K612" s="41" t="s">
        <v>280</v>
      </c>
      <c r="L612" s="23" t="s">
        <v>901</v>
      </c>
      <c r="M612" s="23" t="s">
        <v>280</v>
      </c>
      <c r="N612" s="23" t="s">
        <v>901</v>
      </c>
      <c r="O612" s="23" t="s">
        <v>1330</v>
      </c>
      <c r="P612" s="41" t="s">
        <v>896</v>
      </c>
      <c r="Q612" s="23" t="s">
        <v>897</v>
      </c>
      <c r="R612" s="21">
        <v>46981</v>
      </c>
      <c r="S612" s="23" t="s">
        <v>1331</v>
      </c>
      <c r="T612" s="23" t="s">
        <v>1090</v>
      </c>
      <c r="U612" s="22"/>
      <c r="V612" s="27" t="s">
        <v>907</v>
      </c>
      <c r="W612" s="22"/>
      <c r="X612" s="24">
        <v>0</v>
      </c>
      <c r="Y612" s="29">
        <v>0</v>
      </c>
      <c r="Z612" s="29">
        <v>0</v>
      </c>
      <c r="AA612" s="25">
        <v>0</v>
      </c>
      <c r="AB612" s="17"/>
      <c r="AC612" s="17"/>
      <c r="AD612" s="17"/>
      <c r="AE612" s="17"/>
      <c r="AF612" t="s">
        <v>43</v>
      </c>
      <c r="AG612" s="17" t="s">
        <v>902</v>
      </c>
      <c r="AH612" t="s">
        <v>1175</v>
      </c>
      <c r="AI612" t="s">
        <v>1076</v>
      </c>
      <c r="AJ612" s="15"/>
      <c r="AK612" t="s">
        <v>908</v>
      </c>
    </row>
    <row r="613" spans="1:37" hidden="1" x14ac:dyDescent="0.25">
      <c r="A613" s="1"/>
      <c r="B613" s="1">
        <v>45641</v>
      </c>
      <c r="C613" s="26"/>
      <c r="D613" s="26"/>
      <c r="E613" s="26"/>
      <c r="F613" s="26"/>
      <c r="G613" s="27" t="s">
        <v>1342</v>
      </c>
      <c r="H613" s="27" t="s">
        <v>1338</v>
      </c>
      <c r="I613" s="27" t="s">
        <v>894</v>
      </c>
      <c r="J613" s="27" t="s">
        <v>901</v>
      </c>
      <c r="K613" s="39" t="s">
        <v>280</v>
      </c>
      <c r="L613" s="27" t="s">
        <v>901</v>
      </c>
      <c r="M613" s="27" t="s">
        <v>280</v>
      </c>
      <c r="N613" s="27" t="s">
        <v>901</v>
      </c>
      <c r="O613" s="27" t="s">
        <v>1330</v>
      </c>
      <c r="P613" s="39" t="s">
        <v>896</v>
      </c>
      <c r="Q613" s="27" t="s">
        <v>897</v>
      </c>
      <c r="R613" s="1">
        <v>46982</v>
      </c>
      <c r="S613" s="27" t="s">
        <v>1331</v>
      </c>
      <c r="T613" s="27" t="s">
        <v>1343</v>
      </c>
      <c r="U613" s="26"/>
      <c r="V613" s="27" t="s">
        <v>900</v>
      </c>
      <c r="W613" s="26"/>
      <c r="X613" s="28">
        <v>1.38</v>
      </c>
      <c r="Y613" s="29">
        <v>0.83</v>
      </c>
      <c r="Z613" s="29">
        <v>0.17</v>
      </c>
      <c r="AA613" s="29">
        <v>0.17</v>
      </c>
      <c r="AB613"/>
      <c r="AF613" t="s">
        <v>43</v>
      </c>
      <c r="AG613" s="17" t="s">
        <v>902</v>
      </c>
      <c r="AH613" t="s">
        <v>903</v>
      </c>
      <c r="AI613" t="s">
        <v>1076</v>
      </c>
      <c r="AJ613" s="15"/>
      <c r="AK613" t="s">
        <v>908</v>
      </c>
    </row>
    <row r="614" spans="1:37" hidden="1" x14ac:dyDescent="0.25">
      <c r="A614" s="1"/>
      <c r="B614" s="21">
        <v>45643</v>
      </c>
      <c r="C614" s="21">
        <v>45641</v>
      </c>
      <c r="D614" s="22"/>
      <c r="E614" s="22"/>
      <c r="F614" s="22"/>
      <c r="G614" s="23" t="s">
        <v>1344</v>
      </c>
      <c r="H614" s="23" t="s">
        <v>1341</v>
      </c>
      <c r="I614" s="23" t="s">
        <v>894</v>
      </c>
      <c r="J614" s="23" t="s">
        <v>901</v>
      </c>
      <c r="K614" s="41" t="s">
        <v>280</v>
      </c>
      <c r="L614" s="23" t="s">
        <v>901</v>
      </c>
      <c r="M614" s="23" t="s">
        <v>280</v>
      </c>
      <c r="N614" s="23" t="s">
        <v>901</v>
      </c>
      <c r="O614" s="23" t="s">
        <v>1330</v>
      </c>
      <c r="P614" s="41" t="s">
        <v>896</v>
      </c>
      <c r="Q614" s="23" t="s">
        <v>897</v>
      </c>
      <c r="R614" s="21">
        <v>46983</v>
      </c>
      <c r="S614" s="23" t="s">
        <v>1331</v>
      </c>
      <c r="T614" s="23" t="s">
        <v>1090</v>
      </c>
      <c r="U614" s="22"/>
      <c r="V614" s="23" t="s">
        <v>900</v>
      </c>
      <c r="W614" s="22"/>
      <c r="X614" s="24">
        <v>0</v>
      </c>
      <c r="Y614" s="29">
        <v>0</v>
      </c>
      <c r="Z614" s="29">
        <v>0</v>
      </c>
      <c r="AA614" s="25">
        <v>0</v>
      </c>
      <c r="AB614" s="17"/>
      <c r="AC614" s="17"/>
      <c r="AD614" s="17"/>
      <c r="AE614" s="17"/>
      <c r="AF614" t="s">
        <v>43</v>
      </c>
      <c r="AG614" s="17" t="s">
        <v>902</v>
      </c>
      <c r="AH614" t="s">
        <v>903</v>
      </c>
      <c r="AI614" t="s">
        <v>1076</v>
      </c>
      <c r="AJ614" s="15"/>
      <c r="AK614" t="s">
        <v>908</v>
      </c>
    </row>
    <row r="615" spans="1:37" hidden="1" x14ac:dyDescent="0.25">
      <c r="A615" s="1"/>
      <c r="B615" s="1">
        <v>45649</v>
      </c>
      <c r="C615" s="26"/>
      <c r="D615" s="26"/>
      <c r="E615" s="26"/>
      <c r="F615" s="26"/>
      <c r="G615" s="27" t="s">
        <v>1345</v>
      </c>
      <c r="H615" s="27" t="s">
        <v>1346</v>
      </c>
      <c r="I615" s="27" t="s">
        <v>894</v>
      </c>
      <c r="J615" s="27" t="s">
        <v>901</v>
      </c>
      <c r="K615" s="39" t="s">
        <v>36</v>
      </c>
      <c r="L615" s="27" t="s">
        <v>901</v>
      </c>
      <c r="M615" s="27" t="s">
        <v>905</v>
      </c>
      <c r="N615" s="27" t="s">
        <v>36</v>
      </c>
      <c r="O615" s="27" t="s">
        <v>1347</v>
      </c>
      <c r="P615" s="39" t="s">
        <v>896</v>
      </c>
      <c r="Q615" s="27" t="s">
        <v>897</v>
      </c>
      <c r="R615" s="1">
        <v>46996</v>
      </c>
      <c r="S615" s="27" t="s">
        <v>1346</v>
      </c>
      <c r="T615" s="27" t="s">
        <v>1348</v>
      </c>
      <c r="U615" s="26"/>
      <c r="V615" s="27" t="s">
        <v>907</v>
      </c>
      <c r="W615" s="26"/>
      <c r="X615" s="28">
        <v>2.88</v>
      </c>
      <c r="Y615" s="29">
        <v>0.8</v>
      </c>
      <c r="Z615" s="29">
        <v>0.2</v>
      </c>
      <c r="AA615" s="29">
        <v>0.2</v>
      </c>
      <c r="AB615"/>
      <c r="AF615" t="s">
        <v>43</v>
      </c>
      <c r="AG615" t="s">
        <v>1075</v>
      </c>
      <c r="AH615" t="s">
        <v>903</v>
      </c>
      <c r="AJ615" s="15">
        <f>VLOOKUP(Tabla1[[#This Row],[CPC]],[1]Sheet3!$A:$D,4,0)</f>
        <v>0.79861111111111127</v>
      </c>
      <c r="AK615" t="s">
        <v>908</v>
      </c>
    </row>
    <row r="616" spans="1:37" hidden="1" x14ac:dyDescent="0.25">
      <c r="A616" s="1"/>
      <c r="B616" s="91">
        <v>45689</v>
      </c>
      <c r="C616" s="22"/>
      <c r="D616" s="22"/>
      <c r="E616" s="22"/>
      <c r="F616" s="22"/>
      <c r="G616" s="85" t="s">
        <v>1349</v>
      </c>
      <c r="H616" s="85" t="s">
        <v>1350</v>
      </c>
      <c r="I616" s="85" t="s">
        <v>894</v>
      </c>
      <c r="J616" s="85" t="s">
        <v>901</v>
      </c>
      <c r="K616" s="41" t="s">
        <v>36</v>
      </c>
      <c r="L616" s="85" t="s">
        <v>901</v>
      </c>
      <c r="M616" s="85" t="s">
        <v>905</v>
      </c>
      <c r="N616" s="85" t="s">
        <v>36</v>
      </c>
      <c r="O616" s="85" t="s">
        <v>1351</v>
      </c>
      <c r="P616" s="41" t="s">
        <v>896</v>
      </c>
      <c r="Q616" s="85" t="s">
        <v>897</v>
      </c>
      <c r="R616" s="91">
        <v>47016</v>
      </c>
      <c r="S616" s="85" t="s">
        <v>1352</v>
      </c>
      <c r="T616" s="85" t="s">
        <v>1353</v>
      </c>
      <c r="U616" s="22"/>
      <c r="V616" s="27" t="s">
        <v>907</v>
      </c>
      <c r="W616" s="22"/>
      <c r="X616" s="92">
        <v>7.4</v>
      </c>
      <c r="Y616" s="29">
        <v>0.85</v>
      </c>
      <c r="Z616" s="29">
        <v>0.15</v>
      </c>
      <c r="AA616" s="93">
        <v>0.15</v>
      </c>
      <c r="AB616" s="17"/>
      <c r="AC616" s="17"/>
      <c r="AD616" s="17"/>
      <c r="AE616" s="17"/>
      <c r="AF616" t="s">
        <v>43</v>
      </c>
      <c r="AG616" s="17" t="s">
        <v>1075</v>
      </c>
      <c r="AH616" t="s">
        <v>903</v>
      </c>
      <c r="AJ616" s="15"/>
      <c r="AK616" t="s">
        <v>908</v>
      </c>
    </row>
    <row r="617" spans="1:37" hidden="1" x14ac:dyDescent="0.25">
      <c r="A617" s="1"/>
      <c r="B617" s="13">
        <v>45749</v>
      </c>
      <c r="C617" s="84"/>
      <c r="D617" s="84"/>
      <c r="E617" s="84"/>
      <c r="F617" s="84"/>
      <c r="G617" s="69" t="s">
        <v>1354</v>
      </c>
      <c r="H617" s="69" t="s">
        <v>1355</v>
      </c>
      <c r="I617" s="27" t="s">
        <v>894</v>
      </c>
      <c r="J617" s="69" t="s">
        <v>901</v>
      </c>
      <c r="K617" s="39" t="s">
        <v>123</v>
      </c>
      <c r="L617" s="69" t="s">
        <v>901</v>
      </c>
      <c r="M617" s="27" t="s">
        <v>123</v>
      </c>
      <c r="N617" s="69" t="s">
        <v>901</v>
      </c>
      <c r="O617" s="69" t="s">
        <v>364</v>
      </c>
      <c r="P617" s="39" t="s">
        <v>896</v>
      </c>
      <c r="Q617" s="27" t="s">
        <v>897</v>
      </c>
      <c r="R617" s="13">
        <v>47036</v>
      </c>
      <c r="S617" s="69" t="s">
        <v>1355</v>
      </c>
      <c r="T617" s="69" t="s">
        <v>1356</v>
      </c>
      <c r="U617" s="84"/>
      <c r="V617" s="27" t="s">
        <v>907</v>
      </c>
      <c r="W617" s="84"/>
      <c r="X617" s="71">
        <v>7.43</v>
      </c>
      <c r="Y617" s="72">
        <v>0.7</v>
      </c>
      <c r="Z617" s="72">
        <v>0.3</v>
      </c>
      <c r="AA617" s="72">
        <v>0.3</v>
      </c>
      <c r="AB617" s="84"/>
      <c r="AC617" s="84"/>
      <c r="AD617" s="69" t="s">
        <v>901</v>
      </c>
      <c r="AE617" s="69" t="s">
        <v>901</v>
      </c>
      <c r="AF617" t="s">
        <v>43</v>
      </c>
      <c r="AG617" s="69" t="s">
        <v>902</v>
      </c>
      <c r="AH617" t="s">
        <v>903</v>
      </c>
      <c r="AJ617" s="15">
        <f>VLOOKUP(Tabla1[[#This Row],[CPC]],[1]Sheet3!$A:$D,4,0)</f>
        <v>0.69998900153184651</v>
      </c>
      <c r="AK617" t="s">
        <v>908</v>
      </c>
    </row>
    <row r="618" spans="1:37" hidden="1" x14ac:dyDescent="0.25">
      <c r="A618" s="1"/>
      <c r="B618" s="94">
        <v>45789</v>
      </c>
      <c r="C618" s="95"/>
      <c r="D618" s="95"/>
      <c r="E618" s="95"/>
      <c r="F618" s="95"/>
      <c r="G618" s="96" t="s">
        <v>1357</v>
      </c>
      <c r="H618" s="96" t="s">
        <v>1358</v>
      </c>
      <c r="I618" s="85" t="s">
        <v>894</v>
      </c>
      <c r="J618" s="96" t="s">
        <v>901</v>
      </c>
      <c r="K618" s="41" t="s">
        <v>257</v>
      </c>
      <c r="L618" s="96" t="s">
        <v>901</v>
      </c>
      <c r="M618" s="85" t="s">
        <v>905</v>
      </c>
      <c r="N618" s="96" t="s">
        <v>257</v>
      </c>
      <c r="O618" s="96" t="s">
        <v>86</v>
      </c>
      <c r="P618" s="41" t="s">
        <v>896</v>
      </c>
      <c r="Q618" s="85" t="s">
        <v>897</v>
      </c>
      <c r="R618" s="94">
        <v>47076</v>
      </c>
      <c r="S618" s="96" t="s">
        <v>1358</v>
      </c>
      <c r="T618" s="96" t="s">
        <v>1120</v>
      </c>
      <c r="U618" s="94">
        <v>128</v>
      </c>
      <c r="V618" s="96" t="s">
        <v>900</v>
      </c>
      <c r="W618" s="95"/>
      <c r="X618" s="97">
        <v>1.64</v>
      </c>
      <c r="Y618" s="108">
        <v>0.78</v>
      </c>
      <c r="Z618" s="108">
        <v>0.22</v>
      </c>
      <c r="AA618" s="98">
        <v>0.16</v>
      </c>
      <c r="AB618" s="95"/>
      <c r="AC618" s="95"/>
      <c r="AD618" s="96" t="s">
        <v>901</v>
      </c>
      <c r="AE618" s="96" t="s">
        <v>901</v>
      </c>
      <c r="AF618" t="s">
        <v>43</v>
      </c>
      <c r="AG618" s="96" t="s">
        <v>1075</v>
      </c>
      <c r="AH618" t="s">
        <v>903</v>
      </c>
      <c r="AI618" t="s">
        <v>1076</v>
      </c>
      <c r="AJ618" s="15">
        <f>VLOOKUP(Tabla1[[#This Row],[CPC]],[1]Sheet3!$A:$D,4,0)</f>
        <v>0.83999184979473573</v>
      </c>
      <c r="AK618" t="s">
        <v>908</v>
      </c>
    </row>
    <row r="619" spans="1:37" hidden="1" x14ac:dyDescent="0.25">
      <c r="A619" s="1"/>
      <c r="B619" s="99">
        <v>45809</v>
      </c>
      <c r="C619" s="100"/>
      <c r="D619" s="100"/>
      <c r="E619" s="100"/>
      <c r="F619" s="100"/>
      <c r="G619" s="101" t="s">
        <v>1359</v>
      </c>
      <c r="H619" s="101" t="s">
        <v>1360</v>
      </c>
      <c r="I619" s="102" t="s">
        <v>894</v>
      </c>
      <c r="J619" s="101" t="s">
        <v>901</v>
      </c>
      <c r="K619" s="103" t="s">
        <v>36</v>
      </c>
      <c r="L619" s="101" t="s">
        <v>901</v>
      </c>
      <c r="M619" s="102" t="s">
        <v>905</v>
      </c>
      <c r="N619" s="101" t="s">
        <v>36</v>
      </c>
      <c r="O619" s="101" t="s">
        <v>1361</v>
      </c>
      <c r="P619" s="103" t="s">
        <v>896</v>
      </c>
      <c r="Q619" s="102" t="s">
        <v>897</v>
      </c>
      <c r="R619" s="99">
        <v>47096</v>
      </c>
      <c r="S619" s="101" t="s">
        <v>1360</v>
      </c>
      <c r="T619" s="101" t="s">
        <v>1131</v>
      </c>
      <c r="U619" s="99">
        <v>137</v>
      </c>
      <c r="V619" s="27" t="s">
        <v>907</v>
      </c>
      <c r="W619" s="100"/>
      <c r="X619" s="104">
        <v>2.4700000000000002</v>
      </c>
      <c r="Y619" s="72">
        <v>0.85</v>
      </c>
      <c r="Z619" s="72">
        <v>0.15</v>
      </c>
      <c r="AA619" s="105">
        <v>0.15</v>
      </c>
      <c r="AB619" s="100"/>
      <c r="AC619" s="100"/>
      <c r="AD619" s="101" t="s">
        <v>901</v>
      </c>
      <c r="AE619" s="101" t="s">
        <v>901</v>
      </c>
      <c r="AF619" t="s">
        <v>43</v>
      </c>
      <c r="AG619" s="101" t="s">
        <v>1075</v>
      </c>
      <c r="AH619" t="s">
        <v>903</v>
      </c>
      <c r="AJ619" s="15"/>
      <c r="AK619" t="s">
        <v>908</v>
      </c>
    </row>
    <row r="620" spans="1:37" hidden="1" x14ac:dyDescent="0.25">
      <c r="A620" s="1"/>
      <c r="B620" s="21">
        <v>45829</v>
      </c>
      <c r="C620" s="22"/>
      <c r="D620" s="22"/>
      <c r="E620" s="22"/>
      <c r="F620" s="22"/>
      <c r="G620" s="23" t="s">
        <v>1362</v>
      </c>
      <c r="H620" s="23" t="s">
        <v>1363</v>
      </c>
      <c r="I620" s="23" t="s">
        <v>894</v>
      </c>
      <c r="J620" s="23" t="s">
        <v>901</v>
      </c>
      <c r="K620" s="39" t="s">
        <v>36</v>
      </c>
      <c r="L620" s="23" t="s">
        <v>901</v>
      </c>
      <c r="M620" s="23" t="s">
        <v>905</v>
      </c>
      <c r="N620" s="23" t="s">
        <v>36</v>
      </c>
      <c r="O620" s="23" t="s">
        <v>328</v>
      </c>
      <c r="P620" s="41" t="s">
        <v>896</v>
      </c>
      <c r="Q620" s="23" t="s">
        <v>897</v>
      </c>
      <c r="R620" s="21">
        <v>47116</v>
      </c>
      <c r="S620" s="23" t="s">
        <v>1363</v>
      </c>
      <c r="T620" s="23" t="s">
        <v>1364</v>
      </c>
      <c r="U620" s="21"/>
      <c r="V620" s="27" t="s">
        <v>907</v>
      </c>
      <c r="W620" s="106"/>
      <c r="X620" s="24">
        <v>5.94</v>
      </c>
      <c r="Y620" s="72">
        <v>0.6</v>
      </c>
      <c r="Z620" s="72">
        <v>0.4</v>
      </c>
      <c r="AF620" s="17"/>
      <c r="AG620" s="17" t="s">
        <v>1040</v>
      </c>
      <c r="AH620" t="s">
        <v>903</v>
      </c>
      <c r="AJ620" s="15">
        <f>VLOOKUP(Tabla1[[#This Row],[CPC]],[1]Sheet3!$A:$D,4,0)</f>
        <v>0.59999904094996248</v>
      </c>
      <c r="AK620" t="s">
        <v>908</v>
      </c>
    </row>
    <row r="621" spans="1:37" hidden="1" x14ac:dyDescent="0.25">
      <c r="A621" s="1"/>
      <c r="B621" s="21">
        <v>45849</v>
      </c>
      <c r="C621" s="22"/>
      <c r="D621" s="22"/>
      <c r="E621" s="22"/>
      <c r="F621" s="22"/>
      <c r="G621" s="23" t="s">
        <v>1365</v>
      </c>
      <c r="H621" s="23" t="s">
        <v>1366</v>
      </c>
      <c r="I621" s="23" t="s">
        <v>894</v>
      </c>
      <c r="J621" s="23" t="s">
        <v>901</v>
      </c>
      <c r="K621" s="39" t="s">
        <v>123</v>
      </c>
      <c r="L621" s="23" t="s">
        <v>901</v>
      </c>
      <c r="M621" s="23" t="s">
        <v>123</v>
      </c>
      <c r="N621" s="23" t="s">
        <v>901</v>
      </c>
      <c r="O621" s="23" t="s">
        <v>1367</v>
      </c>
      <c r="P621" s="41" t="s">
        <v>896</v>
      </c>
      <c r="Q621" s="23" t="s">
        <v>897</v>
      </c>
      <c r="R621" s="21">
        <v>47136</v>
      </c>
      <c r="S621" s="23" t="s">
        <v>1366</v>
      </c>
      <c r="T621" s="23" t="s">
        <v>1368</v>
      </c>
      <c r="U621" s="21"/>
      <c r="V621" s="27" t="s">
        <v>907</v>
      </c>
      <c r="W621" s="13">
        <v>0</v>
      </c>
      <c r="X621" s="24">
        <v>11.15</v>
      </c>
      <c r="Y621" s="72">
        <v>0.75</v>
      </c>
      <c r="Z621" s="72">
        <v>0.25</v>
      </c>
      <c r="AF621" s="17"/>
      <c r="AG621" s="17" t="s">
        <v>902</v>
      </c>
      <c r="AH621" t="s">
        <v>903</v>
      </c>
      <c r="AJ621" s="15">
        <f>VLOOKUP(Tabla1[[#This Row],[CPC]],[1]Sheet3!$A:$D,4,0)</f>
        <v>0.75000068839790424</v>
      </c>
      <c r="AK621" t="s">
        <v>908</v>
      </c>
    </row>
    <row r="622" spans="1:37" hidden="1" x14ac:dyDescent="0.25">
      <c r="A622" s="14"/>
      <c r="B622" s="91">
        <v>45889</v>
      </c>
      <c r="C622" s="22"/>
      <c r="D622" s="22"/>
      <c r="E622" s="22"/>
      <c r="F622" s="22"/>
      <c r="G622" s="85" t="s">
        <v>1369</v>
      </c>
      <c r="H622" s="85" t="s">
        <v>1370</v>
      </c>
      <c r="I622" s="85" t="s">
        <v>894</v>
      </c>
      <c r="J622" s="85" t="s">
        <v>901</v>
      </c>
      <c r="K622" s="39" t="s">
        <v>5</v>
      </c>
      <c r="L622" s="85" t="s">
        <v>901</v>
      </c>
      <c r="M622" s="85" t="s">
        <v>905</v>
      </c>
      <c r="N622" s="85" t="s">
        <v>5</v>
      </c>
      <c r="O622" s="85" t="s">
        <v>1371</v>
      </c>
      <c r="P622" s="41" t="s">
        <v>896</v>
      </c>
      <c r="Q622" s="85" t="s">
        <v>897</v>
      </c>
      <c r="R622" s="91">
        <v>47176</v>
      </c>
      <c r="S622" s="85" t="s">
        <v>1370</v>
      </c>
      <c r="T622" s="85" t="s">
        <v>1372</v>
      </c>
      <c r="U622" s="91"/>
      <c r="V622" s="27" t="s">
        <v>907</v>
      </c>
      <c r="W622" s="106"/>
      <c r="X622" s="92">
        <v>8.64</v>
      </c>
      <c r="Y622" s="72">
        <v>0.8</v>
      </c>
      <c r="Z622" s="72">
        <v>0.2</v>
      </c>
      <c r="AA622" s="107"/>
      <c r="AB622" s="107"/>
      <c r="AF622" s="17"/>
      <c r="AG622" s="17" t="s">
        <v>1040</v>
      </c>
      <c r="AH622" t="s">
        <v>1175</v>
      </c>
      <c r="AJ622" s="15">
        <f>VLOOKUP(Tabla1[[#This Row],[CPC]],[1]Sheet3!$A:$D,4,0)</f>
        <v>0.80000076989406099</v>
      </c>
      <c r="AK622" t="s">
        <v>908</v>
      </c>
    </row>
    <row r="623" spans="1:37" hidden="1" x14ac:dyDescent="0.25">
      <c r="A623" s="1"/>
      <c r="B623" s="21">
        <v>46069</v>
      </c>
      <c r="C623" s="22"/>
      <c r="D623" s="22"/>
      <c r="E623" s="22"/>
      <c r="F623" s="22"/>
      <c r="G623" s="23" t="s">
        <v>1373</v>
      </c>
      <c r="H623" s="23" t="s">
        <v>1374</v>
      </c>
      <c r="I623" s="23" t="s">
        <v>894</v>
      </c>
      <c r="J623" s="23" t="s">
        <v>901</v>
      </c>
      <c r="K623" s="39" t="s">
        <v>123</v>
      </c>
      <c r="L623" s="23" t="s">
        <v>901</v>
      </c>
      <c r="M623" s="23" t="s">
        <v>123</v>
      </c>
      <c r="N623" s="23" t="s">
        <v>901</v>
      </c>
      <c r="O623" s="23" t="s">
        <v>325</v>
      </c>
      <c r="P623" s="41" t="s">
        <v>896</v>
      </c>
      <c r="Q623" s="23" t="s">
        <v>897</v>
      </c>
      <c r="R623" s="21">
        <v>47236</v>
      </c>
      <c r="S623" s="23" t="s">
        <v>1109</v>
      </c>
      <c r="T623" s="23" t="s">
        <v>1375</v>
      </c>
      <c r="U623" s="21"/>
      <c r="V623" s="23" t="s">
        <v>913</v>
      </c>
      <c r="W623" s="26"/>
      <c r="X623" s="24">
        <v>1.65</v>
      </c>
      <c r="Y623" s="29">
        <v>0.5</v>
      </c>
      <c r="Z623" s="29">
        <v>0.5</v>
      </c>
      <c r="AF623" s="17"/>
      <c r="AG623" s="17" t="s">
        <v>902</v>
      </c>
      <c r="AH623" t="s">
        <v>903</v>
      </c>
      <c r="AJ623" s="15">
        <f>VLOOKUP(Tabla1[[#This Row],[CPC]],[1]Sheet3!$A:$D,4,0)</f>
        <v>0.50027850521677675</v>
      </c>
      <c r="AK623" t="s">
        <v>908</v>
      </c>
    </row>
    <row r="624" spans="1:37" hidden="1" x14ac:dyDescent="0.25">
      <c r="A624" s="1"/>
      <c r="B624" s="21">
        <v>46071</v>
      </c>
      <c r="C624" s="22"/>
      <c r="D624" s="22"/>
      <c r="E624" s="22"/>
      <c r="F624" s="22"/>
      <c r="G624" s="23" t="s">
        <v>1376</v>
      </c>
      <c r="H624" s="23" t="s">
        <v>1377</v>
      </c>
      <c r="I624" s="23" t="s">
        <v>894</v>
      </c>
      <c r="J624" s="23" t="s">
        <v>901</v>
      </c>
      <c r="K624" s="39" t="s">
        <v>123</v>
      </c>
      <c r="L624" s="23" t="s">
        <v>901</v>
      </c>
      <c r="M624" s="23" t="s">
        <v>123</v>
      </c>
      <c r="N624" s="23" t="s">
        <v>901</v>
      </c>
      <c r="O624" s="23" t="s">
        <v>325</v>
      </c>
      <c r="P624" s="41" t="s">
        <v>896</v>
      </c>
      <c r="Q624" s="23" t="s">
        <v>897</v>
      </c>
      <c r="R624" s="21">
        <v>47237</v>
      </c>
      <c r="S624" s="23" t="s">
        <v>1377</v>
      </c>
      <c r="T624" s="23" t="s">
        <v>1378</v>
      </c>
      <c r="U624" s="21"/>
      <c r="V624" s="27" t="s">
        <v>907</v>
      </c>
      <c r="W624" s="26"/>
      <c r="X624" s="24">
        <v>6.6</v>
      </c>
      <c r="Y624" s="29">
        <v>0.78</v>
      </c>
      <c r="Z624" s="29">
        <v>0.22</v>
      </c>
      <c r="AF624" s="17"/>
      <c r="AG624" s="17" t="s">
        <v>902</v>
      </c>
      <c r="AH624" t="s">
        <v>903</v>
      </c>
      <c r="AJ624" s="15">
        <f>VLOOKUP(Tabla1[[#This Row],[CPC]],[1]Sheet3!$A:$D,4,0)</f>
        <v>0.77999858540755695</v>
      </c>
      <c r="AK624" t="s">
        <v>908</v>
      </c>
    </row>
    <row r="625" spans="1:37" hidden="1" x14ac:dyDescent="0.25">
      <c r="A625" s="1"/>
      <c r="B625" s="21">
        <v>46109</v>
      </c>
      <c r="C625" s="22"/>
      <c r="D625" s="22"/>
      <c r="E625" s="22"/>
      <c r="F625" s="22"/>
      <c r="G625" s="23" t="s">
        <v>1379</v>
      </c>
      <c r="H625" s="23" t="s">
        <v>1380</v>
      </c>
      <c r="I625" s="23" t="s">
        <v>894</v>
      </c>
      <c r="J625" s="23" t="s">
        <v>901</v>
      </c>
      <c r="K625" s="39" t="s">
        <v>36</v>
      </c>
      <c r="L625" s="23" t="s">
        <v>901</v>
      </c>
      <c r="M625" s="23" t="s">
        <v>905</v>
      </c>
      <c r="N625" s="23" t="s">
        <v>36</v>
      </c>
      <c r="O625" s="23" t="s">
        <v>1371</v>
      </c>
      <c r="P625" s="41" t="s">
        <v>896</v>
      </c>
      <c r="Q625" s="23" t="s">
        <v>897</v>
      </c>
      <c r="R625" s="21">
        <v>47276</v>
      </c>
      <c r="S625" s="23" t="s">
        <v>1380</v>
      </c>
      <c r="T625" s="23" t="s">
        <v>1381</v>
      </c>
      <c r="U625" s="21"/>
      <c r="V625" s="27" t="s">
        <v>907</v>
      </c>
      <c r="W625" s="1"/>
      <c r="X625" s="24">
        <v>5.36</v>
      </c>
      <c r="Y625" s="29">
        <v>0.83</v>
      </c>
      <c r="Z625" s="29">
        <v>0.17</v>
      </c>
      <c r="AF625" s="17"/>
      <c r="AG625" s="17" t="s">
        <v>1040</v>
      </c>
      <c r="AH625" t="s">
        <v>903</v>
      </c>
      <c r="AJ625" s="15">
        <f>VLOOKUP(Tabla1[[#This Row],[CPC]],[1]Sheet3!$A:$D,4,0)</f>
        <v>0.82999954410183707</v>
      </c>
      <c r="AK625" t="s">
        <v>908</v>
      </c>
    </row>
    <row r="626" spans="1:37" hidden="1" x14ac:dyDescent="0.25">
      <c r="A626" s="14"/>
      <c r="B626" s="91">
        <v>46111</v>
      </c>
      <c r="C626" s="22"/>
      <c r="D626" s="22"/>
      <c r="E626" s="22"/>
      <c r="F626" s="22"/>
      <c r="G626" s="85" t="s">
        <v>1382</v>
      </c>
      <c r="H626" s="85" t="s">
        <v>1224</v>
      </c>
      <c r="I626" s="85" t="s">
        <v>894</v>
      </c>
      <c r="J626" s="85" t="s">
        <v>901</v>
      </c>
      <c r="K626" s="39" t="s">
        <v>36</v>
      </c>
      <c r="L626" s="85" t="s">
        <v>901</v>
      </c>
      <c r="M626" s="85" t="s">
        <v>905</v>
      </c>
      <c r="N626" s="85" t="s">
        <v>36</v>
      </c>
      <c r="O626" s="85" t="s">
        <v>1225</v>
      </c>
      <c r="P626" s="41" t="s">
        <v>896</v>
      </c>
      <c r="Q626" s="85" t="s">
        <v>897</v>
      </c>
      <c r="R626" s="91">
        <v>47277</v>
      </c>
      <c r="S626" s="85" t="s">
        <v>1226</v>
      </c>
      <c r="T626" s="85" t="s">
        <v>1372</v>
      </c>
      <c r="U626" s="91"/>
      <c r="V626" s="27" t="s">
        <v>907</v>
      </c>
      <c r="W626" s="14"/>
      <c r="X626" s="92">
        <v>8.64</v>
      </c>
      <c r="Y626" s="29">
        <v>0.9</v>
      </c>
      <c r="Z626" s="29">
        <v>0.1</v>
      </c>
      <c r="AA626" s="107"/>
      <c r="AB626" s="107"/>
      <c r="AF626" s="17"/>
      <c r="AG626" s="17" t="s">
        <v>1040</v>
      </c>
      <c r="AH626" t="s">
        <v>903</v>
      </c>
      <c r="AJ626" s="15"/>
      <c r="AK626" t="s">
        <v>908</v>
      </c>
    </row>
    <row r="627" spans="1:37" hidden="1" x14ac:dyDescent="0.25">
      <c r="A627" s="1"/>
      <c r="B627" s="21">
        <v>46129</v>
      </c>
      <c r="C627" s="22">
        <v>45530</v>
      </c>
      <c r="D627" s="22"/>
      <c r="E627" s="22"/>
      <c r="F627" s="22"/>
      <c r="G627" s="23" t="s">
        <v>1383</v>
      </c>
      <c r="H627" s="23" t="s">
        <v>1318</v>
      </c>
      <c r="I627" s="23" t="s">
        <v>894</v>
      </c>
      <c r="J627" s="23" t="s">
        <v>901</v>
      </c>
      <c r="K627" s="39" t="s">
        <v>280</v>
      </c>
      <c r="L627" s="23" t="s">
        <v>901</v>
      </c>
      <c r="M627" s="23" t="s">
        <v>280</v>
      </c>
      <c r="N627" s="23" t="s">
        <v>901</v>
      </c>
      <c r="O627" s="23" t="s">
        <v>1319</v>
      </c>
      <c r="P627" s="41" t="s">
        <v>896</v>
      </c>
      <c r="Q627" s="23" t="s">
        <v>897</v>
      </c>
      <c r="R627" s="21">
        <v>47296</v>
      </c>
      <c r="S627" s="23" t="s">
        <v>1320</v>
      </c>
      <c r="T627" s="23" t="s">
        <v>1090</v>
      </c>
      <c r="U627" s="21"/>
      <c r="V627" s="27" t="s">
        <v>907</v>
      </c>
      <c r="W627" s="26"/>
      <c r="X627" s="24">
        <v>0</v>
      </c>
      <c r="Y627" s="29">
        <v>0</v>
      </c>
      <c r="Z627" s="29">
        <v>0</v>
      </c>
      <c r="AA627" s="26"/>
      <c r="AB627" s="26"/>
      <c r="AC627" s="27" t="s">
        <v>901</v>
      </c>
      <c r="AD627" s="27" t="s">
        <v>901</v>
      </c>
      <c r="AE627" s="27" t="s">
        <v>901</v>
      </c>
      <c r="AF627" s="27" t="s">
        <v>901</v>
      </c>
      <c r="AG627" s="17" t="s">
        <v>902</v>
      </c>
      <c r="AH627" t="s">
        <v>903</v>
      </c>
      <c r="AJ627" s="15"/>
      <c r="AK627" t="s">
        <v>908</v>
      </c>
    </row>
    <row r="628" spans="1:37" hidden="1" x14ac:dyDescent="0.25">
      <c r="A628" s="1"/>
      <c r="B628" s="21">
        <v>46169</v>
      </c>
      <c r="C628" s="22">
        <v>44889</v>
      </c>
      <c r="D628" s="22">
        <v>681</v>
      </c>
      <c r="E628" s="22">
        <v>68102</v>
      </c>
      <c r="F628" s="22"/>
      <c r="G628" s="23" t="s">
        <v>1384</v>
      </c>
      <c r="H628" s="23" t="s">
        <v>1200</v>
      </c>
      <c r="I628" s="23" t="s">
        <v>894</v>
      </c>
      <c r="J628" s="23" t="s">
        <v>901</v>
      </c>
      <c r="K628" s="39" t="s">
        <v>285</v>
      </c>
      <c r="L628" s="23" t="s">
        <v>901</v>
      </c>
      <c r="M628" s="23" t="s">
        <v>905</v>
      </c>
      <c r="N628" s="23" t="s">
        <v>285</v>
      </c>
      <c r="O628" s="23" t="s">
        <v>1201</v>
      </c>
      <c r="P628" s="41" t="s">
        <v>896</v>
      </c>
      <c r="Q628" s="23" t="s">
        <v>897</v>
      </c>
      <c r="R628" s="21">
        <v>47316</v>
      </c>
      <c r="S628" s="23" t="s">
        <v>1200</v>
      </c>
      <c r="T628" s="23" t="s">
        <v>1385</v>
      </c>
      <c r="U628" s="21"/>
      <c r="V628" s="27" t="s">
        <v>907</v>
      </c>
      <c r="W628" s="26"/>
      <c r="X628" s="24">
        <v>6.2</v>
      </c>
      <c r="Y628" s="29">
        <v>0.6</v>
      </c>
      <c r="Z628" s="29">
        <v>0.4</v>
      </c>
      <c r="AA628" s="26"/>
      <c r="AB628" s="26"/>
      <c r="AC628" s="27" t="s">
        <v>901</v>
      </c>
      <c r="AD628" s="27" t="s">
        <v>901</v>
      </c>
      <c r="AE628" s="27" t="s">
        <v>901</v>
      </c>
      <c r="AF628" s="27" t="s">
        <v>901</v>
      </c>
      <c r="AG628" s="17" t="s">
        <v>1040</v>
      </c>
      <c r="AH628" t="s">
        <v>903</v>
      </c>
      <c r="AJ628" s="15"/>
      <c r="AK628" t="s">
        <v>908</v>
      </c>
    </row>
    <row r="629" spans="1:37" hidden="1" x14ac:dyDescent="0.25">
      <c r="A629" s="1"/>
      <c r="B629" s="21">
        <v>46171</v>
      </c>
      <c r="C629" s="22">
        <v>44889</v>
      </c>
      <c r="D629" s="22">
        <v>681</v>
      </c>
      <c r="E629" s="22">
        <v>68103</v>
      </c>
      <c r="F629" s="22"/>
      <c r="G629" s="23" t="s">
        <v>1386</v>
      </c>
      <c r="H629" s="23" t="s">
        <v>1200</v>
      </c>
      <c r="I629" s="23" t="s">
        <v>894</v>
      </c>
      <c r="J629" s="23" t="s">
        <v>901</v>
      </c>
      <c r="K629" s="39" t="s">
        <v>285</v>
      </c>
      <c r="L629" s="23" t="s">
        <v>901</v>
      </c>
      <c r="M629" s="23" t="s">
        <v>905</v>
      </c>
      <c r="N629" s="23" t="s">
        <v>285</v>
      </c>
      <c r="O629" s="23" t="s">
        <v>1201</v>
      </c>
      <c r="P629" s="41" t="s">
        <v>896</v>
      </c>
      <c r="Q629" s="23" t="s">
        <v>897</v>
      </c>
      <c r="R629" s="21">
        <v>47317</v>
      </c>
      <c r="S629" s="23" t="s">
        <v>1200</v>
      </c>
      <c r="T629" s="23" t="s">
        <v>1387</v>
      </c>
      <c r="U629" s="21"/>
      <c r="V629" s="27" t="s">
        <v>907</v>
      </c>
      <c r="W629" s="26"/>
      <c r="X629" s="24">
        <v>8.67</v>
      </c>
      <c r="Y629" s="29">
        <v>0.6</v>
      </c>
      <c r="Z629" s="29">
        <v>0.4</v>
      </c>
      <c r="AA629" s="26"/>
      <c r="AB629" s="26"/>
      <c r="AC629" s="27" t="s">
        <v>901</v>
      </c>
      <c r="AD629" s="27" t="s">
        <v>901</v>
      </c>
      <c r="AE629" s="27" t="s">
        <v>901</v>
      </c>
      <c r="AF629" s="27" t="s">
        <v>901</v>
      </c>
      <c r="AG629" s="17" t="s">
        <v>1040</v>
      </c>
      <c r="AH629" t="s">
        <v>903</v>
      </c>
      <c r="AJ629" s="15"/>
      <c r="AK629" t="s">
        <v>908</v>
      </c>
    </row>
    <row r="630" spans="1:37" hidden="1" x14ac:dyDescent="0.25">
      <c r="A630" s="1"/>
      <c r="B630" s="21">
        <v>46173</v>
      </c>
      <c r="C630" s="22">
        <v>45649</v>
      </c>
      <c r="D630" s="22">
        <v>701</v>
      </c>
      <c r="E630" s="22">
        <v>70102</v>
      </c>
      <c r="F630" s="22"/>
      <c r="G630" s="23" t="s">
        <v>1388</v>
      </c>
      <c r="H630" s="23" t="s">
        <v>1346</v>
      </c>
      <c r="I630" s="23" t="s">
        <v>894</v>
      </c>
      <c r="J630" s="23" t="s">
        <v>901</v>
      </c>
      <c r="K630" s="39" t="s">
        <v>36</v>
      </c>
      <c r="L630" s="23" t="s">
        <v>901</v>
      </c>
      <c r="M630" s="23" t="s">
        <v>905</v>
      </c>
      <c r="N630" s="23" t="s">
        <v>36</v>
      </c>
      <c r="O630" s="23" t="s">
        <v>1347</v>
      </c>
      <c r="P630" s="41" t="s">
        <v>896</v>
      </c>
      <c r="Q630" s="23" t="s">
        <v>897</v>
      </c>
      <c r="R630" s="21">
        <v>47318</v>
      </c>
      <c r="S630" s="23" t="s">
        <v>1346</v>
      </c>
      <c r="T630" s="23" t="s">
        <v>1389</v>
      </c>
      <c r="U630" s="21"/>
      <c r="V630" s="27" t="s">
        <v>907</v>
      </c>
      <c r="W630" s="26"/>
      <c r="X630" s="24">
        <v>0</v>
      </c>
      <c r="Y630" s="29">
        <v>0.8</v>
      </c>
      <c r="Z630" s="29">
        <v>0.2</v>
      </c>
      <c r="AA630" s="26"/>
      <c r="AB630" s="26"/>
      <c r="AC630" s="27" t="s">
        <v>901</v>
      </c>
      <c r="AD630" s="27" t="s">
        <v>901</v>
      </c>
      <c r="AE630" s="27" t="s">
        <v>901</v>
      </c>
      <c r="AF630" s="27" t="s">
        <v>901</v>
      </c>
      <c r="AG630" s="17" t="s">
        <v>1075</v>
      </c>
      <c r="AH630" t="s">
        <v>903</v>
      </c>
      <c r="AJ630" s="15"/>
      <c r="AK630" t="s">
        <v>908</v>
      </c>
    </row>
    <row r="631" spans="1:37" hidden="1" x14ac:dyDescent="0.25">
      <c r="A631" s="1"/>
      <c r="B631" s="21">
        <v>46189</v>
      </c>
      <c r="C631" s="22"/>
      <c r="D631" s="22"/>
      <c r="E631" s="22"/>
      <c r="F631" s="22"/>
      <c r="G631" s="23" t="s">
        <v>1390</v>
      </c>
      <c r="H631" s="23" t="s">
        <v>274</v>
      </c>
      <c r="I631" s="23" t="s">
        <v>894</v>
      </c>
      <c r="J631" s="23" t="s">
        <v>257</v>
      </c>
      <c r="K631" s="39" t="s">
        <v>257</v>
      </c>
      <c r="L631" s="23" t="s">
        <v>901</v>
      </c>
      <c r="M631" s="23" t="s">
        <v>905</v>
      </c>
      <c r="N631" s="23" t="s">
        <v>257</v>
      </c>
      <c r="O631" s="23" t="s">
        <v>122</v>
      </c>
      <c r="P631" s="41" t="s">
        <v>896</v>
      </c>
      <c r="Q631" s="23" t="s">
        <v>897</v>
      </c>
      <c r="R631" s="21">
        <v>47336</v>
      </c>
      <c r="S631" s="23" t="s">
        <v>274</v>
      </c>
      <c r="T631" s="23" t="s">
        <v>1391</v>
      </c>
      <c r="U631" s="21"/>
      <c r="V631" s="27" t="s">
        <v>907</v>
      </c>
      <c r="W631" s="26"/>
      <c r="X631" s="24">
        <v>7.02</v>
      </c>
      <c r="Y631" s="29">
        <v>0.75</v>
      </c>
      <c r="Z631" s="29">
        <v>0.25</v>
      </c>
      <c r="AA631" s="26"/>
      <c r="AB631" s="26"/>
      <c r="AC631" s="27" t="s">
        <v>901</v>
      </c>
      <c r="AD631" s="27" t="s">
        <v>447</v>
      </c>
      <c r="AE631" s="27" t="s">
        <v>862</v>
      </c>
      <c r="AF631" s="27" t="s">
        <v>1040</v>
      </c>
      <c r="AG631" s="17" t="s">
        <v>1040</v>
      </c>
      <c r="AH631" t="s">
        <v>1175</v>
      </c>
      <c r="AJ631" s="15">
        <f>VLOOKUP(Tabla1[[#This Row],[CPC]],[1]Sheet3!$A:$D,4,0)</f>
        <v>0.75000107428463336</v>
      </c>
      <c r="AK631" t="s">
        <v>908</v>
      </c>
    </row>
    <row r="632" spans="1:37" hidden="1" x14ac:dyDescent="0.25">
      <c r="A632" s="14"/>
      <c r="B632" s="91">
        <v>46191</v>
      </c>
      <c r="C632" s="22">
        <v>46189</v>
      </c>
      <c r="D632" s="22"/>
      <c r="E632" s="22"/>
      <c r="F632" s="22"/>
      <c r="G632" s="85" t="s">
        <v>1392</v>
      </c>
      <c r="H632" s="85" t="s">
        <v>274</v>
      </c>
      <c r="I632" s="85" t="s">
        <v>894</v>
      </c>
      <c r="J632" s="85" t="s">
        <v>257</v>
      </c>
      <c r="K632" s="39" t="s">
        <v>257</v>
      </c>
      <c r="L632" s="85" t="s">
        <v>901</v>
      </c>
      <c r="M632" s="85" t="s">
        <v>905</v>
      </c>
      <c r="N632" s="85" t="s">
        <v>257</v>
      </c>
      <c r="O632" s="85" t="s">
        <v>122</v>
      </c>
      <c r="P632" s="41" t="s">
        <v>896</v>
      </c>
      <c r="Q632" s="85" t="s">
        <v>897</v>
      </c>
      <c r="R632" s="91">
        <v>47337</v>
      </c>
      <c r="S632" s="85" t="s">
        <v>274</v>
      </c>
      <c r="T632" s="85" t="s">
        <v>1090</v>
      </c>
      <c r="U632" s="91"/>
      <c r="V632" s="85" t="s">
        <v>900</v>
      </c>
      <c r="W632" s="26"/>
      <c r="X632" s="92">
        <v>0</v>
      </c>
      <c r="Y632" s="29">
        <v>0</v>
      </c>
      <c r="Z632" s="29">
        <v>0</v>
      </c>
      <c r="AA632" s="26"/>
      <c r="AB632" s="26"/>
      <c r="AC632" s="27" t="s">
        <v>901</v>
      </c>
      <c r="AD632" s="27" t="s">
        <v>447</v>
      </c>
      <c r="AE632" s="27" t="s">
        <v>862</v>
      </c>
      <c r="AF632" s="27" t="s">
        <v>1040</v>
      </c>
      <c r="AG632" s="17" t="s">
        <v>1040</v>
      </c>
      <c r="AH632" t="s">
        <v>1175</v>
      </c>
      <c r="AJ632" s="15"/>
      <c r="AK632" t="s">
        <v>908</v>
      </c>
    </row>
    <row r="633" spans="1:37" hidden="1" x14ac:dyDescent="0.25">
      <c r="A633" s="1"/>
      <c r="B633" s="21">
        <v>46210</v>
      </c>
      <c r="C633" s="22"/>
      <c r="D633" s="22"/>
      <c r="E633" s="22"/>
      <c r="F633" s="22"/>
      <c r="G633" s="23" t="s">
        <v>1393</v>
      </c>
      <c r="H633" s="23" t="s">
        <v>1394</v>
      </c>
      <c r="I633" s="23" t="s">
        <v>894</v>
      </c>
      <c r="J633" s="23" t="s">
        <v>123</v>
      </c>
      <c r="K633" s="39" t="s">
        <v>123</v>
      </c>
      <c r="L633" s="23"/>
      <c r="M633" s="23" t="s">
        <v>123</v>
      </c>
      <c r="N633" s="23"/>
      <c r="O633" s="23" t="s">
        <v>325</v>
      </c>
      <c r="P633" s="41" t="s">
        <v>896</v>
      </c>
      <c r="Q633" s="23" t="s">
        <v>897</v>
      </c>
      <c r="R633" s="21">
        <v>47357</v>
      </c>
      <c r="S633" s="23" t="s">
        <v>1109</v>
      </c>
      <c r="T633" s="23" t="s">
        <v>1395</v>
      </c>
      <c r="U633" s="21"/>
      <c r="V633" s="23" t="s">
        <v>913</v>
      </c>
      <c r="X633" s="24">
        <v>0.4</v>
      </c>
      <c r="Y633" s="25">
        <v>0.5</v>
      </c>
      <c r="Z633" s="25">
        <v>0.5</v>
      </c>
      <c r="AD633" t="s">
        <v>372</v>
      </c>
      <c r="AE633" t="s">
        <v>123</v>
      </c>
      <c r="AF633" s="17"/>
      <c r="AG633" s="17" t="s">
        <v>902</v>
      </c>
      <c r="AH633" t="s">
        <v>903</v>
      </c>
      <c r="AJ633" s="15"/>
      <c r="AK633" t="s">
        <v>908</v>
      </c>
    </row>
    <row r="634" spans="1:37" hidden="1" x14ac:dyDescent="0.25">
      <c r="A634" s="1"/>
      <c r="B634" s="21">
        <v>46212</v>
      </c>
      <c r="C634" s="22"/>
      <c r="D634" s="22"/>
      <c r="E634" s="22"/>
      <c r="F634" s="22"/>
      <c r="G634" s="23" t="s">
        <v>1396</v>
      </c>
      <c r="H634" s="23" t="s">
        <v>1394</v>
      </c>
      <c r="I634" s="23" t="s">
        <v>894</v>
      </c>
      <c r="J634" s="23" t="s">
        <v>123</v>
      </c>
      <c r="K634" s="39" t="s">
        <v>123</v>
      </c>
      <c r="L634" s="23"/>
      <c r="M634" s="23" t="s">
        <v>123</v>
      </c>
      <c r="N634" s="23"/>
      <c r="O634" s="23" t="s">
        <v>325</v>
      </c>
      <c r="P634" s="41" t="s">
        <v>896</v>
      </c>
      <c r="Q634" s="23" t="s">
        <v>897</v>
      </c>
      <c r="R634" s="21">
        <v>47358</v>
      </c>
      <c r="S634" s="23" t="s">
        <v>1109</v>
      </c>
      <c r="T634" s="23" t="s">
        <v>1397</v>
      </c>
      <c r="U634" s="21"/>
      <c r="V634" s="23" t="s">
        <v>913</v>
      </c>
      <c r="X634" s="24">
        <v>0.82</v>
      </c>
      <c r="Y634" s="25">
        <v>0.5</v>
      </c>
      <c r="Z634" s="25">
        <v>0.5</v>
      </c>
      <c r="AD634" t="s">
        <v>372</v>
      </c>
      <c r="AE634" t="s">
        <v>123</v>
      </c>
      <c r="AF634" s="17"/>
      <c r="AG634" s="17" t="s">
        <v>902</v>
      </c>
      <c r="AH634" t="s">
        <v>903</v>
      </c>
      <c r="AJ634" s="15"/>
      <c r="AK634" t="s">
        <v>908</v>
      </c>
    </row>
    <row r="635" spans="1:37" hidden="1" x14ac:dyDescent="0.25">
      <c r="A635" s="1"/>
      <c r="B635" s="21">
        <v>46214</v>
      </c>
      <c r="C635" s="22"/>
      <c r="D635" s="22"/>
      <c r="E635" s="22"/>
      <c r="F635" s="22"/>
      <c r="G635" s="23" t="s">
        <v>1398</v>
      </c>
      <c r="H635" s="23" t="s">
        <v>1394</v>
      </c>
      <c r="I635" s="23" t="s">
        <v>894</v>
      </c>
      <c r="J635" s="23" t="s">
        <v>123</v>
      </c>
      <c r="K635" s="39" t="s">
        <v>123</v>
      </c>
      <c r="L635" s="23"/>
      <c r="M635" s="23" t="s">
        <v>123</v>
      </c>
      <c r="N635" s="23"/>
      <c r="O635" s="23" t="s">
        <v>325</v>
      </c>
      <c r="P635" s="41" t="s">
        <v>896</v>
      </c>
      <c r="Q635" s="23" t="s">
        <v>897</v>
      </c>
      <c r="R635" s="21">
        <v>47359</v>
      </c>
      <c r="S635" s="23" t="s">
        <v>1109</v>
      </c>
      <c r="T635" s="23" t="s">
        <v>1399</v>
      </c>
      <c r="U635" s="21"/>
      <c r="V635" s="23" t="s">
        <v>913</v>
      </c>
      <c r="X635" s="24">
        <v>1.23</v>
      </c>
      <c r="Y635" s="25">
        <v>0.5</v>
      </c>
      <c r="Z635" s="25">
        <v>0.5</v>
      </c>
      <c r="AD635" t="s">
        <v>372</v>
      </c>
      <c r="AE635" t="s">
        <v>123</v>
      </c>
      <c r="AF635" s="17"/>
      <c r="AG635" s="17" t="s">
        <v>902</v>
      </c>
      <c r="AH635" t="s">
        <v>903</v>
      </c>
      <c r="AJ635" s="15"/>
      <c r="AK635" t="s">
        <v>908</v>
      </c>
    </row>
    <row r="636" spans="1:37" hidden="1" x14ac:dyDescent="0.25">
      <c r="A636" s="1"/>
      <c r="B636" s="21">
        <v>46216</v>
      </c>
      <c r="C636" s="22"/>
      <c r="D636" s="22"/>
      <c r="E636" s="22"/>
      <c r="F636" s="22"/>
      <c r="G636" s="23" t="s">
        <v>1400</v>
      </c>
      <c r="H636" s="23" t="s">
        <v>1394</v>
      </c>
      <c r="I636" s="23" t="s">
        <v>894</v>
      </c>
      <c r="J636" s="23" t="s">
        <v>123</v>
      </c>
      <c r="K636" s="39" t="s">
        <v>123</v>
      </c>
      <c r="L636" s="23"/>
      <c r="M636" s="23" t="s">
        <v>123</v>
      </c>
      <c r="N636" s="23"/>
      <c r="O636" s="23" t="s">
        <v>325</v>
      </c>
      <c r="P636" s="41" t="s">
        <v>896</v>
      </c>
      <c r="Q636" s="23" t="s">
        <v>897</v>
      </c>
      <c r="R636" s="21">
        <v>47360</v>
      </c>
      <c r="S636" s="23" t="s">
        <v>1109</v>
      </c>
      <c r="T636" s="23" t="s">
        <v>1401</v>
      </c>
      <c r="U636" s="21"/>
      <c r="V636" s="23" t="s">
        <v>913</v>
      </c>
      <c r="X636" s="24">
        <v>1.64</v>
      </c>
      <c r="Y636" s="25">
        <v>0.5</v>
      </c>
      <c r="Z636" s="25">
        <v>0.5</v>
      </c>
      <c r="AD636" t="s">
        <v>372</v>
      </c>
      <c r="AE636" t="s">
        <v>123</v>
      </c>
      <c r="AF636" s="17"/>
      <c r="AG636" s="17" t="s">
        <v>902</v>
      </c>
      <c r="AH636" t="s">
        <v>903</v>
      </c>
      <c r="AJ636" s="15"/>
      <c r="AK636" t="s">
        <v>908</v>
      </c>
    </row>
    <row r="637" spans="1:37" hidden="1" x14ac:dyDescent="0.25">
      <c r="A637" s="1"/>
      <c r="B637" s="21">
        <v>46218</v>
      </c>
      <c r="C637" s="22"/>
      <c r="D637" s="22"/>
      <c r="E637" s="22"/>
      <c r="F637" s="22"/>
      <c r="G637" s="23" t="s">
        <v>1402</v>
      </c>
      <c r="H637" s="23" t="s">
        <v>1394</v>
      </c>
      <c r="I637" s="23" t="s">
        <v>894</v>
      </c>
      <c r="J637" s="23" t="s">
        <v>123</v>
      </c>
      <c r="K637" s="39" t="s">
        <v>123</v>
      </c>
      <c r="L637" s="23"/>
      <c r="M637" s="23" t="s">
        <v>123</v>
      </c>
      <c r="N637" s="23"/>
      <c r="O637" s="23" t="s">
        <v>325</v>
      </c>
      <c r="P637" s="41" t="s">
        <v>896</v>
      </c>
      <c r="Q637" s="23" t="s">
        <v>897</v>
      </c>
      <c r="R637" s="21">
        <v>47361</v>
      </c>
      <c r="S637" s="23" t="s">
        <v>1109</v>
      </c>
      <c r="T637" s="23" t="s">
        <v>1403</v>
      </c>
      <c r="U637" s="21"/>
      <c r="V637" s="23" t="s">
        <v>913</v>
      </c>
      <c r="X637" s="24">
        <v>2.06</v>
      </c>
      <c r="Y637" s="25">
        <v>0.5</v>
      </c>
      <c r="Z637" s="25">
        <v>0.5</v>
      </c>
      <c r="AD637" t="s">
        <v>372</v>
      </c>
      <c r="AE637" t="s">
        <v>123</v>
      </c>
      <c r="AF637" s="17"/>
      <c r="AG637" s="17" t="s">
        <v>902</v>
      </c>
      <c r="AH637" t="s">
        <v>903</v>
      </c>
      <c r="AJ637" s="15"/>
      <c r="AK637" t="s">
        <v>908</v>
      </c>
    </row>
    <row r="638" spans="1:37" hidden="1" x14ac:dyDescent="0.25">
      <c r="A638" s="1"/>
      <c r="B638" s="21">
        <v>46220</v>
      </c>
      <c r="C638" s="22"/>
      <c r="D638" s="22"/>
      <c r="E638" s="22"/>
      <c r="F638" s="22"/>
      <c r="G638" s="23" t="s">
        <v>1404</v>
      </c>
      <c r="H638" s="23" t="s">
        <v>1394</v>
      </c>
      <c r="I638" s="23" t="s">
        <v>894</v>
      </c>
      <c r="J638" s="23" t="s">
        <v>123</v>
      </c>
      <c r="K638" s="39" t="s">
        <v>123</v>
      </c>
      <c r="L638" s="23"/>
      <c r="M638" s="23" t="s">
        <v>123</v>
      </c>
      <c r="N638" s="23"/>
      <c r="O638" s="23" t="s">
        <v>325</v>
      </c>
      <c r="P638" s="41" t="s">
        <v>896</v>
      </c>
      <c r="Q638" s="23" t="s">
        <v>897</v>
      </c>
      <c r="R638" s="21">
        <v>47362</v>
      </c>
      <c r="S638" s="23" t="s">
        <v>1109</v>
      </c>
      <c r="T638" s="23" t="s">
        <v>1405</v>
      </c>
      <c r="U638" s="21"/>
      <c r="V638" s="23" t="s">
        <v>913</v>
      </c>
      <c r="X638" s="24">
        <v>2.4700000000000002</v>
      </c>
      <c r="Y638" s="25">
        <v>0.5</v>
      </c>
      <c r="Z638" s="25">
        <v>0.5</v>
      </c>
      <c r="AD638" t="s">
        <v>372</v>
      </c>
      <c r="AE638" t="s">
        <v>123</v>
      </c>
      <c r="AF638" s="17"/>
      <c r="AG638" s="17" t="s">
        <v>902</v>
      </c>
      <c r="AH638" t="s">
        <v>903</v>
      </c>
      <c r="AJ638" s="15"/>
      <c r="AK638" t="s">
        <v>908</v>
      </c>
    </row>
    <row r="639" spans="1:37" hidden="1" x14ac:dyDescent="0.25">
      <c r="A639" s="1"/>
      <c r="B639" s="21">
        <v>46222</v>
      </c>
      <c r="C639" s="22"/>
      <c r="D639" s="22"/>
      <c r="E639" s="22"/>
      <c r="F639" s="22"/>
      <c r="G639" s="23" t="s">
        <v>1406</v>
      </c>
      <c r="H639" s="23" t="s">
        <v>1394</v>
      </c>
      <c r="I639" s="23" t="s">
        <v>894</v>
      </c>
      <c r="J639" s="23" t="s">
        <v>123</v>
      </c>
      <c r="K639" s="39" t="s">
        <v>123</v>
      </c>
      <c r="L639" s="23"/>
      <c r="M639" s="23" t="s">
        <v>123</v>
      </c>
      <c r="N639" s="23"/>
      <c r="O639" s="23" t="s">
        <v>325</v>
      </c>
      <c r="P639" s="41" t="s">
        <v>896</v>
      </c>
      <c r="Q639" s="23" t="s">
        <v>897</v>
      </c>
      <c r="R639" s="21">
        <v>47363</v>
      </c>
      <c r="S639" s="23" t="s">
        <v>1109</v>
      </c>
      <c r="T639" s="23" t="s">
        <v>1407</v>
      </c>
      <c r="U639" s="21"/>
      <c r="V639" s="23" t="s">
        <v>913</v>
      </c>
      <c r="X639" s="24">
        <v>3.3</v>
      </c>
      <c r="Y639" s="25">
        <v>0.5</v>
      </c>
      <c r="Z639" s="25">
        <v>0.5</v>
      </c>
      <c r="AD639" t="s">
        <v>372</v>
      </c>
      <c r="AE639" t="s">
        <v>123</v>
      </c>
      <c r="AF639" s="17"/>
      <c r="AG639" s="17" t="s">
        <v>902</v>
      </c>
      <c r="AH639" t="s">
        <v>903</v>
      </c>
      <c r="AJ639" s="15"/>
      <c r="AK639" t="s">
        <v>908</v>
      </c>
    </row>
    <row r="640" spans="1:37" hidden="1" x14ac:dyDescent="0.25">
      <c r="A640" s="1"/>
      <c r="B640" s="21">
        <v>46224</v>
      </c>
      <c r="C640" s="22"/>
      <c r="D640" s="22"/>
      <c r="E640" s="22"/>
      <c r="F640" s="22"/>
      <c r="G640" s="23" t="s">
        <v>1408</v>
      </c>
      <c r="H640" s="23" t="s">
        <v>1394</v>
      </c>
      <c r="I640" s="23" t="s">
        <v>894</v>
      </c>
      <c r="J640" s="23" t="s">
        <v>123</v>
      </c>
      <c r="K640" s="39" t="s">
        <v>123</v>
      </c>
      <c r="L640" s="23"/>
      <c r="M640" s="23" t="s">
        <v>123</v>
      </c>
      <c r="N640" s="23"/>
      <c r="O640" s="23" t="s">
        <v>325</v>
      </c>
      <c r="P640" s="41" t="s">
        <v>896</v>
      </c>
      <c r="Q640" s="23" t="s">
        <v>897</v>
      </c>
      <c r="R640" s="21">
        <v>47364</v>
      </c>
      <c r="S640" s="23" t="s">
        <v>1109</v>
      </c>
      <c r="T640" s="23" t="s">
        <v>1409</v>
      </c>
      <c r="U640" s="21"/>
      <c r="V640" s="23" t="s">
        <v>913</v>
      </c>
      <c r="X640" s="24">
        <v>4.12</v>
      </c>
      <c r="Y640" s="25">
        <v>0.5</v>
      </c>
      <c r="Z640" s="25">
        <v>0.5</v>
      </c>
      <c r="AF640" s="17"/>
      <c r="AG640" s="17" t="s">
        <v>902</v>
      </c>
      <c r="AH640" t="s">
        <v>903</v>
      </c>
      <c r="AJ640" s="15"/>
      <c r="AK640" t="s">
        <v>908</v>
      </c>
    </row>
    <row r="641" spans="1:37" hidden="1" x14ac:dyDescent="0.25">
      <c r="A641" s="1"/>
      <c r="B641" s="21">
        <v>46229</v>
      </c>
      <c r="C641" s="22">
        <v>46071</v>
      </c>
      <c r="D641" s="22"/>
      <c r="E641" s="22"/>
      <c r="F641" s="22"/>
      <c r="G641" s="23" t="s">
        <v>1410</v>
      </c>
      <c r="H641" s="23" t="s">
        <v>1411</v>
      </c>
      <c r="I641" s="23" t="s">
        <v>894</v>
      </c>
      <c r="J641" s="23"/>
      <c r="K641" s="39" t="s">
        <v>123</v>
      </c>
      <c r="L641" s="23"/>
      <c r="M641" s="23" t="s">
        <v>123</v>
      </c>
      <c r="N641" s="23"/>
      <c r="O641" s="23" t="s">
        <v>325</v>
      </c>
      <c r="P641" s="41" t="s">
        <v>896</v>
      </c>
      <c r="Q641" s="23" t="s">
        <v>897</v>
      </c>
      <c r="R641" s="21">
        <v>47376</v>
      </c>
      <c r="S641" s="23" t="s">
        <v>1377</v>
      </c>
      <c r="T641" s="23" t="s">
        <v>1412</v>
      </c>
      <c r="U641" s="21"/>
      <c r="V641" s="23" t="s">
        <v>900</v>
      </c>
      <c r="X641" s="24">
        <v>0</v>
      </c>
      <c r="Y641" s="25">
        <v>0</v>
      </c>
      <c r="Z641" s="25">
        <v>0</v>
      </c>
      <c r="AD641" t="s">
        <v>372</v>
      </c>
      <c r="AE641" t="s">
        <v>123</v>
      </c>
      <c r="AF641" s="17"/>
      <c r="AG641" s="17" t="s">
        <v>902</v>
      </c>
      <c r="AH641" t="s">
        <v>903</v>
      </c>
      <c r="AJ641" s="15"/>
      <c r="AK641" t="s">
        <v>908</v>
      </c>
    </row>
    <row r="642" spans="1:37" hidden="1" x14ac:dyDescent="0.25">
      <c r="A642" s="1"/>
      <c r="B642" s="21">
        <v>46231</v>
      </c>
      <c r="C642" s="22">
        <v>46109</v>
      </c>
      <c r="D642" s="22"/>
      <c r="E642" s="22"/>
      <c r="F642" s="22"/>
      <c r="G642" s="23" t="s">
        <v>1413</v>
      </c>
      <c r="H642" s="23" t="s">
        <v>1414</v>
      </c>
      <c r="I642" s="23" t="s">
        <v>894</v>
      </c>
      <c r="J642" s="23"/>
      <c r="K642" s="39" t="s">
        <v>36</v>
      </c>
      <c r="L642" s="23"/>
      <c r="M642" s="23" t="s">
        <v>905</v>
      </c>
      <c r="N642" s="23" t="s">
        <v>36</v>
      </c>
      <c r="O642" s="23" t="s">
        <v>1371</v>
      </c>
      <c r="P642" s="41" t="s">
        <v>896</v>
      </c>
      <c r="Q642" s="23" t="s">
        <v>897</v>
      </c>
      <c r="R642" s="21">
        <v>47377</v>
      </c>
      <c r="S642" s="23" t="s">
        <v>1380</v>
      </c>
      <c r="T642" s="23" t="s">
        <v>1412</v>
      </c>
      <c r="U642" s="21"/>
      <c r="V642" s="23" t="s">
        <v>900</v>
      </c>
      <c r="X642" s="24">
        <v>0</v>
      </c>
      <c r="Y642" s="25">
        <v>0</v>
      </c>
      <c r="Z642" s="25">
        <v>0</v>
      </c>
      <c r="AF642" s="17"/>
      <c r="AG642" s="17" t="s">
        <v>1040</v>
      </c>
      <c r="AH642" t="s">
        <v>903</v>
      </c>
      <c r="AJ642" s="15"/>
      <c r="AK642" t="s">
        <v>908</v>
      </c>
    </row>
    <row r="643" spans="1:37" hidden="1" x14ac:dyDescent="0.25">
      <c r="A643" s="1"/>
      <c r="B643" s="21">
        <v>46269</v>
      </c>
      <c r="C643" s="22"/>
      <c r="D643" s="22"/>
      <c r="E643" s="22"/>
      <c r="F643" s="22"/>
      <c r="G643" s="23" t="s">
        <v>1415</v>
      </c>
      <c r="H643" s="23" t="s">
        <v>1416</v>
      </c>
      <c r="I643" s="23" t="s">
        <v>894</v>
      </c>
      <c r="J643" s="23" t="s">
        <v>123</v>
      </c>
      <c r="K643" s="39" t="s">
        <v>123</v>
      </c>
      <c r="L643" s="23"/>
      <c r="M643" s="23" t="s">
        <v>123</v>
      </c>
      <c r="N643" s="23"/>
      <c r="O643" s="23" t="s">
        <v>86</v>
      </c>
      <c r="P643" s="41" t="s">
        <v>896</v>
      </c>
      <c r="Q643" s="23" t="s">
        <v>897</v>
      </c>
      <c r="R643" s="21">
        <v>47396</v>
      </c>
      <c r="S643" s="23" t="s">
        <v>1416</v>
      </c>
      <c r="T643" s="23" t="s">
        <v>1215</v>
      </c>
      <c r="U643" s="21">
        <v>149</v>
      </c>
      <c r="V643" s="23" t="s">
        <v>900</v>
      </c>
      <c r="X643" s="24">
        <v>5.78</v>
      </c>
      <c r="Y643" s="25">
        <v>0.8</v>
      </c>
      <c r="Z643" s="25">
        <v>0.2</v>
      </c>
      <c r="AF643" s="17"/>
      <c r="AG643" s="17" t="s">
        <v>1075</v>
      </c>
      <c r="AH643" t="s">
        <v>903</v>
      </c>
      <c r="AI643" t="s">
        <v>1076</v>
      </c>
      <c r="AJ643" s="15">
        <f>VLOOKUP(Tabla1[[#This Row],[CPC]],[1]Sheet3!$A:$D,4,0)</f>
        <v>0.79997095446164679</v>
      </c>
      <c r="AK643" t="s">
        <v>908</v>
      </c>
    </row>
    <row r="644" spans="1:37" hidden="1" x14ac:dyDescent="0.25">
      <c r="A644" s="1"/>
      <c r="B644" s="21">
        <v>46271</v>
      </c>
      <c r="C644" s="22"/>
      <c r="D644" s="22"/>
      <c r="E644" s="22"/>
      <c r="F644" s="22"/>
      <c r="G644" s="23" t="s">
        <v>1417</v>
      </c>
      <c r="H644" s="23" t="s">
        <v>1416</v>
      </c>
      <c r="I644" s="23" t="s">
        <v>894</v>
      </c>
      <c r="J644" s="23" t="s">
        <v>123</v>
      </c>
      <c r="K644" s="39" t="s">
        <v>123</v>
      </c>
      <c r="L644" s="23"/>
      <c r="M644" s="23" t="s">
        <v>123</v>
      </c>
      <c r="N644" s="23"/>
      <c r="O644" s="23" t="s">
        <v>86</v>
      </c>
      <c r="P644" s="41" t="s">
        <v>896</v>
      </c>
      <c r="Q644" s="23" t="s">
        <v>897</v>
      </c>
      <c r="R644" s="21">
        <v>47397</v>
      </c>
      <c r="S644" s="23" t="s">
        <v>1416</v>
      </c>
      <c r="T644" s="23" t="s">
        <v>1125</v>
      </c>
      <c r="U644" s="21">
        <v>130</v>
      </c>
      <c r="V644" s="23" t="s">
        <v>913</v>
      </c>
      <c r="X644" s="24">
        <v>0.82</v>
      </c>
      <c r="Y644" s="25">
        <v>0.8</v>
      </c>
      <c r="Z644" s="25">
        <v>0.2</v>
      </c>
      <c r="AF644" s="17"/>
      <c r="AG644" s="17" t="s">
        <v>1075</v>
      </c>
      <c r="AH644" t="s">
        <v>903</v>
      </c>
      <c r="AI644" t="s">
        <v>1076</v>
      </c>
      <c r="AJ644" s="15">
        <f>VLOOKUP(Tabla1[[#This Row],[CPC]],[1]Sheet3!$A:$D,4,0)</f>
        <v>0.80487804878048785</v>
      </c>
      <c r="AK644" t="s">
        <v>908</v>
      </c>
    </row>
    <row r="645" spans="1:37" hidden="1" x14ac:dyDescent="0.25">
      <c r="A645" s="1"/>
      <c r="B645" s="21">
        <v>46273</v>
      </c>
      <c r="C645" s="22"/>
      <c r="D645" s="22"/>
      <c r="E645" s="22"/>
      <c r="F645" s="22"/>
      <c r="G645" s="23" t="s">
        <v>1417</v>
      </c>
      <c r="H645" s="23" t="s">
        <v>1416</v>
      </c>
      <c r="I645" s="23" t="s">
        <v>894</v>
      </c>
      <c r="J645" s="23" t="s">
        <v>123</v>
      </c>
      <c r="K645" s="39" t="s">
        <v>123</v>
      </c>
      <c r="L645" s="23"/>
      <c r="M645" s="23" t="s">
        <v>123</v>
      </c>
      <c r="N645" s="23"/>
      <c r="O645" s="23" t="s">
        <v>86</v>
      </c>
      <c r="P645" s="41" t="s">
        <v>896</v>
      </c>
      <c r="Q645" s="23" t="s">
        <v>897</v>
      </c>
      <c r="R645" s="21">
        <v>47398</v>
      </c>
      <c r="S645" s="23" t="s">
        <v>1416</v>
      </c>
      <c r="T645" s="23" t="s">
        <v>1131</v>
      </c>
      <c r="U645" s="21">
        <v>137</v>
      </c>
      <c r="V645" s="23" t="s">
        <v>913</v>
      </c>
      <c r="X645" s="24">
        <v>2.4700000000000002</v>
      </c>
      <c r="Y645" s="25">
        <v>0.8</v>
      </c>
      <c r="Z645" s="25">
        <v>0.2</v>
      </c>
      <c r="AF645" s="17"/>
      <c r="AG645" s="17" t="s">
        <v>1075</v>
      </c>
      <c r="AH645" t="s">
        <v>903</v>
      </c>
      <c r="AI645" t="s">
        <v>1076</v>
      </c>
      <c r="AJ645" s="15">
        <f>VLOOKUP(Tabla1[[#This Row],[CPC]],[1]Sheet3!$A:$D,4,0)</f>
        <v>0.80161943319838047</v>
      </c>
      <c r="AK645" t="s">
        <v>908</v>
      </c>
    </row>
    <row r="646" spans="1:37" hidden="1" x14ac:dyDescent="0.25">
      <c r="A646" s="1"/>
      <c r="B646" s="21">
        <v>46275</v>
      </c>
      <c r="C646" s="22"/>
      <c r="D646" s="22"/>
      <c r="E646" s="22"/>
      <c r="F646" s="22"/>
      <c r="G646" s="23" t="s">
        <v>1417</v>
      </c>
      <c r="H646" s="23" t="s">
        <v>1416</v>
      </c>
      <c r="I646" s="23" t="s">
        <v>894</v>
      </c>
      <c r="J646" s="23" t="s">
        <v>123</v>
      </c>
      <c r="K646" s="39" t="s">
        <v>123</v>
      </c>
      <c r="L646" s="23"/>
      <c r="M646" s="23" t="s">
        <v>123</v>
      </c>
      <c r="N646" s="23"/>
      <c r="O646" s="23" t="s">
        <v>86</v>
      </c>
      <c r="P646" s="41" t="s">
        <v>896</v>
      </c>
      <c r="Q646" s="23" t="s">
        <v>897</v>
      </c>
      <c r="R646" s="21">
        <v>47399</v>
      </c>
      <c r="S646" s="23" t="s">
        <v>1416</v>
      </c>
      <c r="T646" s="23" t="s">
        <v>1339</v>
      </c>
      <c r="U646" s="21"/>
      <c r="V646" s="23" t="s">
        <v>913</v>
      </c>
      <c r="X646" s="24">
        <v>4.12</v>
      </c>
      <c r="Y646" s="25">
        <v>0.8</v>
      </c>
      <c r="Z646" s="25">
        <v>0.2</v>
      </c>
      <c r="AF646" s="17"/>
      <c r="AG646" s="17" t="s">
        <v>1075</v>
      </c>
      <c r="AH646" t="s">
        <v>903</v>
      </c>
      <c r="AI646" t="s">
        <v>1076</v>
      </c>
      <c r="AJ646" s="15"/>
      <c r="AK646" t="s">
        <v>908</v>
      </c>
    </row>
    <row r="647" spans="1:37" hidden="1" x14ac:dyDescent="0.25">
      <c r="A647" s="14"/>
      <c r="B647" s="91">
        <v>46277</v>
      </c>
      <c r="C647" s="22"/>
      <c r="D647" s="22"/>
      <c r="E647" s="22"/>
      <c r="F647" s="22"/>
      <c r="G647" s="85" t="s">
        <v>1417</v>
      </c>
      <c r="H647" s="85" t="s">
        <v>1416</v>
      </c>
      <c r="I647" s="85" t="s">
        <v>894</v>
      </c>
      <c r="J647" s="85" t="s">
        <v>123</v>
      </c>
      <c r="K647" s="39" t="s">
        <v>123</v>
      </c>
      <c r="L647" s="85"/>
      <c r="M647" s="85" t="s">
        <v>123</v>
      </c>
      <c r="N647" s="85"/>
      <c r="O647" s="85" t="s">
        <v>86</v>
      </c>
      <c r="P647" s="41" t="s">
        <v>896</v>
      </c>
      <c r="Q647" s="85" t="s">
        <v>897</v>
      </c>
      <c r="R647" s="91">
        <v>47400</v>
      </c>
      <c r="S647" s="85" t="s">
        <v>1416</v>
      </c>
      <c r="T647" s="85" t="s">
        <v>1215</v>
      </c>
      <c r="U647" s="91">
        <v>149</v>
      </c>
      <c r="V647" s="85" t="s">
        <v>913</v>
      </c>
      <c r="X647" s="92">
        <v>5.78</v>
      </c>
      <c r="Y647" s="93">
        <v>0.8</v>
      </c>
      <c r="Z647" s="93">
        <v>0.2</v>
      </c>
      <c r="AA647" s="107"/>
      <c r="AB647" s="107"/>
      <c r="AF647" s="17"/>
      <c r="AG647" s="17" t="s">
        <v>1075</v>
      </c>
      <c r="AH647" t="s">
        <v>903</v>
      </c>
      <c r="AI647" t="s">
        <v>1076</v>
      </c>
      <c r="AJ647" s="15"/>
      <c r="AK647" t="s">
        <v>908</v>
      </c>
    </row>
    <row r="648" spans="1:37" hidden="1" x14ac:dyDescent="0.25">
      <c r="A648" s="1"/>
      <c r="B648" s="21">
        <v>46289</v>
      </c>
      <c r="C648" s="22">
        <v>44029</v>
      </c>
      <c r="D648" s="22"/>
      <c r="E648" s="22"/>
      <c r="F648" s="22"/>
      <c r="G648" s="23" t="s">
        <v>1418</v>
      </c>
      <c r="H648" s="23" t="s">
        <v>1419</v>
      </c>
      <c r="I648" s="23" t="s">
        <v>894</v>
      </c>
      <c r="J648" s="23" t="s">
        <v>257</v>
      </c>
      <c r="K648" s="39" t="s">
        <v>257</v>
      </c>
      <c r="L648" s="23" t="s">
        <v>901</v>
      </c>
      <c r="M648" s="23" t="s">
        <v>905</v>
      </c>
      <c r="N648" s="23" t="s">
        <v>257</v>
      </c>
      <c r="O648" s="23" t="s">
        <v>433</v>
      </c>
      <c r="P648" s="41" t="s">
        <v>896</v>
      </c>
      <c r="Q648" s="23" t="s">
        <v>897</v>
      </c>
      <c r="R648" s="21">
        <v>47416</v>
      </c>
      <c r="S648" s="23" t="s">
        <v>434</v>
      </c>
      <c r="T648" s="23" t="s">
        <v>1389</v>
      </c>
      <c r="U648" s="21"/>
      <c r="V648" s="23" t="s">
        <v>900</v>
      </c>
      <c r="W648" s="109"/>
      <c r="X648" s="24">
        <v>0</v>
      </c>
      <c r="Y648" s="25">
        <v>0</v>
      </c>
      <c r="Z648" s="25">
        <v>0</v>
      </c>
      <c r="AA648" s="111"/>
      <c r="AB648" s="111"/>
      <c r="AC648" s="110" t="s">
        <v>901</v>
      </c>
      <c r="AD648" s="110" t="s">
        <v>436</v>
      </c>
      <c r="AE648" s="110" t="s">
        <v>862</v>
      </c>
      <c r="AF648" s="112" t="s">
        <v>901</v>
      </c>
      <c r="AG648" s="113" t="s">
        <v>1040</v>
      </c>
      <c r="AH648" t="s">
        <v>903</v>
      </c>
      <c r="AJ648" s="15"/>
      <c r="AK648" t="s">
        <v>908</v>
      </c>
    </row>
    <row r="649" spans="1:37" hidden="1" x14ac:dyDescent="0.25">
      <c r="A649" s="1"/>
      <c r="B649" s="21">
        <v>46309</v>
      </c>
      <c r="C649" s="22"/>
      <c r="D649" s="22"/>
      <c r="E649" s="22"/>
      <c r="F649" s="22"/>
      <c r="G649" s="23" t="s">
        <v>1420</v>
      </c>
      <c r="H649" s="23" t="s">
        <v>1421</v>
      </c>
      <c r="I649" s="23" t="s">
        <v>894</v>
      </c>
      <c r="J649" s="23" t="s">
        <v>901</v>
      </c>
      <c r="K649" s="39" t="s">
        <v>280</v>
      </c>
      <c r="L649" s="23" t="s">
        <v>901</v>
      </c>
      <c r="M649" s="23" t="s">
        <v>901</v>
      </c>
      <c r="N649" s="23" t="s">
        <v>280</v>
      </c>
      <c r="O649" s="23" t="s">
        <v>86</v>
      </c>
      <c r="P649" s="41" t="s">
        <v>896</v>
      </c>
      <c r="Q649" s="23" t="s">
        <v>897</v>
      </c>
      <c r="R649" s="21">
        <v>47436</v>
      </c>
      <c r="S649" s="23" t="s">
        <v>1421</v>
      </c>
      <c r="T649" s="23" t="s">
        <v>1422</v>
      </c>
      <c r="U649" s="21"/>
      <c r="V649" s="27" t="s">
        <v>907</v>
      </c>
      <c r="W649" s="109"/>
      <c r="X649" s="24">
        <v>7.49</v>
      </c>
      <c r="Y649" s="25">
        <v>0.75</v>
      </c>
      <c r="Z649" s="25">
        <v>0.25</v>
      </c>
      <c r="AA649" s="111"/>
      <c r="AB649" s="111"/>
      <c r="AC649" s="110" t="s">
        <v>901</v>
      </c>
      <c r="AD649" s="110" t="s">
        <v>901</v>
      </c>
      <c r="AE649" s="110" t="s">
        <v>901</v>
      </c>
      <c r="AF649" s="112" t="s">
        <v>901</v>
      </c>
      <c r="AG649" s="113" t="s">
        <v>1075</v>
      </c>
      <c r="AH649" t="s">
        <v>903</v>
      </c>
      <c r="AI649" t="s">
        <v>1076</v>
      </c>
      <c r="AJ649" s="15"/>
      <c r="AK649" t="s">
        <v>908</v>
      </c>
    </row>
    <row r="650" spans="1:37" hidden="1" x14ac:dyDescent="0.25">
      <c r="A650" s="1"/>
      <c r="B650" s="21">
        <v>46311</v>
      </c>
      <c r="C650" s="22">
        <v>46309</v>
      </c>
      <c r="D650" s="22"/>
      <c r="E650" s="22"/>
      <c r="F650" s="22"/>
      <c r="G650" s="23" t="s">
        <v>1423</v>
      </c>
      <c r="H650" s="23" t="s">
        <v>1424</v>
      </c>
      <c r="I650" s="23" t="s">
        <v>894</v>
      </c>
      <c r="J650" s="23" t="s">
        <v>901</v>
      </c>
      <c r="K650" s="39" t="s">
        <v>280</v>
      </c>
      <c r="L650" s="23" t="s">
        <v>901</v>
      </c>
      <c r="M650" s="23" t="s">
        <v>901</v>
      </c>
      <c r="N650" s="23" t="s">
        <v>280</v>
      </c>
      <c r="O650" s="23" t="s">
        <v>86</v>
      </c>
      <c r="P650" s="41" t="s">
        <v>896</v>
      </c>
      <c r="Q650" s="23" t="s">
        <v>897</v>
      </c>
      <c r="R650" s="21">
        <v>47437</v>
      </c>
      <c r="S650" s="23" t="s">
        <v>1421</v>
      </c>
      <c r="T650" s="23" t="s">
        <v>1389</v>
      </c>
      <c r="U650" s="21"/>
      <c r="V650" s="23" t="s">
        <v>900</v>
      </c>
      <c r="W650" s="109"/>
      <c r="X650" s="24">
        <v>0</v>
      </c>
      <c r="Y650" s="25">
        <v>0</v>
      </c>
      <c r="Z650" s="25">
        <v>0</v>
      </c>
      <c r="AA650" s="111"/>
      <c r="AB650" s="111"/>
      <c r="AC650" s="110" t="s">
        <v>901</v>
      </c>
      <c r="AD650" s="110" t="s">
        <v>901</v>
      </c>
      <c r="AE650" s="110" t="s">
        <v>901</v>
      </c>
      <c r="AF650" s="112" t="s">
        <v>901</v>
      </c>
      <c r="AG650" s="113" t="s">
        <v>1075</v>
      </c>
      <c r="AH650" t="s">
        <v>903</v>
      </c>
      <c r="AI650" t="s">
        <v>1076</v>
      </c>
      <c r="AJ650" s="15"/>
      <c r="AK650" t="s">
        <v>908</v>
      </c>
    </row>
    <row r="651" spans="1:37" hidden="1" x14ac:dyDescent="0.25">
      <c r="A651" s="1"/>
      <c r="B651" s="21">
        <v>46313</v>
      </c>
      <c r="C651" s="22"/>
      <c r="D651" s="22"/>
      <c r="E651" s="22"/>
      <c r="F651" s="22"/>
      <c r="G651" s="23" t="s">
        <v>1425</v>
      </c>
      <c r="H651" s="23" t="s">
        <v>1426</v>
      </c>
      <c r="I651" s="23" t="s">
        <v>894</v>
      </c>
      <c r="J651" s="23" t="s">
        <v>901</v>
      </c>
      <c r="K651" s="39" t="s">
        <v>280</v>
      </c>
      <c r="L651" s="23" t="s">
        <v>901</v>
      </c>
      <c r="M651" s="23" t="s">
        <v>901</v>
      </c>
      <c r="N651" s="23" t="s">
        <v>280</v>
      </c>
      <c r="O651" s="23" t="s">
        <v>86</v>
      </c>
      <c r="P651" s="41" t="s">
        <v>896</v>
      </c>
      <c r="Q651" s="23" t="s">
        <v>897</v>
      </c>
      <c r="R651" s="21">
        <v>47438</v>
      </c>
      <c r="S651" s="23" t="s">
        <v>1426</v>
      </c>
      <c r="T651" s="23" t="s">
        <v>1183</v>
      </c>
      <c r="U651" s="21">
        <v>122</v>
      </c>
      <c r="V651" s="27" t="s">
        <v>907</v>
      </c>
      <c r="W651" s="109"/>
      <c r="X651" s="24">
        <v>8.26</v>
      </c>
      <c r="Y651" s="25">
        <v>0.75</v>
      </c>
      <c r="Z651" s="25">
        <v>0.25</v>
      </c>
      <c r="AA651" s="111"/>
      <c r="AB651" s="111"/>
      <c r="AC651" s="110" t="s">
        <v>901</v>
      </c>
      <c r="AD651" s="110" t="s">
        <v>901</v>
      </c>
      <c r="AE651" s="110" t="s">
        <v>901</v>
      </c>
      <c r="AF651" s="112" t="s">
        <v>901</v>
      </c>
      <c r="AG651" s="113" t="s">
        <v>1075</v>
      </c>
      <c r="AH651" t="s">
        <v>903</v>
      </c>
      <c r="AI651" t="s">
        <v>1076</v>
      </c>
      <c r="AJ651" s="15"/>
      <c r="AK651" t="s">
        <v>908</v>
      </c>
    </row>
    <row r="652" spans="1:37" hidden="1" x14ac:dyDescent="0.25">
      <c r="A652" s="1"/>
      <c r="B652" s="21">
        <v>46315</v>
      </c>
      <c r="C652" s="22">
        <v>46313</v>
      </c>
      <c r="D652" s="22"/>
      <c r="E652" s="22"/>
      <c r="F652" s="22"/>
      <c r="G652" s="23" t="s">
        <v>1427</v>
      </c>
      <c r="H652" s="23" t="s">
        <v>1428</v>
      </c>
      <c r="I652" s="23" t="s">
        <v>894</v>
      </c>
      <c r="J652" s="23" t="s">
        <v>901</v>
      </c>
      <c r="K652" s="39" t="s">
        <v>280</v>
      </c>
      <c r="L652" s="23" t="s">
        <v>901</v>
      </c>
      <c r="M652" s="23" t="s">
        <v>901</v>
      </c>
      <c r="N652" s="23" t="s">
        <v>280</v>
      </c>
      <c r="O652" s="23" t="s">
        <v>86</v>
      </c>
      <c r="P652" s="41" t="s">
        <v>896</v>
      </c>
      <c r="Q652" s="23" t="s">
        <v>897</v>
      </c>
      <c r="R652" s="21">
        <v>47439</v>
      </c>
      <c r="S652" s="23" t="s">
        <v>1426</v>
      </c>
      <c r="T652" s="23" t="s">
        <v>1389</v>
      </c>
      <c r="U652" s="21"/>
      <c r="V652" s="23" t="s">
        <v>900</v>
      </c>
      <c r="W652" s="109"/>
      <c r="X652" s="24">
        <v>0</v>
      </c>
      <c r="Y652" s="25">
        <v>0</v>
      </c>
      <c r="Z652" s="25">
        <v>0</v>
      </c>
      <c r="AA652" s="111"/>
      <c r="AB652" s="111"/>
      <c r="AC652" s="110" t="s">
        <v>901</v>
      </c>
      <c r="AD652" s="110" t="s">
        <v>901</v>
      </c>
      <c r="AE652" s="110" t="s">
        <v>901</v>
      </c>
      <c r="AF652" s="112" t="s">
        <v>901</v>
      </c>
      <c r="AG652" s="113" t="s">
        <v>1075</v>
      </c>
      <c r="AH652" t="s">
        <v>903</v>
      </c>
      <c r="AI652" t="s">
        <v>1076</v>
      </c>
      <c r="AJ652" s="15"/>
      <c r="AK652" t="s">
        <v>908</v>
      </c>
    </row>
    <row r="653" spans="1:37" hidden="1" x14ac:dyDescent="0.25">
      <c r="A653" s="14"/>
      <c r="B653" s="91">
        <v>46349</v>
      </c>
      <c r="C653" s="22">
        <v>45789</v>
      </c>
      <c r="D653" s="22"/>
      <c r="E653" s="22"/>
      <c r="F653" s="22"/>
      <c r="G653" s="85" t="s">
        <v>1429</v>
      </c>
      <c r="H653" s="85" t="s">
        <v>1430</v>
      </c>
      <c r="I653" s="85" t="s">
        <v>894</v>
      </c>
      <c r="J653" s="85" t="s">
        <v>901</v>
      </c>
      <c r="K653" s="39" t="s">
        <v>257</v>
      </c>
      <c r="L653" s="85" t="s">
        <v>901</v>
      </c>
      <c r="M653" s="85" t="s">
        <v>905</v>
      </c>
      <c r="N653" s="85" t="s">
        <v>257</v>
      </c>
      <c r="O653" s="85" t="s">
        <v>86</v>
      </c>
      <c r="P653" s="41" t="s">
        <v>896</v>
      </c>
      <c r="Q653" s="85" t="s">
        <v>897</v>
      </c>
      <c r="R653" s="91">
        <v>47458</v>
      </c>
      <c r="S653" s="85" t="s">
        <v>1358</v>
      </c>
      <c r="T653" s="85" t="s">
        <v>1389</v>
      </c>
      <c r="U653" s="91"/>
      <c r="V653" s="85" t="s">
        <v>1431</v>
      </c>
      <c r="W653" s="114"/>
      <c r="X653" s="92">
        <v>0</v>
      </c>
      <c r="Y653" s="93">
        <v>0</v>
      </c>
      <c r="Z653" s="93">
        <v>0</v>
      </c>
      <c r="AA653" s="115"/>
      <c r="AB653" s="115"/>
      <c r="AC653" s="116" t="s">
        <v>901</v>
      </c>
      <c r="AD653" s="116" t="s">
        <v>901</v>
      </c>
      <c r="AE653" s="116" t="s">
        <v>901</v>
      </c>
      <c r="AF653" s="117" t="s">
        <v>901</v>
      </c>
      <c r="AG653" s="118" t="s">
        <v>1075</v>
      </c>
      <c r="AH653" t="s">
        <v>903</v>
      </c>
      <c r="AI653" t="s">
        <v>1076</v>
      </c>
      <c r="AJ653" s="15"/>
      <c r="AK653" t="s">
        <v>908</v>
      </c>
    </row>
    <row r="654" spans="1:37" hidden="1" x14ac:dyDescent="0.25">
      <c r="A654" s="1"/>
      <c r="B654" s="21">
        <v>46369</v>
      </c>
      <c r="C654" s="22"/>
      <c r="D654" s="22">
        <v>714</v>
      </c>
      <c r="E654" s="22">
        <v>71401</v>
      </c>
      <c r="F654" s="22"/>
      <c r="G654" s="23" t="s">
        <v>1432</v>
      </c>
      <c r="H654" s="23" t="s">
        <v>1433</v>
      </c>
      <c r="I654" s="23" t="s">
        <v>894</v>
      </c>
      <c r="J654" s="23" t="s">
        <v>901</v>
      </c>
      <c r="K654" s="39" t="s">
        <v>1119</v>
      </c>
      <c r="L654" s="23" t="s">
        <v>901</v>
      </c>
      <c r="M654" s="23" t="s">
        <v>905</v>
      </c>
      <c r="N654" s="23" t="s">
        <v>1119</v>
      </c>
      <c r="O654" s="23" t="s">
        <v>299</v>
      </c>
      <c r="P654" s="41" t="s">
        <v>896</v>
      </c>
      <c r="Q654" s="23" t="s">
        <v>897</v>
      </c>
      <c r="R654" s="21">
        <v>47476</v>
      </c>
      <c r="S654" s="23" t="s">
        <v>1433</v>
      </c>
      <c r="T654" s="23" t="s">
        <v>1120</v>
      </c>
      <c r="U654" s="21">
        <v>128</v>
      </c>
      <c r="V654" s="23" t="s">
        <v>900</v>
      </c>
      <c r="W654" s="119"/>
      <c r="X654" s="24">
        <v>1.64</v>
      </c>
      <c r="Y654" s="127">
        <v>0.6</v>
      </c>
      <c r="Z654" s="127">
        <v>0.4</v>
      </c>
      <c r="AA654" s="119"/>
      <c r="AB654" s="119"/>
      <c r="AC654" s="128" t="s">
        <v>901</v>
      </c>
      <c r="AD654" s="128" t="s">
        <v>322</v>
      </c>
      <c r="AE654" s="128" t="s">
        <v>43</v>
      </c>
      <c r="AF654" s="128" t="s">
        <v>901</v>
      </c>
      <c r="AG654" s="128" t="s">
        <v>1040</v>
      </c>
      <c r="AH654" t="s">
        <v>903</v>
      </c>
      <c r="AJ654" s="15">
        <f>VLOOKUP(Tabla1[[#This Row],[CPC]],[1]Sheet3!$A:$D,4,0)</f>
        <v>0.59999393509619869</v>
      </c>
      <c r="AK654" t="s">
        <v>908</v>
      </c>
    </row>
    <row r="655" spans="1:37" hidden="1" x14ac:dyDescent="0.25">
      <c r="A655" s="14"/>
      <c r="B655" s="91">
        <v>46389</v>
      </c>
      <c r="C655" s="22"/>
      <c r="D655" s="22"/>
      <c r="E655" s="22"/>
      <c r="F655" s="22"/>
      <c r="G655" s="85" t="s">
        <v>1434</v>
      </c>
      <c r="H655" s="85" t="s">
        <v>1435</v>
      </c>
      <c r="I655" s="85" t="s">
        <v>894</v>
      </c>
      <c r="J655" s="85" t="s">
        <v>901</v>
      </c>
      <c r="K655" s="39" t="s">
        <v>1119</v>
      </c>
      <c r="L655" s="85" t="s">
        <v>901</v>
      </c>
      <c r="M655" s="85" t="s">
        <v>905</v>
      </c>
      <c r="N655" s="85" t="s">
        <v>1119</v>
      </c>
      <c r="O655" s="85" t="s">
        <v>1436</v>
      </c>
      <c r="P655" s="41" t="s">
        <v>896</v>
      </c>
      <c r="Q655" s="85" t="s">
        <v>897</v>
      </c>
      <c r="R655" s="91">
        <v>47496</v>
      </c>
      <c r="S655" s="85" t="s">
        <v>1435</v>
      </c>
      <c r="T655" s="85" t="s">
        <v>1314</v>
      </c>
      <c r="U655" s="91">
        <v>0</v>
      </c>
      <c r="V655" s="27" t="s">
        <v>907</v>
      </c>
      <c r="W655" s="129">
        <v>0</v>
      </c>
      <c r="X655" s="92">
        <v>7.02</v>
      </c>
      <c r="Y655" s="127">
        <v>0.75</v>
      </c>
      <c r="Z655" s="127">
        <v>0.25</v>
      </c>
      <c r="AA655" s="119"/>
      <c r="AB655" s="119"/>
      <c r="AC655" s="128" t="s">
        <v>901</v>
      </c>
      <c r="AD655" s="128" t="s">
        <v>901</v>
      </c>
      <c r="AE655" s="128" t="s">
        <v>901</v>
      </c>
      <c r="AF655" s="128" t="s">
        <v>901</v>
      </c>
      <c r="AG655" s="128" t="s">
        <v>1040</v>
      </c>
      <c r="AH655" t="s">
        <v>903</v>
      </c>
      <c r="AJ655" s="15">
        <f>VLOOKUP(Tabla1[[#This Row],[CPC]],[1]Sheet3!$A:$D,4,0)</f>
        <v>0.75071225071225078</v>
      </c>
      <c r="AK655" t="s">
        <v>908</v>
      </c>
    </row>
    <row r="656" spans="1:37" hidden="1" x14ac:dyDescent="0.25">
      <c r="A656" s="14"/>
      <c r="B656" s="91">
        <v>46449</v>
      </c>
      <c r="C656" s="22"/>
      <c r="D656" s="22"/>
      <c r="E656" s="22"/>
      <c r="F656" s="22"/>
      <c r="G656" s="85" t="s">
        <v>1437</v>
      </c>
      <c r="H656" s="85" t="s">
        <v>1438</v>
      </c>
      <c r="I656" s="85" t="s">
        <v>894</v>
      </c>
      <c r="J656" s="85" t="s">
        <v>901</v>
      </c>
      <c r="K656" s="39" t="s">
        <v>123</v>
      </c>
      <c r="L656" s="85" t="s">
        <v>901</v>
      </c>
      <c r="M656" s="85" t="s">
        <v>905</v>
      </c>
      <c r="N656" s="85" t="s">
        <v>36</v>
      </c>
      <c r="O656" s="85" t="s">
        <v>86</v>
      </c>
      <c r="P656" s="41" t="s">
        <v>896</v>
      </c>
      <c r="Q656" s="85" t="s">
        <v>897</v>
      </c>
      <c r="R656" s="91">
        <v>47536</v>
      </c>
      <c r="S656" s="85" t="s">
        <v>1438</v>
      </c>
      <c r="T656" s="85" t="s">
        <v>1186</v>
      </c>
      <c r="U656" s="91">
        <v>150</v>
      </c>
      <c r="V656" s="27" t="s">
        <v>907</v>
      </c>
      <c r="W656" s="109"/>
      <c r="X656" s="92">
        <v>6.6</v>
      </c>
      <c r="Y656" s="120">
        <v>0.6</v>
      </c>
      <c r="Z656" s="120">
        <v>0.4</v>
      </c>
      <c r="AA656" s="109"/>
      <c r="AB656" s="109"/>
      <c r="AC656" s="110" t="s">
        <v>901</v>
      </c>
      <c r="AD656" s="110" t="s">
        <v>901</v>
      </c>
      <c r="AE656" s="110" t="s">
        <v>901</v>
      </c>
      <c r="AF656" s="110" t="s">
        <v>901</v>
      </c>
      <c r="AG656" s="110" t="s">
        <v>1075</v>
      </c>
      <c r="AH656" t="s">
        <v>903</v>
      </c>
      <c r="AI656" t="s">
        <v>1076</v>
      </c>
      <c r="AJ656" s="15">
        <f>VLOOKUP(Tabla1[[#This Row],[CPC]],[1]Sheet3!$A:$D,4,0)</f>
        <v>0.6</v>
      </c>
      <c r="AK656" t="s">
        <v>908</v>
      </c>
    </row>
    <row r="657" spans="1:37" hidden="1" x14ac:dyDescent="0.25">
      <c r="A657" s="1"/>
      <c r="B657" s="21">
        <v>46469</v>
      </c>
      <c r="C657" s="22"/>
      <c r="D657" s="22"/>
      <c r="E657" s="22"/>
      <c r="F657" s="22"/>
      <c r="G657" s="23" t="s">
        <v>1439</v>
      </c>
      <c r="H657" s="23" t="s">
        <v>1440</v>
      </c>
      <c r="I657" s="23" t="s">
        <v>894</v>
      </c>
      <c r="J657" s="23" t="s">
        <v>901</v>
      </c>
      <c r="K657" s="39" t="s">
        <v>1119</v>
      </c>
      <c r="L657" s="23" t="s">
        <v>901</v>
      </c>
      <c r="M657" s="23" t="s">
        <v>905</v>
      </c>
      <c r="N657" s="23" t="s">
        <v>1119</v>
      </c>
      <c r="O657" s="23" t="s">
        <v>299</v>
      </c>
      <c r="P657" s="41" t="s">
        <v>896</v>
      </c>
      <c r="Q657" s="23" t="s">
        <v>897</v>
      </c>
      <c r="R657" s="21">
        <v>47576</v>
      </c>
      <c r="S657" s="23" t="s">
        <v>1440</v>
      </c>
      <c r="T657" s="23" t="s">
        <v>1441</v>
      </c>
      <c r="U657" s="21"/>
      <c r="V657" s="27" t="s">
        <v>907</v>
      </c>
      <c r="W657" s="121"/>
      <c r="X657" s="24">
        <v>8.18</v>
      </c>
      <c r="Y657" s="125">
        <v>0.75</v>
      </c>
      <c r="Z657" s="125">
        <v>0.24</v>
      </c>
      <c r="AA657" s="122"/>
      <c r="AB657" s="122"/>
      <c r="AC657" s="123" t="s">
        <v>901</v>
      </c>
      <c r="AD657" s="123" t="s">
        <v>901</v>
      </c>
      <c r="AE657" s="123" t="s">
        <v>901</v>
      </c>
      <c r="AF657" s="123" t="s">
        <v>901</v>
      </c>
      <c r="AG657" s="123" t="s">
        <v>1040</v>
      </c>
      <c r="AH657" t="s">
        <v>903</v>
      </c>
      <c r="AJ657" s="15">
        <f>VLOOKUP(Tabla1[[#This Row],[CPC]],[1]Sheet3!$A:$D,4,0)</f>
        <v>0.76003803314316798</v>
      </c>
      <c r="AK657" t="s">
        <v>908</v>
      </c>
    </row>
    <row r="658" spans="1:37" hidden="1" x14ac:dyDescent="0.25">
      <c r="A658" s="14"/>
      <c r="B658" s="91">
        <v>46471</v>
      </c>
      <c r="C658" s="22"/>
      <c r="D658" s="22"/>
      <c r="E658" s="22"/>
      <c r="F658" s="22"/>
      <c r="G658" s="85" t="s">
        <v>1442</v>
      </c>
      <c r="H658" s="85" t="s">
        <v>1443</v>
      </c>
      <c r="I658" s="85" t="s">
        <v>894</v>
      </c>
      <c r="J658" s="85" t="s">
        <v>901</v>
      </c>
      <c r="K658" s="39" t="s">
        <v>280</v>
      </c>
      <c r="L658" s="85" t="s">
        <v>901</v>
      </c>
      <c r="M658" s="85" t="s">
        <v>280</v>
      </c>
      <c r="N658" s="85" t="s">
        <v>901</v>
      </c>
      <c r="O658" s="85" t="s">
        <v>299</v>
      </c>
      <c r="P658" s="41" t="s">
        <v>896</v>
      </c>
      <c r="Q658" s="85" t="s">
        <v>897</v>
      </c>
      <c r="R658" s="91">
        <v>47577</v>
      </c>
      <c r="S658" s="85" t="s">
        <v>1443</v>
      </c>
      <c r="T658" s="85" t="s">
        <v>1183</v>
      </c>
      <c r="U658" s="91">
        <v>126</v>
      </c>
      <c r="V658" s="27" t="s">
        <v>907</v>
      </c>
      <c r="W658" s="124">
        <v>0</v>
      </c>
      <c r="X658" s="92">
        <v>8.26</v>
      </c>
      <c r="Y658" s="125">
        <v>0.9</v>
      </c>
      <c r="Z658" s="125">
        <v>0.1</v>
      </c>
      <c r="AA658" s="122"/>
      <c r="AB658" s="122"/>
      <c r="AC658" s="123" t="s">
        <v>901</v>
      </c>
      <c r="AD658" s="123" t="s">
        <v>901</v>
      </c>
      <c r="AE658" s="123" t="s">
        <v>901</v>
      </c>
      <c r="AF658" s="123" t="s">
        <v>901</v>
      </c>
      <c r="AG658" s="123" t="s">
        <v>902</v>
      </c>
      <c r="AH658" t="s">
        <v>903</v>
      </c>
      <c r="AJ658" s="15">
        <f>VLOOKUP(Tabla1[[#This Row],[CPC]],[1]Sheet3!$A:$D,4,0)</f>
        <v>0.89984662576687113</v>
      </c>
      <c r="AK658" t="s">
        <v>908</v>
      </c>
    </row>
    <row r="659" spans="1:37" ht="15" hidden="1" customHeight="1" x14ac:dyDescent="0.25">
      <c r="A659" s="134"/>
      <c r="B659" s="135">
        <v>9999</v>
      </c>
      <c r="C659" s="136"/>
      <c r="D659" s="136"/>
      <c r="E659" s="136"/>
      <c r="F659" s="136"/>
      <c r="G659" s="137" t="s">
        <v>1444</v>
      </c>
      <c r="H659" s="137"/>
      <c r="I659" s="137"/>
      <c r="J659" s="137"/>
      <c r="K659" s="132"/>
      <c r="L659" s="137"/>
      <c r="M659" s="137"/>
      <c r="N659" s="137"/>
      <c r="O659" s="137"/>
      <c r="P659" s="133"/>
      <c r="Q659" s="137"/>
      <c r="R659" s="135"/>
      <c r="S659" s="137"/>
      <c r="T659" s="137"/>
      <c r="U659" s="135"/>
      <c r="V659" s="137"/>
      <c r="X659" s="138"/>
      <c r="Y659" s="139"/>
      <c r="Z659" s="139"/>
      <c r="AA659" s="107"/>
      <c r="AB659" s="107"/>
      <c r="AF659" s="140"/>
      <c r="AG659" s="17"/>
      <c r="AK659" t="s">
        <v>908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G432"/>
  <sheetViews>
    <sheetView workbookViewId="0">
      <selection activeCell="E10" sqref="E10"/>
    </sheetView>
  </sheetViews>
  <sheetFormatPr defaultColWidth="11.42578125" defaultRowHeight="15" x14ac:dyDescent="0.25"/>
  <cols>
    <col min="1" max="1" width="21" bestFit="1" customWidth="1"/>
    <col min="2" max="2" width="19.5703125" bestFit="1" customWidth="1"/>
    <col min="3" max="3" width="21" bestFit="1" customWidth="1"/>
    <col min="4" max="4" width="30.85546875" bestFit="1" customWidth="1"/>
    <col min="5" max="5" width="47.7109375" bestFit="1" customWidth="1"/>
    <col min="6" max="6" width="9.7109375" bestFit="1" customWidth="1"/>
    <col min="7" max="7" width="27.140625" bestFit="1" customWidth="1"/>
  </cols>
  <sheetData>
    <row r="3" spans="1:6" x14ac:dyDescent="0.25">
      <c r="A3" s="3" t="s">
        <v>0</v>
      </c>
      <c r="B3" s="3" t="s">
        <v>1</v>
      </c>
      <c r="C3" s="3" t="s">
        <v>286</v>
      </c>
      <c r="D3" s="3" t="s">
        <v>2</v>
      </c>
      <c r="E3" s="3" t="s">
        <v>3</v>
      </c>
      <c r="F3" s="3" t="s">
        <v>866</v>
      </c>
    </row>
    <row r="4" spans="1:6" x14ac:dyDescent="0.25">
      <c r="A4" s="4" t="s">
        <v>5</v>
      </c>
      <c r="B4" s="4" t="s">
        <v>1445</v>
      </c>
      <c r="C4" s="4" t="s">
        <v>288</v>
      </c>
      <c r="D4" s="4" t="s">
        <v>11</v>
      </c>
      <c r="E4" s="4" t="s">
        <v>11</v>
      </c>
      <c r="F4" s="4">
        <v>639</v>
      </c>
    </row>
    <row r="5" spans="1:6" x14ac:dyDescent="0.25">
      <c r="A5" s="4"/>
      <c r="B5" s="4" t="s">
        <v>1445</v>
      </c>
      <c r="C5" s="4" t="s">
        <v>290</v>
      </c>
      <c r="D5" s="4" t="s">
        <v>7</v>
      </c>
      <c r="E5" s="4" t="s">
        <v>8</v>
      </c>
      <c r="F5" s="4" t="s">
        <v>303</v>
      </c>
    </row>
    <row r="6" spans="1:6" x14ac:dyDescent="0.25">
      <c r="A6" s="4"/>
      <c r="B6" s="4" t="s">
        <v>1445</v>
      </c>
      <c r="C6" s="4"/>
      <c r="D6" s="4" t="s">
        <v>7</v>
      </c>
      <c r="E6" s="4" t="s">
        <v>10</v>
      </c>
      <c r="F6" s="4">
        <v>312</v>
      </c>
    </row>
    <row r="7" spans="1:6" x14ac:dyDescent="0.25">
      <c r="A7" s="4"/>
      <c r="B7" s="4" t="s">
        <v>1445</v>
      </c>
      <c r="C7" s="4" t="s">
        <v>292</v>
      </c>
      <c r="D7" s="4" t="s">
        <v>293</v>
      </c>
      <c r="E7" s="4" t="s">
        <v>294</v>
      </c>
      <c r="F7" s="4">
        <v>640</v>
      </c>
    </row>
    <row r="8" spans="1:6" x14ac:dyDescent="0.25">
      <c r="A8" s="4"/>
      <c r="B8" s="4" t="s">
        <v>12</v>
      </c>
      <c r="C8" s="4"/>
      <c r="D8" s="4"/>
      <c r="E8" s="4"/>
      <c r="F8" s="4"/>
    </row>
    <row r="9" spans="1:6" x14ac:dyDescent="0.25">
      <c r="A9" s="4" t="s">
        <v>36</v>
      </c>
      <c r="B9" s="4" t="s">
        <v>36</v>
      </c>
      <c r="C9" s="4" t="s">
        <v>319</v>
      </c>
      <c r="D9" s="4" t="s">
        <v>39</v>
      </c>
      <c r="E9" s="4" t="s">
        <v>40</v>
      </c>
      <c r="F9" s="4" t="s">
        <v>303</v>
      </c>
    </row>
    <row r="10" spans="1:6" x14ac:dyDescent="0.25">
      <c r="A10" s="4"/>
      <c r="B10" s="4" t="s">
        <v>36</v>
      </c>
      <c r="C10" s="4"/>
      <c r="D10" s="4" t="s">
        <v>41</v>
      </c>
      <c r="E10" s="4" t="s">
        <v>42</v>
      </c>
      <c r="F10" s="4" t="s">
        <v>303</v>
      </c>
    </row>
    <row r="11" spans="1:6" x14ac:dyDescent="0.25">
      <c r="A11" s="4"/>
      <c r="B11" s="4" t="s">
        <v>36</v>
      </c>
      <c r="C11" s="4" t="s">
        <v>299</v>
      </c>
      <c r="D11" s="4" t="s">
        <v>37</v>
      </c>
      <c r="E11" s="4" t="s">
        <v>38</v>
      </c>
      <c r="F11" s="4">
        <v>638</v>
      </c>
    </row>
    <row r="12" spans="1:6" x14ac:dyDescent="0.25">
      <c r="A12" s="4"/>
      <c r="B12" s="4" t="s">
        <v>36</v>
      </c>
      <c r="C12" s="4" t="s">
        <v>86</v>
      </c>
      <c r="D12" s="4" t="s">
        <v>61</v>
      </c>
      <c r="E12" s="4" t="s">
        <v>323</v>
      </c>
      <c r="F12" s="4" t="s">
        <v>303</v>
      </c>
    </row>
    <row r="13" spans="1:6" x14ac:dyDescent="0.25">
      <c r="A13" s="4"/>
      <c r="B13" s="4" t="s">
        <v>257</v>
      </c>
      <c r="C13" s="4"/>
      <c r="D13" s="4"/>
      <c r="E13" s="4"/>
      <c r="F13" s="4"/>
    </row>
    <row r="14" spans="1:6" x14ac:dyDescent="0.25">
      <c r="A14" s="4"/>
      <c r="B14" s="4" t="s">
        <v>43</v>
      </c>
      <c r="C14" s="4" t="s">
        <v>122</v>
      </c>
      <c r="D14" s="4" t="s">
        <v>44</v>
      </c>
      <c r="E14" s="4" t="s">
        <v>45</v>
      </c>
      <c r="F14" s="4" t="s">
        <v>303</v>
      </c>
    </row>
    <row r="15" spans="1:6" x14ac:dyDescent="0.25">
      <c r="A15" s="4"/>
      <c r="B15" s="4" t="s">
        <v>43</v>
      </c>
      <c r="C15" s="4"/>
      <c r="D15" s="4" t="s">
        <v>44</v>
      </c>
      <c r="E15" s="4" t="s">
        <v>46</v>
      </c>
      <c r="F15" s="4">
        <v>215</v>
      </c>
    </row>
    <row r="16" spans="1:6" x14ac:dyDescent="0.25">
      <c r="A16" s="4"/>
      <c r="B16" s="4" t="s">
        <v>43</v>
      </c>
      <c r="C16" s="4"/>
      <c r="D16" s="4" t="s">
        <v>47</v>
      </c>
      <c r="E16" s="4" t="s">
        <v>48</v>
      </c>
      <c r="F16" s="4">
        <v>233</v>
      </c>
    </row>
    <row r="17" spans="1:7" x14ac:dyDescent="0.25">
      <c r="A17" s="4"/>
      <c r="B17" s="4" t="s">
        <v>43</v>
      </c>
      <c r="C17" s="4"/>
      <c r="D17" s="4" t="s">
        <v>47</v>
      </c>
      <c r="E17" s="4" t="s">
        <v>49</v>
      </c>
      <c r="F17" s="4" t="s">
        <v>303</v>
      </c>
    </row>
    <row r="18" spans="1:7" x14ac:dyDescent="0.25">
      <c r="A18" s="4"/>
      <c r="B18" s="4" t="s">
        <v>50</v>
      </c>
      <c r="C18" s="4" t="s">
        <v>86</v>
      </c>
      <c r="D18" s="4" t="s">
        <v>51</v>
      </c>
      <c r="E18" s="4" t="s">
        <v>52</v>
      </c>
      <c r="F18" s="4" t="s">
        <v>303</v>
      </c>
    </row>
    <row r="19" spans="1:7" x14ac:dyDescent="0.25">
      <c r="A19" s="4"/>
      <c r="B19" s="4" t="s">
        <v>50</v>
      </c>
      <c r="C19" s="4"/>
      <c r="D19" s="4" t="s">
        <v>51</v>
      </c>
      <c r="E19" s="4" t="s">
        <v>53</v>
      </c>
      <c r="F19" s="4">
        <v>628</v>
      </c>
      <c r="G19" s="5" t="s">
        <v>1020</v>
      </c>
    </row>
    <row r="20" spans="1:7" x14ac:dyDescent="0.25">
      <c r="A20" s="4"/>
      <c r="B20" s="4" t="s">
        <v>1445</v>
      </c>
      <c r="C20" s="4" t="s">
        <v>334</v>
      </c>
      <c r="D20" s="4" t="s">
        <v>71</v>
      </c>
      <c r="E20" s="4" t="s">
        <v>72</v>
      </c>
      <c r="F20" s="4">
        <v>353</v>
      </c>
      <c r="G20" s="5" t="s">
        <v>1020</v>
      </c>
    </row>
    <row r="21" spans="1:7" x14ac:dyDescent="0.25">
      <c r="A21" s="4"/>
      <c r="B21" s="4" t="s">
        <v>1445</v>
      </c>
      <c r="C21" s="4"/>
      <c r="D21" s="4" t="s">
        <v>71</v>
      </c>
      <c r="E21" s="4" t="s">
        <v>73</v>
      </c>
      <c r="F21" s="4">
        <v>353</v>
      </c>
      <c r="G21" s="5" t="s">
        <v>1020</v>
      </c>
    </row>
    <row r="22" spans="1:7" x14ac:dyDescent="0.25">
      <c r="A22" s="4"/>
      <c r="B22" s="4" t="s">
        <v>1445</v>
      </c>
      <c r="C22" s="4" t="s">
        <v>122</v>
      </c>
      <c r="D22" s="4" t="s">
        <v>57</v>
      </c>
      <c r="E22" s="4" t="s">
        <v>58</v>
      </c>
      <c r="F22" s="4" t="s">
        <v>303</v>
      </c>
      <c r="G22" s="6" t="s">
        <v>1020</v>
      </c>
    </row>
    <row r="23" spans="1:7" x14ac:dyDescent="0.25">
      <c r="A23" s="4"/>
      <c r="B23" s="4" t="s">
        <v>1445</v>
      </c>
      <c r="C23" s="4"/>
      <c r="D23" s="4" t="s">
        <v>61</v>
      </c>
      <c r="E23" s="4" t="s">
        <v>62</v>
      </c>
      <c r="F23" s="4">
        <v>221</v>
      </c>
      <c r="G23" s="6" t="s">
        <v>1020</v>
      </c>
    </row>
    <row r="24" spans="1:7" x14ac:dyDescent="0.25">
      <c r="A24" s="4"/>
      <c r="B24" s="4" t="s">
        <v>1445</v>
      </c>
      <c r="C24" s="4"/>
      <c r="D24" s="4" t="s">
        <v>65</v>
      </c>
      <c r="E24" s="4" t="s">
        <v>66</v>
      </c>
      <c r="F24" s="4" t="s">
        <v>303</v>
      </c>
      <c r="G24" s="6" t="s">
        <v>1020</v>
      </c>
    </row>
    <row r="25" spans="1:7" x14ac:dyDescent="0.25">
      <c r="A25" s="4"/>
      <c r="B25" s="4" t="s">
        <v>1445</v>
      </c>
      <c r="C25" s="4"/>
      <c r="D25" s="4" t="s">
        <v>65</v>
      </c>
      <c r="E25" s="4" t="s">
        <v>67</v>
      </c>
      <c r="F25" s="4">
        <v>238</v>
      </c>
      <c r="G25" t="s">
        <v>359</v>
      </c>
    </row>
    <row r="26" spans="1:7" x14ac:dyDescent="0.25">
      <c r="A26" s="4"/>
      <c r="B26" s="4" t="s">
        <v>1445</v>
      </c>
      <c r="C26" s="4"/>
      <c r="D26" s="4" t="s">
        <v>84</v>
      </c>
      <c r="E26" s="4" t="s">
        <v>85</v>
      </c>
      <c r="F26" s="4">
        <v>241</v>
      </c>
      <c r="G26" t="s">
        <v>359</v>
      </c>
    </row>
    <row r="27" spans="1:7" x14ac:dyDescent="0.25">
      <c r="A27" s="4"/>
      <c r="B27" s="4" t="s">
        <v>1445</v>
      </c>
      <c r="C27" s="4" t="s">
        <v>325</v>
      </c>
      <c r="D27" s="4" t="s">
        <v>54</v>
      </c>
      <c r="E27" s="4" t="s">
        <v>55</v>
      </c>
      <c r="F27" s="4">
        <v>204</v>
      </c>
      <c r="G27" t="s">
        <v>359</v>
      </c>
    </row>
    <row r="28" spans="1:7" x14ac:dyDescent="0.25">
      <c r="A28" s="4"/>
      <c r="B28" s="4" t="s">
        <v>1445</v>
      </c>
      <c r="C28" s="4"/>
      <c r="D28" s="4" t="s">
        <v>54</v>
      </c>
      <c r="E28" s="4" t="s">
        <v>56</v>
      </c>
      <c r="F28" s="4">
        <v>203</v>
      </c>
      <c r="G28" t="s">
        <v>359</v>
      </c>
    </row>
    <row r="29" spans="1:7" x14ac:dyDescent="0.25">
      <c r="A29" s="4"/>
      <c r="B29" s="4" t="s">
        <v>1445</v>
      </c>
      <c r="C29" s="4"/>
      <c r="D29" s="4" t="s">
        <v>78</v>
      </c>
      <c r="E29" s="4" t="s">
        <v>79</v>
      </c>
      <c r="F29" s="4">
        <v>205</v>
      </c>
      <c r="G29" s="5" t="s">
        <v>1020</v>
      </c>
    </row>
    <row r="30" spans="1:7" x14ac:dyDescent="0.25">
      <c r="A30" s="4"/>
      <c r="B30" s="4" t="s">
        <v>1445</v>
      </c>
      <c r="C30" s="4"/>
      <c r="D30" s="4" t="s">
        <v>78</v>
      </c>
      <c r="E30" s="4" t="s">
        <v>80</v>
      </c>
      <c r="F30" s="4">
        <v>206</v>
      </c>
      <c r="G30" s="6" t="s">
        <v>1020</v>
      </c>
    </row>
    <row r="31" spans="1:7" x14ac:dyDescent="0.25">
      <c r="A31" s="4"/>
      <c r="B31" s="4" t="s">
        <v>1445</v>
      </c>
      <c r="C31" s="4"/>
      <c r="D31" s="4" t="s">
        <v>81</v>
      </c>
      <c r="E31" s="4" t="s">
        <v>82</v>
      </c>
      <c r="F31" s="4">
        <v>267</v>
      </c>
      <c r="G31" s="4" t="s">
        <v>360</v>
      </c>
    </row>
    <row r="32" spans="1:7" x14ac:dyDescent="0.25">
      <c r="A32" s="4"/>
      <c r="B32" s="4" t="s">
        <v>1445</v>
      </c>
      <c r="C32" s="4"/>
      <c r="D32" s="4" t="s">
        <v>81</v>
      </c>
      <c r="E32" s="4" t="s">
        <v>83</v>
      </c>
      <c r="F32" s="4">
        <v>268</v>
      </c>
      <c r="G32" s="4" t="s">
        <v>360</v>
      </c>
    </row>
    <row r="33" spans="1:7" x14ac:dyDescent="0.25">
      <c r="A33" s="4"/>
      <c r="B33" s="4" t="s">
        <v>1445</v>
      </c>
      <c r="C33" s="4" t="s">
        <v>86</v>
      </c>
      <c r="D33" s="4" t="s">
        <v>63</v>
      </c>
      <c r="E33" s="4" t="s">
        <v>64</v>
      </c>
      <c r="F33" s="4">
        <v>578</v>
      </c>
      <c r="G33" s="4" t="s">
        <v>360</v>
      </c>
    </row>
    <row r="34" spans="1:7" x14ac:dyDescent="0.25">
      <c r="A34" s="4"/>
      <c r="B34" s="4" t="s">
        <v>1445</v>
      </c>
      <c r="C34" s="4"/>
      <c r="D34" s="4" t="s">
        <v>86</v>
      </c>
      <c r="E34" s="4" t="s">
        <v>86</v>
      </c>
      <c r="F34" s="4" t="s">
        <v>303</v>
      </c>
      <c r="G34" s="4" t="s">
        <v>360</v>
      </c>
    </row>
    <row r="35" spans="1:7" x14ac:dyDescent="0.25">
      <c r="A35" s="4"/>
      <c r="B35" s="4" t="s">
        <v>1445</v>
      </c>
      <c r="C35" s="4" t="s">
        <v>290</v>
      </c>
      <c r="D35" s="4" t="s">
        <v>74</v>
      </c>
      <c r="E35" s="4" t="s">
        <v>75</v>
      </c>
      <c r="F35" s="4">
        <v>299</v>
      </c>
      <c r="G35" s="4" t="s">
        <v>360</v>
      </c>
    </row>
    <row r="36" spans="1:7" x14ac:dyDescent="0.25">
      <c r="A36" s="4"/>
      <c r="B36" s="4" t="s">
        <v>1445</v>
      </c>
      <c r="C36" s="4"/>
      <c r="D36" s="4" t="s">
        <v>76</v>
      </c>
      <c r="E36" s="4" t="s">
        <v>77</v>
      </c>
      <c r="F36" s="4">
        <v>211</v>
      </c>
      <c r="G36" s="4" t="s">
        <v>360</v>
      </c>
    </row>
    <row r="37" spans="1:7" x14ac:dyDescent="0.25">
      <c r="A37" s="4"/>
      <c r="B37" s="4" t="s">
        <v>1445</v>
      </c>
      <c r="C37" s="4" t="s">
        <v>346</v>
      </c>
      <c r="D37" s="4" t="s">
        <v>59</v>
      </c>
      <c r="E37" s="4" t="s">
        <v>60</v>
      </c>
      <c r="F37" s="4">
        <v>382</v>
      </c>
      <c r="G37" s="4" t="s">
        <v>360</v>
      </c>
    </row>
    <row r="38" spans="1:7" x14ac:dyDescent="0.25">
      <c r="A38" s="4"/>
      <c r="B38" s="4" t="s">
        <v>1445</v>
      </c>
      <c r="C38" s="4"/>
      <c r="D38" s="4" t="s">
        <v>68</v>
      </c>
      <c r="E38" s="4" t="s">
        <v>69</v>
      </c>
      <c r="F38" s="4" t="s">
        <v>303</v>
      </c>
      <c r="G38" s="5" t="s">
        <v>363</v>
      </c>
    </row>
    <row r="39" spans="1:7" x14ac:dyDescent="0.25">
      <c r="A39" s="4"/>
      <c r="B39" s="4" t="s">
        <v>1445</v>
      </c>
      <c r="C39" s="4"/>
      <c r="D39" s="4" t="s">
        <v>68</v>
      </c>
      <c r="E39" s="4" t="s">
        <v>70</v>
      </c>
      <c r="F39" s="4">
        <v>381</v>
      </c>
      <c r="G39" s="5" t="s">
        <v>363</v>
      </c>
    </row>
    <row r="40" spans="1:7" x14ac:dyDescent="0.25">
      <c r="A40" s="4"/>
      <c r="B40" s="4" t="s">
        <v>12</v>
      </c>
      <c r="C40" s="4"/>
      <c r="D40" s="4"/>
      <c r="E40" s="4"/>
      <c r="F40" s="4"/>
      <c r="G40" t="s">
        <v>176</v>
      </c>
    </row>
    <row r="41" spans="1:7" x14ac:dyDescent="0.25">
      <c r="A41" s="4"/>
      <c r="B41" s="4" t="s">
        <v>118</v>
      </c>
      <c r="C41" s="4" t="s">
        <v>119</v>
      </c>
      <c r="D41" s="4" t="s">
        <v>119</v>
      </c>
      <c r="E41" s="4" t="s">
        <v>119</v>
      </c>
      <c r="F41" s="4" t="s">
        <v>303</v>
      </c>
      <c r="G41" t="s">
        <v>176</v>
      </c>
    </row>
    <row r="42" spans="1:7" x14ac:dyDescent="0.25">
      <c r="A42" s="4"/>
      <c r="B42" s="4" t="s">
        <v>118</v>
      </c>
      <c r="C42" s="4" t="s">
        <v>120</v>
      </c>
      <c r="D42" s="4" t="s">
        <v>120</v>
      </c>
      <c r="E42" s="4" t="s">
        <v>120</v>
      </c>
      <c r="F42" s="4" t="s">
        <v>303</v>
      </c>
      <c r="G42" t="s">
        <v>366</v>
      </c>
    </row>
    <row r="43" spans="1:7" x14ac:dyDescent="0.25">
      <c r="A43" s="4"/>
      <c r="B43" s="4" t="s">
        <v>121</v>
      </c>
      <c r="C43" s="4" t="s">
        <v>122</v>
      </c>
      <c r="D43" s="4" t="s">
        <v>122</v>
      </c>
      <c r="E43" s="4" t="s">
        <v>122</v>
      </c>
      <c r="F43" s="4" t="s">
        <v>303</v>
      </c>
      <c r="G43" t="s">
        <v>366</v>
      </c>
    </row>
    <row r="44" spans="1:7" x14ac:dyDescent="0.25">
      <c r="A44" s="4" t="s">
        <v>123</v>
      </c>
      <c r="B44" s="4" t="s">
        <v>123</v>
      </c>
      <c r="C44" s="4" t="s">
        <v>122</v>
      </c>
      <c r="D44" s="4" t="s">
        <v>197</v>
      </c>
      <c r="E44" s="4" t="s">
        <v>198</v>
      </c>
      <c r="F44" s="4" t="s">
        <v>303</v>
      </c>
      <c r="G44" t="s">
        <v>366</v>
      </c>
    </row>
    <row r="45" spans="1:7" x14ac:dyDescent="0.25">
      <c r="A45" s="4"/>
      <c r="B45" s="4" t="s">
        <v>123</v>
      </c>
      <c r="C45" s="4"/>
      <c r="D45" s="4" t="s">
        <v>197</v>
      </c>
      <c r="E45" s="4" t="s">
        <v>199</v>
      </c>
      <c r="F45" s="4">
        <v>222</v>
      </c>
      <c r="G45" t="s">
        <v>366</v>
      </c>
    </row>
    <row r="46" spans="1:7" x14ac:dyDescent="0.25">
      <c r="A46" s="4"/>
      <c r="B46" s="4" t="s">
        <v>123</v>
      </c>
      <c r="C46" s="4"/>
      <c r="D46" s="4" t="s">
        <v>200</v>
      </c>
      <c r="E46" s="4" t="s">
        <v>201</v>
      </c>
      <c r="F46" s="4" t="s">
        <v>303</v>
      </c>
      <c r="G46" t="s">
        <v>366</v>
      </c>
    </row>
    <row r="47" spans="1:7" x14ac:dyDescent="0.25">
      <c r="A47" s="4"/>
      <c r="B47" s="4" t="s">
        <v>123</v>
      </c>
      <c r="C47" s="4"/>
      <c r="D47" s="4" t="s">
        <v>200</v>
      </c>
      <c r="E47" s="4" t="s">
        <v>202</v>
      </c>
      <c r="F47" s="4">
        <v>348</v>
      </c>
      <c r="G47" t="s">
        <v>366</v>
      </c>
    </row>
    <row r="48" spans="1:7" x14ac:dyDescent="0.25">
      <c r="A48" s="4"/>
      <c r="B48" s="4" t="s">
        <v>123</v>
      </c>
      <c r="C48" s="4"/>
      <c r="D48" s="4" t="s">
        <v>206</v>
      </c>
      <c r="E48" s="4" t="s">
        <v>207</v>
      </c>
      <c r="F48" s="4">
        <v>349</v>
      </c>
      <c r="G48" t="s">
        <v>366</v>
      </c>
    </row>
    <row r="49" spans="1:7" x14ac:dyDescent="0.25">
      <c r="A49" s="4"/>
      <c r="B49" s="4" t="s">
        <v>123</v>
      </c>
      <c r="C49" s="4"/>
      <c r="D49" s="4" t="s">
        <v>206</v>
      </c>
      <c r="E49" s="4" t="s">
        <v>208</v>
      </c>
      <c r="F49" s="4" t="s">
        <v>303</v>
      </c>
      <c r="G49" t="s">
        <v>366</v>
      </c>
    </row>
    <row r="50" spans="1:7" x14ac:dyDescent="0.25">
      <c r="A50" s="4"/>
      <c r="B50" s="4" t="s">
        <v>123</v>
      </c>
      <c r="C50" s="4"/>
      <c r="D50" s="4" t="s">
        <v>227</v>
      </c>
      <c r="E50" s="4" t="s">
        <v>48</v>
      </c>
      <c r="F50" s="4">
        <v>236</v>
      </c>
      <c r="G50" t="s">
        <v>176</v>
      </c>
    </row>
    <row r="51" spans="1:7" x14ac:dyDescent="0.25">
      <c r="A51" s="4"/>
      <c r="B51" s="4" t="s">
        <v>123</v>
      </c>
      <c r="C51" s="4"/>
      <c r="D51" s="4" t="s">
        <v>249</v>
      </c>
      <c r="E51" s="4" t="s">
        <v>249</v>
      </c>
      <c r="F51" s="4">
        <v>234</v>
      </c>
      <c r="G51" t="s">
        <v>176</v>
      </c>
    </row>
    <row r="52" spans="1:7" x14ac:dyDescent="0.25">
      <c r="A52" s="4"/>
      <c r="B52" s="4" t="s">
        <v>123</v>
      </c>
      <c r="C52" s="4"/>
      <c r="D52" s="4" t="s">
        <v>249</v>
      </c>
      <c r="E52" s="4" t="s">
        <v>250</v>
      </c>
      <c r="F52" s="4" t="s">
        <v>303</v>
      </c>
      <c r="G52" t="s">
        <v>176</v>
      </c>
    </row>
    <row r="53" spans="1:7" x14ac:dyDescent="0.25">
      <c r="A53" s="4"/>
      <c r="B53" s="4" t="s">
        <v>123</v>
      </c>
      <c r="C53" s="4"/>
      <c r="D53" s="4" t="s">
        <v>251</v>
      </c>
      <c r="E53" s="4" t="s">
        <v>251</v>
      </c>
      <c r="F53" s="4">
        <v>235</v>
      </c>
      <c r="G53" t="s">
        <v>176</v>
      </c>
    </row>
    <row r="54" spans="1:7" x14ac:dyDescent="0.25">
      <c r="A54" s="4"/>
      <c r="B54" s="4" t="s">
        <v>123</v>
      </c>
      <c r="C54" s="4" t="s">
        <v>360</v>
      </c>
      <c r="D54" s="4" t="s">
        <v>124</v>
      </c>
      <c r="E54" s="4" t="s">
        <v>125</v>
      </c>
      <c r="F54" s="4">
        <v>476</v>
      </c>
      <c r="G54" t="s">
        <v>176</v>
      </c>
    </row>
    <row r="55" spans="1:7" x14ac:dyDescent="0.25">
      <c r="A55" s="4"/>
      <c r="B55" s="4" t="s">
        <v>123</v>
      </c>
      <c r="C55" s="4"/>
      <c r="D55" s="4" t="s">
        <v>124</v>
      </c>
      <c r="E55" s="4" t="s">
        <v>126</v>
      </c>
      <c r="F55" s="4">
        <v>476</v>
      </c>
      <c r="G55" t="s">
        <v>367</v>
      </c>
    </row>
    <row r="56" spans="1:7" x14ac:dyDescent="0.25">
      <c r="A56" s="4"/>
      <c r="B56" s="4" t="s">
        <v>123</v>
      </c>
      <c r="C56" s="4"/>
      <c r="D56" s="4" t="s">
        <v>151</v>
      </c>
      <c r="E56" s="4" t="s">
        <v>152</v>
      </c>
      <c r="F56" s="4">
        <v>476</v>
      </c>
      <c r="G56" t="s">
        <v>367</v>
      </c>
    </row>
    <row r="57" spans="1:7" x14ac:dyDescent="0.25">
      <c r="A57" s="4"/>
      <c r="B57" s="4" t="s">
        <v>123</v>
      </c>
      <c r="C57" s="4"/>
      <c r="D57" s="4" t="s">
        <v>153</v>
      </c>
      <c r="E57" s="4" t="s">
        <v>154</v>
      </c>
      <c r="F57" s="4">
        <v>476</v>
      </c>
      <c r="G57" t="s">
        <v>367</v>
      </c>
    </row>
    <row r="58" spans="1:7" x14ac:dyDescent="0.25">
      <c r="A58" s="4"/>
      <c r="B58" s="4" t="s">
        <v>123</v>
      </c>
      <c r="C58" s="4"/>
      <c r="D58" s="4" t="s">
        <v>155</v>
      </c>
      <c r="E58" s="4" t="s">
        <v>156</v>
      </c>
      <c r="F58" s="4">
        <v>476</v>
      </c>
      <c r="G58" t="s">
        <v>367</v>
      </c>
    </row>
    <row r="59" spans="1:7" x14ac:dyDescent="0.25">
      <c r="A59" s="4"/>
      <c r="B59" s="4" t="s">
        <v>123</v>
      </c>
      <c r="C59" s="4"/>
      <c r="D59" s="4" t="s">
        <v>157</v>
      </c>
      <c r="E59" s="4" t="s">
        <v>158</v>
      </c>
      <c r="F59" s="4">
        <v>476</v>
      </c>
      <c r="G59" s="5" t="s">
        <v>1020</v>
      </c>
    </row>
    <row r="60" spans="1:7" x14ac:dyDescent="0.25">
      <c r="A60" s="4"/>
      <c r="B60" s="4" t="s">
        <v>123</v>
      </c>
      <c r="C60" s="4"/>
      <c r="D60" s="4" t="s">
        <v>159</v>
      </c>
      <c r="E60" s="4" t="s">
        <v>160</v>
      </c>
      <c r="F60" s="4">
        <v>476</v>
      </c>
      <c r="G60" t="s">
        <v>1020</v>
      </c>
    </row>
    <row r="61" spans="1:7" x14ac:dyDescent="0.25">
      <c r="A61" s="4"/>
      <c r="B61" s="4" t="s">
        <v>123</v>
      </c>
      <c r="C61" s="4"/>
      <c r="D61" s="4" t="s">
        <v>246</v>
      </c>
      <c r="E61" s="4" t="s">
        <v>247</v>
      </c>
      <c r="F61" s="4">
        <v>477</v>
      </c>
      <c r="G61" s="5" t="s">
        <v>369</v>
      </c>
    </row>
    <row r="62" spans="1:7" x14ac:dyDescent="0.25">
      <c r="A62" s="4"/>
      <c r="B62" s="4" t="s">
        <v>123</v>
      </c>
      <c r="C62" s="4"/>
      <c r="D62" s="4" t="s">
        <v>246</v>
      </c>
      <c r="E62" s="4" t="s">
        <v>248</v>
      </c>
      <c r="F62" s="4">
        <v>477</v>
      </c>
      <c r="G62" s="5" t="s">
        <v>369</v>
      </c>
    </row>
    <row r="63" spans="1:7" x14ac:dyDescent="0.25">
      <c r="A63" s="4"/>
      <c r="B63" s="4" t="s">
        <v>123</v>
      </c>
      <c r="C63" s="4" t="s">
        <v>363</v>
      </c>
      <c r="D63" s="4" t="s">
        <v>240</v>
      </c>
      <c r="E63" s="4" t="s">
        <v>241</v>
      </c>
      <c r="F63" s="4">
        <v>153</v>
      </c>
      <c r="G63" s="5" t="s">
        <v>369</v>
      </c>
    </row>
    <row r="64" spans="1:7" x14ac:dyDescent="0.25">
      <c r="A64" s="4"/>
      <c r="B64" s="4" t="s">
        <v>123</v>
      </c>
      <c r="C64" s="4"/>
      <c r="D64" s="4" t="s">
        <v>252</v>
      </c>
      <c r="E64" s="4" t="s">
        <v>253</v>
      </c>
      <c r="F64" s="4" t="s">
        <v>303</v>
      </c>
      <c r="G64" s="5" t="s">
        <v>369</v>
      </c>
    </row>
    <row r="65" spans="1:7" x14ac:dyDescent="0.25">
      <c r="A65" s="4"/>
      <c r="B65" s="4" t="s">
        <v>123</v>
      </c>
      <c r="C65" s="4" t="s">
        <v>364</v>
      </c>
      <c r="D65" s="4" t="s">
        <v>135</v>
      </c>
      <c r="E65" s="4" t="s">
        <v>136</v>
      </c>
      <c r="F65" s="4">
        <v>257</v>
      </c>
      <c r="G65" t="s">
        <v>1446</v>
      </c>
    </row>
    <row r="66" spans="1:7" x14ac:dyDescent="0.25">
      <c r="A66" s="4"/>
      <c r="B66" s="4" t="s">
        <v>123</v>
      </c>
      <c r="C66" s="4"/>
      <c r="D66" s="4" t="s">
        <v>137</v>
      </c>
      <c r="E66" s="4" t="s">
        <v>138</v>
      </c>
      <c r="F66" s="4">
        <v>257</v>
      </c>
      <c r="G66" t="s">
        <v>1446</v>
      </c>
    </row>
    <row r="67" spans="1:7" x14ac:dyDescent="0.25">
      <c r="A67" s="4"/>
      <c r="B67" s="4" t="s">
        <v>123</v>
      </c>
      <c r="C67" s="4"/>
      <c r="D67" s="4" t="s">
        <v>161</v>
      </c>
      <c r="E67" s="4" t="s">
        <v>162</v>
      </c>
      <c r="F67" s="4">
        <v>259</v>
      </c>
      <c r="G67" t="s">
        <v>1446</v>
      </c>
    </row>
    <row r="68" spans="1:7" x14ac:dyDescent="0.25">
      <c r="A68" s="4"/>
      <c r="B68" s="4" t="s">
        <v>123</v>
      </c>
      <c r="C68" s="4"/>
      <c r="D68" s="4" t="s">
        <v>161</v>
      </c>
      <c r="E68" s="4" t="s">
        <v>163</v>
      </c>
      <c r="F68" s="4">
        <v>259</v>
      </c>
      <c r="G68" t="s">
        <v>1446</v>
      </c>
    </row>
    <row r="69" spans="1:7" x14ac:dyDescent="0.25">
      <c r="A69" s="4"/>
      <c r="B69" s="4" t="s">
        <v>123</v>
      </c>
      <c r="C69" s="4"/>
      <c r="D69" s="4" t="s">
        <v>161</v>
      </c>
      <c r="E69" s="4" t="s">
        <v>164</v>
      </c>
      <c r="F69" s="4">
        <v>259</v>
      </c>
      <c r="G69" t="s">
        <v>1446</v>
      </c>
    </row>
    <row r="70" spans="1:7" x14ac:dyDescent="0.25">
      <c r="A70" s="4"/>
      <c r="B70" s="4" t="s">
        <v>123</v>
      </c>
      <c r="C70" s="4"/>
      <c r="D70" s="4" t="s">
        <v>161</v>
      </c>
      <c r="E70" s="4" t="s">
        <v>165</v>
      </c>
      <c r="F70" s="4">
        <v>259</v>
      </c>
      <c r="G70" t="s">
        <v>1446</v>
      </c>
    </row>
    <row r="71" spans="1:7" x14ac:dyDescent="0.25">
      <c r="A71" s="4"/>
      <c r="B71" s="4" t="s">
        <v>123</v>
      </c>
      <c r="C71" s="4"/>
      <c r="D71" s="4" t="s">
        <v>161</v>
      </c>
      <c r="E71" s="4" t="s">
        <v>166</v>
      </c>
      <c r="F71" s="4">
        <v>259</v>
      </c>
      <c r="G71" t="s">
        <v>371</v>
      </c>
    </row>
    <row r="72" spans="1:7" x14ac:dyDescent="0.25">
      <c r="A72" s="4"/>
      <c r="B72" s="4" t="s">
        <v>123</v>
      </c>
      <c r="C72" s="4"/>
      <c r="D72" s="4" t="s">
        <v>161</v>
      </c>
      <c r="E72" s="4" t="s">
        <v>167</v>
      </c>
      <c r="F72" s="4">
        <v>259</v>
      </c>
      <c r="G72" t="s">
        <v>1020</v>
      </c>
    </row>
    <row r="73" spans="1:7" x14ac:dyDescent="0.25">
      <c r="A73" s="4"/>
      <c r="B73" s="4" t="s">
        <v>123</v>
      </c>
      <c r="C73" s="4"/>
      <c r="D73" s="4" t="s">
        <v>161</v>
      </c>
      <c r="E73" s="4" t="s">
        <v>168</v>
      </c>
      <c r="F73" s="4">
        <v>259</v>
      </c>
      <c r="G73" t="s">
        <v>1020</v>
      </c>
    </row>
    <row r="74" spans="1:7" x14ac:dyDescent="0.25">
      <c r="A74" s="4"/>
      <c r="B74" s="4" t="s">
        <v>123</v>
      </c>
      <c r="C74" s="4"/>
      <c r="D74" s="4" t="s">
        <v>161</v>
      </c>
      <c r="E74" s="4" t="s">
        <v>169</v>
      </c>
      <c r="F74" s="4">
        <v>259</v>
      </c>
      <c r="G74" t="s">
        <v>1020</v>
      </c>
    </row>
    <row r="75" spans="1:7" x14ac:dyDescent="0.25">
      <c r="A75" s="4"/>
      <c r="B75" s="4" t="s">
        <v>123</v>
      </c>
      <c r="C75" s="4"/>
      <c r="D75" s="4" t="s">
        <v>170</v>
      </c>
      <c r="E75" s="4" t="s">
        <v>171</v>
      </c>
      <c r="F75" s="4">
        <v>258</v>
      </c>
      <c r="G75" t="s">
        <v>1020</v>
      </c>
    </row>
    <row r="76" spans="1:7" x14ac:dyDescent="0.25">
      <c r="A76" s="4"/>
      <c r="B76" s="4" t="s">
        <v>123</v>
      </c>
      <c r="C76" s="4"/>
      <c r="D76" s="4" t="s">
        <v>170</v>
      </c>
      <c r="E76" s="4" t="s">
        <v>172</v>
      </c>
      <c r="F76" s="4">
        <v>258</v>
      </c>
      <c r="G76" t="s">
        <v>1447</v>
      </c>
    </row>
    <row r="77" spans="1:7" x14ac:dyDescent="0.25">
      <c r="A77" s="4"/>
      <c r="B77" s="4" t="s">
        <v>123</v>
      </c>
      <c r="C77" s="4"/>
      <c r="D77" s="4" t="s">
        <v>170</v>
      </c>
      <c r="E77" s="4" t="s">
        <v>173</v>
      </c>
      <c r="F77" s="4">
        <v>258</v>
      </c>
      <c r="G77" t="s">
        <v>1447</v>
      </c>
    </row>
    <row r="78" spans="1:7" x14ac:dyDescent="0.25">
      <c r="A78" s="4"/>
      <c r="B78" s="4" t="s">
        <v>123</v>
      </c>
      <c r="C78" s="4"/>
      <c r="D78" s="4" t="s">
        <v>176</v>
      </c>
      <c r="E78" s="4" t="s">
        <v>177</v>
      </c>
      <c r="F78" s="4">
        <v>256</v>
      </c>
      <c r="G78" t="s">
        <v>1447</v>
      </c>
    </row>
    <row r="79" spans="1:7" x14ac:dyDescent="0.25">
      <c r="A79" s="4"/>
      <c r="B79" s="4" t="s">
        <v>123</v>
      </c>
      <c r="C79" s="4"/>
      <c r="D79" s="4" t="s">
        <v>176</v>
      </c>
      <c r="E79" s="4" t="s">
        <v>178</v>
      </c>
      <c r="F79" s="4">
        <v>256</v>
      </c>
      <c r="G79" t="s">
        <v>1447</v>
      </c>
    </row>
    <row r="80" spans="1:7" x14ac:dyDescent="0.25">
      <c r="A80" s="4"/>
      <c r="B80" s="4" t="s">
        <v>123</v>
      </c>
      <c r="C80" s="4"/>
      <c r="D80" s="4" t="s">
        <v>195</v>
      </c>
      <c r="E80" s="4" t="s">
        <v>196</v>
      </c>
      <c r="F80" s="4">
        <v>213</v>
      </c>
      <c r="G80" t="s">
        <v>1447</v>
      </c>
    </row>
    <row r="81" spans="1:7" x14ac:dyDescent="0.25">
      <c r="A81" s="4"/>
      <c r="B81" s="4" t="s">
        <v>123</v>
      </c>
      <c r="C81" s="4"/>
      <c r="D81" s="4" t="s">
        <v>203</v>
      </c>
      <c r="E81" s="4" t="s">
        <v>204</v>
      </c>
      <c r="F81" s="4">
        <v>213</v>
      </c>
      <c r="G81" t="s">
        <v>1447</v>
      </c>
    </row>
    <row r="82" spans="1:7" x14ac:dyDescent="0.25">
      <c r="A82" s="4"/>
      <c r="B82" s="4" t="s">
        <v>123</v>
      </c>
      <c r="C82" s="4"/>
      <c r="D82" s="4" t="s">
        <v>203</v>
      </c>
      <c r="E82" s="4" t="s">
        <v>205</v>
      </c>
      <c r="F82" s="4">
        <v>213</v>
      </c>
      <c r="G82" t="s">
        <v>1447</v>
      </c>
    </row>
    <row r="83" spans="1:7" x14ac:dyDescent="0.25">
      <c r="A83" s="4"/>
      <c r="B83" s="4" t="s">
        <v>123</v>
      </c>
      <c r="C83" s="4"/>
      <c r="D83" s="4" t="s">
        <v>232</v>
      </c>
      <c r="E83" s="4" t="s">
        <v>233</v>
      </c>
      <c r="F83" s="4">
        <v>213</v>
      </c>
      <c r="G83" t="s">
        <v>1446</v>
      </c>
    </row>
    <row r="84" spans="1:7" x14ac:dyDescent="0.25">
      <c r="A84" s="4"/>
      <c r="B84" s="4" t="s">
        <v>123</v>
      </c>
      <c r="C84" s="4" t="s">
        <v>307</v>
      </c>
      <c r="D84" s="4" t="s">
        <v>179</v>
      </c>
      <c r="E84" s="4" t="s">
        <v>180</v>
      </c>
      <c r="F84" s="4">
        <v>570</v>
      </c>
      <c r="G84" t="s">
        <v>1446</v>
      </c>
    </row>
    <row r="85" spans="1:7" x14ac:dyDescent="0.25">
      <c r="A85" s="4"/>
      <c r="B85" s="4" t="s">
        <v>123</v>
      </c>
      <c r="C85" s="4"/>
      <c r="D85" s="4" t="s">
        <v>179</v>
      </c>
      <c r="E85" s="4" t="s">
        <v>181</v>
      </c>
      <c r="F85" s="4">
        <v>569</v>
      </c>
      <c r="G85" t="s">
        <v>1446</v>
      </c>
    </row>
    <row r="86" spans="1:7" x14ac:dyDescent="0.25">
      <c r="A86" s="4"/>
      <c r="B86" s="4" t="s">
        <v>123</v>
      </c>
      <c r="C86" s="4" t="s">
        <v>325</v>
      </c>
      <c r="D86" s="4" t="s">
        <v>127</v>
      </c>
      <c r="E86" s="4" t="s">
        <v>128</v>
      </c>
      <c r="F86" s="4">
        <v>473</v>
      </c>
      <c r="G86" t="s">
        <v>1446</v>
      </c>
    </row>
    <row r="87" spans="1:7" x14ac:dyDescent="0.25">
      <c r="A87" s="4"/>
      <c r="B87" s="4" t="s">
        <v>123</v>
      </c>
      <c r="C87" s="4"/>
      <c r="D87" s="4" t="s">
        <v>129</v>
      </c>
      <c r="E87" s="4" t="s">
        <v>130</v>
      </c>
      <c r="F87" s="4">
        <v>473</v>
      </c>
      <c r="G87" t="s">
        <v>1448</v>
      </c>
    </row>
    <row r="88" spans="1:7" x14ac:dyDescent="0.25">
      <c r="A88" s="4"/>
      <c r="B88" s="4" t="s">
        <v>123</v>
      </c>
      <c r="C88" s="4"/>
      <c r="D88" s="4" t="s">
        <v>131</v>
      </c>
      <c r="E88" s="4" t="s">
        <v>132</v>
      </c>
      <c r="F88" s="4">
        <v>473</v>
      </c>
      <c r="G88" t="s">
        <v>1448</v>
      </c>
    </row>
    <row r="89" spans="1:7" x14ac:dyDescent="0.25">
      <c r="A89" s="4"/>
      <c r="B89" s="4" t="s">
        <v>123</v>
      </c>
      <c r="C89" s="4"/>
      <c r="D89" s="4" t="s">
        <v>133</v>
      </c>
      <c r="E89" s="4" t="s">
        <v>134</v>
      </c>
      <c r="F89" s="4">
        <v>473</v>
      </c>
      <c r="G89" t="s">
        <v>1448</v>
      </c>
    </row>
    <row r="90" spans="1:7" x14ac:dyDescent="0.25">
      <c r="A90" s="4"/>
      <c r="B90" s="4" t="s">
        <v>123</v>
      </c>
      <c r="C90" s="4"/>
      <c r="D90" s="4" t="s">
        <v>139</v>
      </c>
      <c r="E90" s="4" t="s">
        <v>140</v>
      </c>
      <c r="F90" s="4">
        <v>474</v>
      </c>
      <c r="G90" t="s">
        <v>1448</v>
      </c>
    </row>
    <row r="91" spans="1:7" x14ac:dyDescent="0.25">
      <c r="A91" s="4"/>
      <c r="B91" s="4" t="s">
        <v>123</v>
      </c>
      <c r="C91" s="4"/>
      <c r="D91" s="4" t="s">
        <v>141</v>
      </c>
      <c r="E91" s="4" t="s">
        <v>142</v>
      </c>
      <c r="F91" s="4">
        <v>474</v>
      </c>
      <c r="G91" t="s">
        <v>1020</v>
      </c>
    </row>
    <row r="92" spans="1:7" x14ac:dyDescent="0.25">
      <c r="A92" s="4"/>
      <c r="B92" s="4" t="s">
        <v>123</v>
      </c>
      <c r="C92" s="4"/>
      <c r="D92" s="4" t="s">
        <v>143</v>
      </c>
      <c r="E92" s="4" t="s">
        <v>144</v>
      </c>
      <c r="F92" s="4">
        <v>474</v>
      </c>
      <c r="G92" t="s">
        <v>1020</v>
      </c>
    </row>
    <row r="93" spans="1:7" x14ac:dyDescent="0.25">
      <c r="A93" s="4"/>
      <c r="B93" s="4" t="s">
        <v>123</v>
      </c>
      <c r="C93" s="4"/>
      <c r="D93" s="4" t="s">
        <v>145</v>
      </c>
      <c r="E93" s="4" t="s">
        <v>146</v>
      </c>
      <c r="F93" s="4">
        <v>474</v>
      </c>
      <c r="G93" t="s">
        <v>1446</v>
      </c>
    </row>
    <row r="94" spans="1:7" x14ac:dyDescent="0.25">
      <c r="A94" s="4"/>
      <c r="B94" s="4" t="s">
        <v>123</v>
      </c>
      <c r="C94" s="4"/>
      <c r="D94" s="4" t="s">
        <v>147</v>
      </c>
      <c r="E94" s="4" t="s">
        <v>148</v>
      </c>
      <c r="F94" s="4">
        <v>474</v>
      </c>
      <c r="G94" t="s">
        <v>1446</v>
      </c>
    </row>
    <row r="95" spans="1:7" x14ac:dyDescent="0.25">
      <c r="A95" s="4"/>
      <c r="B95" s="4" t="s">
        <v>123</v>
      </c>
      <c r="C95" s="4"/>
      <c r="D95" s="4" t="s">
        <v>149</v>
      </c>
      <c r="E95" s="4" t="s">
        <v>150</v>
      </c>
      <c r="F95" s="4">
        <v>474</v>
      </c>
      <c r="G95" t="s">
        <v>1446</v>
      </c>
    </row>
    <row r="96" spans="1:7" x14ac:dyDescent="0.25">
      <c r="A96" s="4"/>
      <c r="B96" s="4" t="s">
        <v>123</v>
      </c>
      <c r="C96" s="4"/>
      <c r="D96" s="4" t="s">
        <v>174</v>
      </c>
      <c r="E96" s="4" t="s">
        <v>175</v>
      </c>
      <c r="F96" s="4">
        <v>473</v>
      </c>
      <c r="G96" s="5" t="s">
        <v>1020</v>
      </c>
    </row>
    <row r="97" spans="1:7" x14ac:dyDescent="0.25">
      <c r="A97" s="4"/>
      <c r="B97" s="4" t="s">
        <v>123</v>
      </c>
      <c r="C97" s="4"/>
      <c r="D97" s="4" t="s">
        <v>182</v>
      </c>
      <c r="E97" s="4" t="s">
        <v>183</v>
      </c>
      <c r="F97" s="4">
        <v>362</v>
      </c>
      <c r="G97" s="6" t="s">
        <v>1020</v>
      </c>
    </row>
    <row r="98" spans="1:7" x14ac:dyDescent="0.25">
      <c r="A98" s="4"/>
      <c r="B98" s="4" t="s">
        <v>123</v>
      </c>
      <c r="C98" s="4"/>
      <c r="D98" s="4" t="s">
        <v>182</v>
      </c>
      <c r="E98" s="4" t="s">
        <v>184</v>
      </c>
      <c r="F98" s="4">
        <v>362</v>
      </c>
      <c r="G98" s="6" t="s">
        <v>1020</v>
      </c>
    </row>
    <row r="99" spans="1:7" x14ac:dyDescent="0.25">
      <c r="A99" s="4"/>
      <c r="B99" s="4" t="s">
        <v>123</v>
      </c>
      <c r="C99" s="4"/>
      <c r="D99" s="4" t="s">
        <v>185</v>
      </c>
      <c r="E99" s="4" t="s">
        <v>186</v>
      </c>
      <c r="F99" s="4">
        <v>291</v>
      </c>
      <c r="G99" s="6" t="s">
        <v>1020</v>
      </c>
    </row>
    <row r="100" spans="1:7" x14ac:dyDescent="0.25">
      <c r="A100" s="4"/>
      <c r="B100" s="4" t="s">
        <v>123</v>
      </c>
      <c r="C100" s="4"/>
      <c r="D100" s="4" t="s">
        <v>185</v>
      </c>
      <c r="E100" s="4" t="s">
        <v>187</v>
      </c>
      <c r="F100" s="4">
        <v>292</v>
      </c>
      <c r="G100" s="6" t="s">
        <v>1020</v>
      </c>
    </row>
    <row r="101" spans="1:7" x14ac:dyDescent="0.25">
      <c r="A101" s="4"/>
      <c r="B101" s="4" t="s">
        <v>123</v>
      </c>
      <c r="C101" s="4"/>
      <c r="D101" s="4" t="s">
        <v>188</v>
      </c>
      <c r="E101" s="4" t="s">
        <v>188</v>
      </c>
      <c r="F101" s="4">
        <v>360</v>
      </c>
      <c r="G101" s="6" t="s">
        <v>1020</v>
      </c>
    </row>
    <row r="102" spans="1:7" x14ac:dyDescent="0.25">
      <c r="A102" s="4"/>
      <c r="B102" s="4" t="s">
        <v>123</v>
      </c>
      <c r="C102" s="4"/>
      <c r="D102" s="4" t="s">
        <v>189</v>
      </c>
      <c r="E102" s="4" t="s">
        <v>189</v>
      </c>
      <c r="F102" s="4">
        <v>360</v>
      </c>
      <c r="G102" s="6" t="s">
        <v>1020</v>
      </c>
    </row>
    <row r="103" spans="1:7" x14ac:dyDescent="0.25">
      <c r="A103" s="4"/>
      <c r="B103" s="4" t="s">
        <v>123</v>
      </c>
      <c r="C103" s="4"/>
      <c r="D103" s="4" t="s">
        <v>190</v>
      </c>
      <c r="E103" s="4" t="s">
        <v>190</v>
      </c>
      <c r="F103" s="4">
        <v>360</v>
      </c>
    </row>
    <row r="104" spans="1:7" x14ac:dyDescent="0.25">
      <c r="A104" s="4"/>
      <c r="B104" s="4" t="s">
        <v>123</v>
      </c>
      <c r="C104" s="4"/>
      <c r="D104" s="4" t="s">
        <v>191</v>
      </c>
      <c r="E104" s="4" t="s">
        <v>191</v>
      </c>
      <c r="F104" s="4">
        <v>360</v>
      </c>
    </row>
    <row r="105" spans="1:7" x14ac:dyDescent="0.25">
      <c r="A105" s="4"/>
      <c r="B105" s="4" t="s">
        <v>123</v>
      </c>
      <c r="C105" s="4"/>
      <c r="D105" s="4" t="s">
        <v>192</v>
      </c>
      <c r="E105" s="4" t="s">
        <v>192</v>
      </c>
      <c r="F105" s="4">
        <v>360</v>
      </c>
      <c r="G105" s="5" t="s">
        <v>1020</v>
      </c>
    </row>
    <row r="106" spans="1:7" x14ac:dyDescent="0.25">
      <c r="A106" s="4"/>
      <c r="B106" s="4" t="s">
        <v>123</v>
      </c>
      <c r="C106" s="4"/>
      <c r="D106" s="4" t="s">
        <v>193</v>
      </c>
      <c r="E106" s="4" t="s">
        <v>194</v>
      </c>
      <c r="F106" s="4">
        <v>360</v>
      </c>
    </row>
    <row r="107" spans="1:7" x14ac:dyDescent="0.25">
      <c r="A107" s="4"/>
      <c r="B107" s="4" t="s">
        <v>123</v>
      </c>
      <c r="C107" s="4"/>
      <c r="D107" s="4" t="s">
        <v>209</v>
      </c>
      <c r="E107" s="4" t="s">
        <v>210</v>
      </c>
      <c r="F107" s="4">
        <v>362</v>
      </c>
    </row>
    <row r="108" spans="1:7" x14ac:dyDescent="0.25">
      <c r="A108" s="4"/>
      <c r="B108" s="4" t="s">
        <v>123</v>
      </c>
      <c r="C108" s="4"/>
      <c r="D108" s="4" t="s">
        <v>211</v>
      </c>
      <c r="E108" s="4" t="s">
        <v>212</v>
      </c>
      <c r="F108" s="4">
        <v>473</v>
      </c>
      <c r="G108" s="6" t="s">
        <v>453</v>
      </c>
    </row>
    <row r="109" spans="1:7" x14ac:dyDescent="0.25">
      <c r="A109" s="4"/>
      <c r="B109" s="4" t="s">
        <v>123</v>
      </c>
      <c r="C109" s="4"/>
      <c r="D109" s="4" t="s">
        <v>213</v>
      </c>
      <c r="E109" s="4" t="s">
        <v>214</v>
      </c>
      <c r="F109" s="4">
        <v>342</v>
      </c>
    </row>
    <row r="110" spans="1:7" x14ac:dyDescent="0.25">
      <c r="A110" s="4"/>
      <c r="B110" s="4" t="s">
        <v>123</v>
      </c>
      <c r="C110" s="4"/>
      <c r="D110" s="4" t="s">
        <v>215</v>
      </c>
      <c r="E110" s="4" t="s">
        <v>216</v>
      </c>
      <c r="F110" s="4">
        <v>342</v>
      </c>
      <c r="G110" s="6" t="s">
        <v>1020</v>
      </c>
    </row>
    <row r="111" spans="1:7" x14ac:dyDescent="0.25">
      <c r="A111" s="4"/>
      <c r="B111" s="4" t="s">
        <v>123</v>
      </c>
      <c r="C111" s="4"/>
      <c r="D111" s="4" t="s">
        <v>217</v>
      </c>
      <c r="E111" s="4" t="s">
        <v>218</v>
      </c>
      <c r="F111" s="4">
        <v>342</v>
      </c>
      <c r="G111" s="6" t="s">
        <v>1020</v>
      </c>
    </row>
    <row r="112" spans="1:7" x14ac:dyDescent="0.25">
      <c r="A112" s="4"/>
      <c r="B112" s="4" t="s">
        <v>123</v>
      </c>
      <c r="C112" s="4"/>
      <c r="D112" s="4" t="s">
        <v>223</v>
      </c>
      <c r="E112" s="4" t="s">
        <v>224</v>
      </c>
      <c r="F112" s="4">
        <v>293</v>
      </c>
      <c r="G112" s="6" t="s">
        <v>1020</v>
      </c>
    </row>
    <row r="113" spans="1:7" x14ac:dyDescent="0.25">
      <c r="A113" s="4"/>
      <c r="B113" s="4" t="s">
        <v>123</v>
      </c>
      <c r="C113" s="4"/>
      <c r="D113" s="4" t="s">
        <v>225</v>
      </c>
      <c r="E113" s="4" t="s">
        <v>226</v>
      </c>
      <c r="F113" s="4">
        <v>293</v>
      </c>
      <c r="G113" s="6" t="s">
        <v>1020</v>
      </c>
    </row>
    <row r="114" spans="1:7" x14ac:dyDescent="0.25">
      <c r="A114" s="4"/>
      <c r="B114" s="4" t="s">
        <v>123</v>
      </c>
      <c r="C114" s="4"/>
      <c r="D114" s="4" t="s">
        <v>234</v>
      </c>
      <c r="E114" s="4" t="s">
        <v>235</v>
      </c>
      <c r="F114" s="4">
        <v>293</v>
      </c>
      <c r="G114" t="s">
        <v>461</v>
      </c>
    </row>
    <row r="115" spans="1:7" x14ac:dyDescent="0.25">
      <c r="A115" s="4"/>
      <c r="B115" s="4" t="s">
        <v>123</v>
      </c>
      <c r="C115" s="4"/>
      <c r="D115" s="4" t="s">
        <v>234</v>
      </c>
      <c r="E115" s="4" t="s">
        <v>236</v>
      </c>
      <c r="F115" s="4">
        <v>293</v>
      </c>
      <c r="G115" t="s">
        <v>1449</v>
      </c>
    </row>
    <row r="116" spans="1:7" x14ac:dyDescent="0.25">
      <c r="A116" s="4"/>
      <c r="B116" s="4" t="s">
        <v>123</v>
      </c>
      <c r="C116" s="4"/>
      <c r="D116" s="4" t="s">
        <v>237</v>
      </c>
      <c r="E116" s="4" t="s">
        <v>238</v>
      </c>
      <c r="F116" s="4">
        <v>294</v>
      </c>
      <c r="G116" t="s">
        <v>1450</v>
      </c>
    </row>
    <row r="117" spans="1:7" x14ac:dyDescent="0.25">
      <c r="A117" s="4"/>
      <c r="B117" s="4" t="s">
        <v>123</v>
      </c>
      <c r="C117" s="4"/>
      <c r="D117" s="4" t="s">
        <v>237</v>
      </c>
      <c r="E117" s="4" t="s">
        <v>239</v>
      </c>
      <c r="F117" s="4">
        <v>294</v>
      </c>
      <c r="G117" t="s">
        <v>1451</v>
      </c>
    </row>
    <row r="118" spans="1:7" x14ac:dyDescent="0.25">
      <c r="A118" s="4"/>
      <c r="B118" s="4" t="s">
        <v>123</v>
      </c>
      <c r="C118" s="4"/>
      <c r="D118" s="4" t="s">
        <v>242</v>
      </c>
      <c r="E118" s="4" t="s">
        <v>243</v>
      </c>
      <c r="F118" s="4">
        <v>342</v>
      </c>
      <c r="G118" t="s">
        <v>1452</v>
      </c>
    </row>
    <row r="119" spans="1:7" x14ac:dyDescent="0.25">
      <c r="A119" s="4"/>
      <c r="B119" s="4" t="s">
        <v>123</v>
      </c>
      <c r="C119" s="4"/>
      <c r="D119" s="4" t="s">
        <v>242</v>
      </c>
      <c r="E119" s="4" t="s">
        <v>244</v>
      </c>
      <c r="F119" s="4">
        <v>343</v>
      </c>
      <c r="G119" t="s">
        <v>1453</v>
      </c>
    </row>
    <row r="120" spans="1:7" x14ac:dyDescent="0.25">
      <c r="A120" s="4"/>
      <c r="B120" s="4" t="s">
        <v>123</v>
      </c>
      <c r="C120" s="4"/>
      <c r="D120" s="4" t="s">
        <v>242</v>
      </c>
      <c r="E120" s="4" t="s">
        <v>245</v>
      </c>
      <c r="F120" s="4">
        <v>474</v>
      </c>
      <c r="G120" t="s">
        <v>1454</v>
      </c>
    </row>
    <row r="121" spans="1:7" x14ac:dyDescent="0.25">
      <c r="A121" s="4"/>
      <c r="B121" s="4" t="s">
        <v>123</v>
      </c>
      <c r="C121" s="4" t="s">
        <v>86</v>
      </c>
      <c r="D121" s="4" t="s">
        <v>219</v>
      </c>
      <c r="E121" s="4" t="s">
        <v>220</v>
      </c>
      <c r="F121" s="4" t="s">
        <v>303</v>
      </c>
      <c r="G121" t="s">
        <v>1455</v>
      </c>
    </row>
    <row r="122" spans="1:7" x14ac:dyDescent="0.25">
      <c r="A122" s="4"/>
      <c r="B122" s="4" t="s">
        <v>123</v>
      </c>
      <c r="C122" s="4"/>
      <c r="D122" s="4" t="s">
        <v>219</v>
      </c>
      <c r="E122" s="4" t="s">
        <v>221</v>
      </c>
      <c r="F122" s="4" t="s">
        <v>303</v>
      </c>
      <c r="G122" t="s">
        <v>1456</v>
      </c>
    </row>
    <row r="123" spans="1:7" x14ac:dyDescent="0.25">
      <c r="A123" s="4"/>
      <c r="B123" s="4" t="s">
        <v>123</v>
      </c>
      <c r="C123" s="4"/>
      <c r="D123" s="4" t="s">
        <v>219</v>
      </c>
      <c r="E123" s="4" t="s">
        <v>222</v>
      </c>
      <c r="F123" s="4" t="s">
        <v>303</v>
      </c>
      <c r="G123" t="s">
        <v>1457</v>
      </c>
    </row>
    <row r="124" spans="1:7" x14ac:dyDescent="0.25">
      <c r="A124" s="4"/>
      <c r="B124" s="4" t="s">
        <v>123</v>
      </c>
      <c r="C124" s="4"/>
      <c r="D124" s="4" t="s">
        <v>228</v>
      </c>
      <c r="E124" s="4" t="s">
        <v>229</v>
      </c>
      <c r="F124" s="4">
        <v>200</v>
      </c>
      <c r="G124" t="s">
        <v>1458</v>
      </c>
    </row>
    <row r="125" spans="1:7" x14ac:dyDescent="0.25">
      <c r="A125" s="4"/>
      <c r="B125" s="4" t="s">
        <v>123</v>
      </c>
      <c r="C125" s="4"/>
      <c r="D125" s="4" t="s">
        <v>228</v>
      </c>
      <c r="E125" s="4" t="s">
        <v>230</v>
      </c>
      <c r="F125" s="4">
        <v>200</v>
      </c>
      <c r="G125" s="5" t="s">
        <v>1020</v>
      </c>
    </row>
    <row r="126" spans="1:7" x14ac:dyDescent="0.25">
      <c r="A126" s="4"/>
      <c r="B126" s="4" t="s">
        <v>123</v>
      </c>
      <c r="C126" s="4"/>
      <c r="D126" s="4" t="s">
        <v>228</v>
      </c>
      <c r="E126" s="4" t="s">
        <v>231</v>
      </c>
      <c r="F126" s="4">
        <v>200</v>
      </c>
      <c r="G126" s="6" t="s">
        <v>1020</v>
      </c>
    </row>
    <row r="127" spans="1:7" x14ac:dyDescent="0.25">
      <c r="A127" s="4"/>
      <c r="B127" s="4" t="s">
        <v>123</v>
      </c>
      <c r="C127" s="4" t="s">
        <v>378</v>
      </c>
      <c r="D127" s="4" t="s">
        <v>254</v>
      </c>
      <c r="E127" s="4" t="s">
        <v>255</v>
      </c>
      <c r="F127" s="4">
        <v>633</v>
      </c>
      <c r="G127" t="s">
        <v>483</v>
      </c>
    </row>
    <row r="128" spans="1:7" x14ac:dyDescent="0.25">
      <c r="A128" s="4" t="s">
        <v>256</v>
      </c>
      <c r="B128" s="4" t="s">
        <v>256</v>
      </c>
      <c r="C128" s="4"/>
      <c r="D128" s="4"/>
      <c r="E128" s="4"/>
      <c r="F128" s="4"/>
      <c r="G128" t="s">
        <v>483</v>
      </c>
    </row>
    <row r="129" spans="1:7" x14ac:dyDescent="0.25">
      <c r="A129" s="4" t="s">
        <v>257</v>
      </c>
      <c r="B129" s="4" t="s">
        <v>36</v>
      </c>
      <c r="C129" s="4" t="s">
        <v>86</v>
      </c>
      <c r="D129" s="4" t="s">
        <v>425</v>
      </c>
      <c r="E129" s="4" t="s">
        <v>426</v>
      </c>
      <c r="F129" s="4" t="s">
        <v>303</v>
      </c>
      <c r="G129" t="s">
        <v>483</v>
      </c>
    </row>
    <row r="130" spans="1:7" x14ac:dyDescent="0.25">
      <c r="A130" s="4"/>
      <c r="B130" s="4" t="s">
        <v>257</v>
      </c>
      <c r="C130" s="4"/>
      <c r="D130" s="4"/>
      <c r="E130" s="4"/>
      <c r="F130" s="4"/>
      <c r="G130" t="s">
        <v>482</v>
      </c>
    </row>
    <row r="131" spans="1:7" x14ac:dyDescent="0.25">
      <c r="A131" s="4"/>
      <c r="B131" s="4" t="s">
        <v>1445</v>
      </c>
      <c r="C131" s="4" t="s">
        <v>325</v>
      </c>
      <c r="D131" s="4" t="s">
        <v>258</v>
      </c>
      <c r="E131" s="4" t="s">
        <v>259</v>
      </c>
      <c r="F131" s="4">
        <v>265</v>
      </c>
      <c r="G131" t="s">
        <v>482</v>
      </c>
    </row>
    <row r="132" spans="1:7" x14ac:dyDescent="0.25">
      <c r="A132" s="4"/>
      <c r="B132" s="4" t="s">
        <v>1445</v>
      </c>
      <c r="C132" s="4"/>
      <c r="D132" s="4" t="s">
        <v>258</v>
      </c>
      <c r="E132" s="4" t="s">
        <v>260</v>
      </c>
      <c r="F132" s="4">
        <v>266</v>
      </c>
      <c r="G132" t="s">
        <v>482</v>
      </c>
    </row>
    <row r="133" spans="1:7" x14ac:dyDescent="0.25">
      <c r="A133" s="4"/>
      <c r="B133" s="4" t="s">
        <v>1445</v>
      </c>
      <c r="C133" s="4" t="s">
        <v>261</v>
      </c>
      <c r="D133" s="4" t="s">
        <v>261</v>
      </c>
      <c r="E133" s="4" t="s">
        <v>261</v>
      </c>
      <c r="F133" s="4" t="s">
        <v>303</v>
      </c>
      <c r="G133" t="s">
        <v>483</v>
      </c>
    </row>
    <row r="134" spans="1:7" x14ac:dyDescent="0.25">
      <c r="A134" s="4"/>
      <c r="B134" s="4" t="s">
        <v>12</v>
      </c>
      <c r="C134" s="4"/>
      <c r="D134" s="4"/>
      <c r="E134" s="4"/>
      <c r="F134" s="4"/>
      <c r="G134" t="s">
        <v>483</v>
      </c>
    </row>
    <row r="135" spans="1:7" x14ac:dyDescent="0.25">
      <c r="A135" s="4" t="s">
        <v>279</v>
      </c>
      <c r="B135" s="4" t="s">
        <v>279</v>
      </c>
      <c r="C135" s="4" t="s">
        <v>450</v>
      </c>
      <c r="D135" s="4" t="s">
        <v>61</v>
      </c>
      <c r="E135" s="4" t="s">
        <v>452</v>
      </c>
      <c r="F135" s="4">
        <v>443</v>
      </c>
      <c r="G135" t="s">
        <v>482</v>
      </c>
    </row>
    <row r="136" spans="1:7" x14ac:dyDescent="0.25">
      <c r="A136" s="4"/>
      <c r="B136" s="4" t="s">
        <v>279</v>
      </c>
      <c r="C136" s="4"/>
      <c r="D136" s="4" t="s">
        <v>61</v>
      </c>
      <c r="E136" s="4" t="s">
        <v>454</v>
      </c>
      <c r="F136" s="4" t="s">
        <v>303</v>
      </c>
      <c r="G136" s="5" t="s">
        <v>492</v>
      </c>
    </row>
    <row r="137" spans="1:7" x14ac:dyDescent="0.25">
      <c r="A137" s="4"/>
      <c r="B137" s="4" t="s">
        <v>279</v>
      </c>
      <c r="C137" s="4"/>
      <c r="D137" s="4" t="s">
        <v>61</v>
      </c>
      <c r="E137" s="4" t="s">
        <v>456</v>
      </c>
      <c r="F137" s="4">
        <v>445</v>
      </c>
      <c r="G137" s="5" t="s">
        <v>492</v>
      </c>
    </row>
    <row r="138" spans="1:7" x14ac:dyDescent="0.25">
      <c r="A138" s="4"/>
      <c r="B138" s="4" t="s">
        <v>279</v>
      </c>
      <c r="C138" s="4"/>
      <c r="D138" s="4" t="s">
        <v>61</v>
      </c>
      <c r="E138" s="4" t="s">
        <v>458</v>
      </c>
      <c r="F138" s="4">
        <v>441</v>
      </c>
      <c r="G138" s="5" t="s">
        <v>492</v>
      </c>
    </row>
    <row r="139" spans="1:7" x14ac:dyDescent="0.25">
      <c r="A139" s="4"/>
      <c r="B139" s="4" t="s">
        <v>279</v>
      </c>
      <c r="C139" s="4"/>
      <c r="D139" s="4" t="s">
        <v>61</v>
      </c>
      <c r="E139" s="4" t="s">
        <v>460</v>
      </c>
      <c r="F139" s="4">
        <v>441</v>
      </c>
      <c r="G139" s="5" t="s">
        <v>492</v>
      </c>
    </row>
    <row r="140" spans="1:7" x14ac:dyDescent="0.25">
      <c r="A140" s="4"/>
      <c r="B140" s="4" t="s">
        <v>279</v>
      </c>
      <c r="C140" s="4"/>
      <c r="D140" s="4" t="s">
        <v>450</v>
      </c>
      <c r="E140" s="4" t="s">
        <v>450</v>
      </c>
      <c r="F140" s="4" t="s">
        <v>303</v>
      </c>
      <c r="G140" s="6" t="s">
        <v>1459</v>
      </c>
    </row>
    <row r="141" spans="1:7" x14ac:dyDescent="0.25">
      <c r="A141" s="4"/>
      <c r="B141" s="4" t="s">
        <v>279</v>
      </c>
      <c r="C141" s="4" t="s">
        <v>461</v>
      </c>
      <c r="D141" s="4" t="s">
        <v>61</v>
      </c>
      <c r="E141" s="4" t="s">
        <v>62</v>
      </c>
      <c r="F141" s="4">
        <v>584</v>
      </c>
      <c r="G141" s="6" t="s">
        <v>498</v>
      </c>
    </row>
    <row r="142" spans="1:7" x14ac:dyDescent="0.25">
      <c r="A142" s="4"/>
      <c r="B142" s="4" t="s">
        <v>279</v>
      </c>
      <c r="C142" s="4" t="s">
        <v>334</v>
      </c>
      <c r="D142" s="4" t="s">
        <v>61</v>
      </c>
      <c r="E142" s="4" t="s">
        <v>463</v>
      </c>
      <c r="F142" s="4">
        <v>599</v>
      </c>
      <c r="G142" s="6" t="s">
        <v>498</v>
      </c>
    </row>
    <row r="143" spans="1:7" x14ac:dyDescent="0.25">
      <c r="A143" s="4"/>
      <c r="B143" s="4" t="s">
        <v>279</v>
      </c>
      <c r="C143" s="4" t="s">
        <v>299</v>
      </c>
      <c r="D143" s="4" t="s">
        <v>61</v>
      </c>
      <c r="E143" s="4" t="s">
        <v>465</v>
      </c>
      <c r="F143" s="4" t="s">
        <v>303</v>
      </c>
      <c r="G143" s="6" t="s">
        <v>501</v>
      </c>
    </row>
    <row r="144" spans="1:7" x14ac:dyDescent="0.25">
      <c r="A144" s="4"/>
      <c r="B144" s="4" t="s">
        <v>279</v>
      </c>
      <c r="C144" s="4" t="s">
        <v>122</v>
      </c>
      <c r="D144" s="4" t="s">
        <v>61</v>
      </c>
      <c r="E144" s="4" t="s">
        <v>468</v>
      </c>
      <c r="F144" s="4">
        <v>220</v>
      </c>
      <c r="G144" s="6" t="s">
        <v>501</v>
      </c>
    </row>
    <row r="145" spans="1:7" x14ac:dyDescent="0.25">
      <c r="A145" s="4"/>
      <c r="B145" s="4" t="s">
        <v>279</v>
      </c>
      <c r="C145" s="4"/>
      <c r="D145" s="4" t="s">
        <v>61</v>
      </c>
      <c r="E145" s="4"/>
      <c r="F145" s="4">
        <v>227</v>
      </c>
      <c r="G145" t="s">
        <v>1460</v>
      </c>
    </row>
    <row r="146" spans="1:7" x14ac:dyDescent="0.25">
      <c r="A146" s="4"/>
      <c r="B146" s="4" t="s">
        <v>279</v>
      </c>
      <c r="C146" s="4"/>
      <c r="D146" s="4" t="s">
        <v>61</v>
      </c>
      <c r="E146" s="4"/>
      <c r="F146" s="4">
        <v>230</v>
      </c>
      <c r="G146" t="s">
        <v>1461</v>
      </c>
    </row>
    <row r="147" spans="1:7" x14ac:dyDescent="0.25">
      <c r="A147" s="4"/>
      <c r="B147" s="4" t="s">
        <v>279</v>
      </c>
      <c r="C147" s="4"/>
      <c r="D147" s="4" t="s">
        <v>61</v>
      </c>
      <c r="E147" s="4"/>
      <c r="F147" s="4">
        <v>231</v>
      </c>
      <c r="G147" t="s">
        <v>515</v>
      </c>
    </row>
    <row r="148" spans="1:7" x14ac:dyDescent="0.25">
      <c r="A148" s="4"/>
      <c r="B148" s="4" t="s">
        <v>279</v>
      </c>
      <c r="C148" s="4"/>
      <c r="D148" s="4" t="s">
        <v>61</v>
      </c>
      <c r="E148" s="4"/>
      <c r="F148" s="4">
        <v>240</v>
      </c>
      <c r="G148" t="s">
        <v>505</v>
      </c>
    </row>
    <row r="149" spans="1:7" x14ac:dyDescent="0.25">
      <c r="A149" s="4"/>
      <c r="B149" s="4" t="s">
        <v>279</v>
      </c>
      <c r="C149" s="4"/>
      <c r="D149" s="4" t="s">
        <v>61</v>
      </c>
      <c r="E149" s="4" t="s">
        <v>472</v>
      </c>
      <c r="F149" s="4">
        <v>217</v>
      </c>
      <c r="G149" t="s">
        <v>1462</v>
      </c>
    </row>
    <row r="150" spans="1:7" x14ac:dyDescent="0.25">
      <c r="A150" s="4"/>
      <c r="B150" s="4" t="s">
        <v>279</v>
      </c>
      <c r="C150" s="4"/>
      <c r="D150" s="4" t="s">
        <v>61</v>
      </c>
      <c r="E150" s="4" t="s">
        <v>62</v>
      </c>
      <c r="F150" s="4">
        <v>228</v>
      </c>
      <c r="G150" t="s">
        <v>1463</v>
      </c>
    </row>
    <row r="151" spans="1:7" x14ac:dyDescent="0.25">
      <c r="A151" s="4"/>
      <c r="B151" s="4" t="s">
        <v>279</v>
      </c>
      <c r="C151" s="4"/>
      <c r="D151" s="4" t="s">
        <v>61</v>
      </c>
      <c r="E151" s="4"/>
      <c r="F151" s="4">
        <v>229</v>
      </c>
      <c r="G151" t="s">
        <v>1464</v>
      </c>
    </row>
    <row r="152" spans="1:7" x14ac:dyDescent="0.25">
      <c r="A152" s="4"/>
      <c r="B152" s="4" t="s">
        <v>279</v>
      </c>
      <c r="C152" s="4"/>
      <c r="D152" s="4" t="s">
        <v>61</v>
      </c>
      <c r="E152" s="4"/>
      <c r="F152" s="4">
        <v>232</v>
      </c>
      <c r="G152" t="s">
        <v>1465</v>
      </c>
    </row>
    <row r="153" spans="1:7" x14ac:dyDescent="0.25">
      <c r="A153" s="4"/>
      <c r="B153" s="4" t="s">
        <v>279</v>
      </c>
      <c r="C153" s="4"/>
      <c r="D153" s="4" t="s">
        <v>122</v>
      </c>
      <c r="E153" s="4" t="s">
        <v>122</v>
      </c>
      <c r="F153" s="4" t="s">
        <v>303</v>
      </c>
      <c r="G153" t="s">
        <v>1466</v>
      </c>
    </row>
    <row r="154" spans="1:7" x14ac:dyDescent="0.25">
      <c r="A154" s="4"/>
      <c r="B154" s="4" t="s">
        <v>279</v>
      </c>
      <c r="C154" s="4" t="s">
        <v>474</v>
      </c>
      <c r="D154" s="4" t="s">
        <v>475</v>
      </c>
      <c r="E154" s="4" t="s">
        <v>476</v>
      </c>
      <c r="F154" s="4">
        <v>581</v>
      </c>
      <c r="G154" t="s">
        <v>1466</v>
      </c>
    </row>
    <row r="155" spans="1:7" x14ac:dyDescent="0.25">
      <c r="A155" s="4"/>
      <c r="B155" s="4" t="s">
        <v>279</v>
      </c>
      <c r="C155" s="4"/>
      <c r="D155" s="4" t="s">
        <v>478</v>
      </c>
      <c r="E155" s="4" t="s">
        <v>479</v>
      </c>
      <c r="F155" s="4">
        <v>600</v>
      </c>
      <c r="G155" t="s">
        <v>515</v>
      </c>
    </row>
    <row r="156" spans="1:7" x14ac:dyDescent="0.25">
      <c r="A156" s="4"/>
      <c r="B156" s="4" t="s">
        <v>279</v>
      </c>
      <c r="C156" s="4"/>
      <c r="D156" s="4" t="s">
        <v>61</v>
      </c>
      <c r="E156" s="4" t="s">
        <v>481</v>
      </c>
      <c r="F156" s="4">
        <v>447</v>
      </c>
      <c r="G156" t="s">
        <v>505</v>
      </c>
    </row>
    <row r="157" spans="1:7" x14ac:dyDescent="0.25">
      <c r="A157" s="4"/>
      <c r="B157" s="4" t="s">
        <v>279</v>
      </c>
      <c r="C157" s="4"/>
      <c r="D157" s="4" t="s">
        <v>61</v>
      </c>
      <c r="E157" s="4"/>
      <c r="F157" s="4">
        <v>449</v>
      </c>
      <c r="G157" t="s">
        <v>509</v>
      </c>
    </row>
    <row r="158" spans="1:7" x14ac:dyDescent="0.25">
      <c r="A158" s="4"/>
      <c r="B158" s="4" t="s">
        <v>279</v>
      </c>
      <c r="C158" s="4"/>
      <c r="D158" s="4" t="s">
        <v>61</v>
      </c>
      <c r="E158" s="4" t="s">
        <v>484</v>
      </c>
      <c r="F158" s="4">
        <v>448</v>
      </c>
      <c r="G158" t="s">
        <v>519</v>
      </c>
    </row>
    <row r="159" spans="1:7" x14ac:dyDescent="0.25">
      <c r="A159" s="4"/>
      <c r="B159" s="4" t="s">
        <v>279</v>
      </c>
      <c r="C159" s="4"/>
      <c r="D159" s="4" t="s">
        <v>61</v>
      </c>
      <c r="E159" s="4" t="s">
        <v>485</v>
      </c>
      <c r="F159" s="4">
        <v>632</v>
      </c>
      <c r="G159" t="s">
        <v>519</v>
      </c>
    </row>
    <row r="160" spans="1:7" x14ac:dyDescent="0.25">
      <c r="A160" s="4"/>
      <c r="B160" s="4" t="s">
        <v>279</v>
      </c>
      <c r="C160" s="4"/>
      <c r="D160" s="4" t="s">
        <v>61</v>
      </c>
      <c r="E160" s="4" t="s">
        <v>486</v>
      </c>
      <c r="F160" s="4">
        <v>450</v>
      </c>
      <c r="G160" t="s">
        <v>519</v>
      </c>
    </row>
    <row r="161" spans="1:7" x14ac:dyDescent="0.25">
      <c r="A161" s="4"/>
      <c r="B161" s="4" t="s">
        <v>279</v>
      </c>
      <c r="C161" s="4"/>
      <c r="D161" s="4" t="s">
        <v>61</v>
      </c>
      <c r="E161" s="4" t="s">
        <v>487</v>
      </c>
      <c r="F161" s="4">
        <v>449</v>
      </c>
      <c r="G161" t="s">
        <v>1460</v>
      </c>
    </row>
    <row r="162" spans="1:7" x14ac:dyDescent="0.25">
      <c r="A162" s="4"/>
      <c r="B162" s="4" t="s">
        <v>279</v>
      </c>
      <c r="C162" s="4"/>
      <c r="D162" s="4" t="s">
        <v>61</v>
      </c>
      <c r="E162" s="4" t="s">
        <v>62</v>
      </c>
      <c r="F162" s="4">
        <v>447</v>
      </c>
      <c r="G162" t="s">
        <v>501</v>
      </c>
    </row>
    <row r="163" spans="1:7" x14ac:dyDescent="0.25">
      <c r="A163" s="4"/>
      <c r="B163" s="4" t="s">
        <v>279</v>
      </c>
      <c r="C163" s="4"/>
      <c r="D163" s="4" t="s">
        <v>61</v>
      </c>
      <c r="E163" s="4"/>
      <c r="F163" s="4">
        <v>585</v>
      </c>
      <c r="G163" t="s">
        <v>1460</v>
      </c>
    </row>
    <row r="164" spans="1:7" x14ac:dyDescent="0.25">
      <c r="A164" s="4"/>
      <c r="B164" s="4" t="s">
        <v>279</v>
      </c>
      <c r="C164" s="4"/>
      <c r="D164" s="4" t="s">
        <v>489</v>
      </c>
      <c r="E164" s="4" t="s">
        <v>490</v>
      </c>
      <c r="F164" s="4">
        <v>586</v>
      </c>
      <c r="G164" t="s">
        <v>1461</v>
      </c>
    </row>
    <row r="165" spans="1:7" x14ac:dyDescent="0.25">
      <c r="A165" s="4"/>
      <c r="B165" s="4" t="s">
        <v>279</v>
      </c>
      <c r="C165" s="4" t="s">
        <v>491</v>
      </c>
      <c r="D165" s="4" t="s">
        <v>61</v>
      </c>
      <c r="E165" s="4" t="s">
        <v>481</v>
      </c>
      <c r="F165" s="4">
        <v>378</v>
      </c>
      <c r="G165" t="s">
        <v>515</v>
      </c>
    </row>
    <row r="166" spans="1:7" x14ac:dyDescent="0.25">
      <c r="A166" s="4"/>
      <c r="B166" s="4" t="s">
        <v>279</v>
      </c>
      <c r="C166" s="4"/>
      <c r="D166" s="4" t="s">
        <v>61</v>
      </c>
      <c r="E166" s="4" t="s">
        <v>493</v>
      </c>
      <c r="F166" s="4">
        <v>379</v>
      </c>
      <c r="G166" t="s">
        <v>505</v>
      </c>
    </row>
    <row r="167" spans="1:7" x14ac:dyDescent="0.25">
      <c r="A167" s="4"/>
      <c r="B167" s="4" t="s">
        <v>279</v>
      </c>
      <c r="C167" s="4"/>
      <c r="D167" s="4" t="s">
        <v>61</v>
      </c>
      <c r="E167" s="4" t="s">
        <v>494</v>
      </c>
      <c r="F167" s="4">
        <v>582</v>
      </c>
      <c r="G167" t="s">
        <v>1464</v>
      </c>
    </row>
    <row r="168" spans="1:7" x14ac:dyDescent="0.25">
      <c r="A168" s="4"/>
      <c r="B168" s="4" t="s">
        <v>279</v>
      </c>
      <c r="C168" s="4"/>
      <c r="D168" s="4" t="s">
        <v>61</v>
      </c>
      <c r="E168" s="4" t="s">
        <v>62</v>
      </c>
      <c r="F168" s="4">
        <v>378</v>
      </c>
      <c r="G168" t="s">
        <v>1465</v>
      </c>
    </row>
    <row r="169" spans="1:7" x14ac:dyDescent="0.25">
      <c r="A169" s="4"/>
      <c r="B169" s="4" t="s">
        <v>279</v>
      </c>
      <c r="C169" s="4" t="s">
        <v>415</v>
      </c>
      <c r="D169" s="4" t="s">
        <v>61</v>
      </c>
      <c r="E169" s="4" t="s">
        <v>495</v>
      </c>
      <c r="F169" s="4">
        <v>564</v>
      </c>
      <c r="G169" t="s">
        <v>1467</v>
      </c>
    </row>
    <row r="170" spans="1:7" x14ac:dyDescent="0.25">
      <c r="A170" s="4"/>
      <c r="B170" s="4" t="s">
        <v>279</v>
      </c>
      <c r="C170" s="4" t="s">
        <v>497</v>
      </c>
      <c r="D170" s="4" t="s">
        <v>61</v>
      </c>
      <c r="E170" s="4" t="s">
        <v>48</v>
      </c>
      <c r="F170" s="4">
        <v>573</v>
      </c>
      <c r="G170" t="s">
        <v>1468</v>
      </c>
    </row>
    <row r="171" spans="1:7" x14ac:dyDescent="0.25">
      <c r="A171" s="4"/>
      <c r="B171" s="4" t="s">
        <v>279</v>
      </c>
      <c r="C171" s="4"/>
      <c r="D171" s="4" t="s">
        <v>61</v>
      </c>
      <c r="E171" s="4" t="s">
        <v>499</v>
      </c>
      <c r="F171" s="4">
        <v>574</v>
      </c>
      <c r="G171" t="s">
        <v>1466</v>
      </c>
    </row>
    <row r="172" spans="1:7" x14ac:dyDescent="0.25">
      <c r="A172" s="4"/>
      <c r="B172" s="4" t="s">
        <v>279</v>
      </c>
      <c r="C172" s="4" t="s">
        <v>325</v>
      </c>
      <c r="D172" s="4" t="s">
        <v>61</v>
      </c>
      <c r="E172" s="4" t="s">
        <v>500</v>
      </c>
      <c r="F172" s="4">
        <v>271</v>
      </c>
      <c r="G172" t="s">
        <v>1469</v>
      </c>
    </row>
    <row r="173" spans="1:7" x14ac:dyDescent="0.25">
      <c r="A173" s="4"/>
      <c r="B173" s="4" t="s">
        <v>279</v>
      </c>
      <c r="C173" s="4"/>
      <c r="D173" s="4" t="s">
        <v>61</v>
      </c>
      <c r="E173" s="4" t="s">
        <v>481</v>
      </c>
      <c r="F173" s="4">
        <v>271</v>
      </c>
      <c r="G173" t="s">
        <v>1469</v>
      </c>
    </row>
    <row r="174" spans="1:7" x14ac:dyDescent="0.25">
      <c r="A174" s="4"/>
      <c r="B174" s="4" t="s">
        <v>279</v>
      </c>
      <c r="C174" s="4"/>
      <c r="D174" s="4" t="s">
        <v>61</v>
      </c>
      <c r="E174" s="4"/>
      <c r="F174" s="4">
        <v>272</v>
      </c>
      <c r="G174" s="5" t="s">
        <v>534</v>
      </c>
    </row>
    <row r="175" spans="1:7" x14ac:dyDescent="0.25">
      <c r="A175" s="4"/>
      <c r="B175" s="4" t="s">
        <v>279</v>
      </c>
      <c r="C175" s="4"/>
      <c r="D175" s="4" t="s">
        <v>61</v>
      </c>
      <c r="E175" s="4"/>
      <c r="F175" s="4">
        <v>273</v>
      </c>
      <c r="G175" s="5" t="s">
        <v>534</v>
      </c>
    </row>
    <row r="176" spans="1:7" x14ac:dyDescent="0.25">
      <c r="A176" s="4"/>
      <c r="B176" s="4" t="s">
        <v>279</v>
      </c>
      <c r="C176" s="4"/>
      <c r="D176" s="4" t="s">
        <v>61</v>
      </c>
      <c r="E176" s="4"/>
      <c r="F176" s="4">
        <v>274</v>
      </c>
      <c r="G176" s="5" t="s">
        <v>534</v>
      </c>
    </row>
    <row r="177" spans="1:7" x14ac:dyDescent="0.25">
      <c r="A177" s="4"/>
      <c r="B177" s="4" t="s">
        <v>279</v>
      </c>
      <c r="C177" s="4"/>
      <c r="D177" s="4" t="s">
        <v>61</v>
      </c>
      <c r="E177" s="4"/>
      <c r="F177" s="4">
        <v>275</v>
      </c>
      <c r="G177" s="5" t="s">
        <v>534</v>
      </c>
    </row>
    <row r="178" spans="1:7" x14ac:dyDescent="0.25">
      <c r="A178" s="4"/>
      <c r="B178" s="4" t="s">
        <v>279</v>
      </c>
      <c r="C178" s="4"/>
      <c r="D178" s="4" t="s">
        <v>61</v>
      </c>
      <c r="E178" s="4"/>
      <c r="F178" s="4">
        <v>276</v>
      </c>
      <c r="G178" s="6" t="s">
        <v>1020</v>
      </c>
    </row>
    <row r="179" spans="1:7" x14ac:dyDescent="0.25">
      <c r="A179" s="4"/>
      <c r="B179" s="4" t="s">
        <v>279</v>
      </c>
      <c r="C179" s="4"/>
      <c r="D179" s="4" t="s">
        <v>61</v>
      </c>
      <c r="E179" s="4"/>
      <c r="F179" s="4">
        <v>277</v>
      </c>
      <c r="G179" t="s">
        <v>1470</v>
      </c>
    </row>
    <row r="180" spans="1:7" x14ac:dyDescent="0.25">
      <c r="A180" s="4"/>
      <c r="B180" s="4" t="s">
        <v>279</v>
      </c>
      <c r="C180" s="4"/>
      <c r="D180" s="4" t="s">
        <v>61</v>
      </c>
      <c r="E180" s="4"/>
      <c r="F180" s="4">
        <v>278</v>
      </c>
      <c r="G180" t="s">
        <v>1471</v>
      </c>
    </row>
    <row r="181" spans="1:7" x14ac:dyDescent="0.25">
      <c r="A181" s="4"/>
      <c r="B181" s="4" t="s">
        <v>279</v>
      </c>
      <c r="C181" s="4"/>
      <c r="D181" s="4" t="s">
        <v>61</v>
      </c>
      <c r="E181" s="4"/>
      <c r="F181" s="4">
        <v>279</v>
      </c>
      <c r="G181" t="s">
        <v>1472</v>
      </c>
    </row>
    <row r="182" spans="1:7" x14ac:dyDescent="0.25">
      <c r="A182" s="4"/>
      <c r="B182" s="4" t="s">
        <v>279</v>
      </c>
      <c r="C182" s="4"/>
      <c r="D182" s="4" t="s">
        <v>61</v>
      </c>
      <c r="E182" s="4"/>
      <c r="F182" s="4">
        <v>280</v>
      </c>
      <c r="G182" t="s">
        <v>1473</v>
      </c>
    </row>
    <row r="183" spans="1:7" x14ac:dyDescent="0.25">
      <c r="A183" s="4"/>
      <c r="B183" s="4" t="s">
        <v>279</v>
      </c>
      <c r="C183" s="4"/>
      <c r="D183" s="4" t="s">
        <v>61</v>
      </c>
      <c r="E183" s="4" t="s">
        <v>512</v>
      </c>
      <c r="F183" s="4">
        <v>513</v>
      </c>
      <c r="G183" t="s">
        <v>1474</v>
      </c>
    </row>
    <row r="184" spans="1:7" x14ac:dyDescent="0.25">
      <c r="A184" s="4"/>
      <c r="B184" s="4" t="s">
        <v>279</v>
      </c>
      <c r="C184" s="4"/>
      <c r="D184" s="4" t="s">
        <v>61</v>
      </c>
      <c r="E184" s="4" t="s">
        <v>514</v>
      </c>
      <c r="F184" s="4">
        <v>274</v>
      </c>
      <c r="G184" t="s">
        <v>1475</v>
      </c>
    </row>
    <row r="185" spans="1:7" x14ac:dyDescent="0.25">
      <c r="A185" s="4"/>
      <c r="B185" s="4" t="s">
        <v>279</v>
      </c>
      <c r="C185" s="4"/>
      <c r="D185" s="4" t="s">
        <v>61</v>
      </c>
      <c r="E185" s="4" t="s">
        <v>516</v>
      </c>
      <c r="F185" s="4">
        <v>275</v>
      </c>
      <c r="G185" t="s">
        <v>1476</v>
      </c>
    </row>
    <row r="186" spans="1:7" x14ac:dyDescent="0.25">
      <c r="A186" s="4"/>
      <c r="B186" s="4" t="s">
        <v>279</v>
      </c>
      <c r="C186" s="4"/>
      <c r="D186" s="4" t="s">
        <v>61</v>
      </c>
      <c r="E186" s="4" t="s">
        <v>517</v>
      </c>
      <c r="F186" s="4">
        <v>279</v>
      </c>
      <c r="G186" t="s">
        <v>1477</v>
      </c>
    </row>
    <row r="187" spans="1:7" x14ac:dyDescent="0.25">
      <c r="A187" s="4"/>
      <c r="B187" s="4" t="s">
        <v>279</v>
      </c>
      <c r="C187" s="4"/>
      <c r="D187" s="4" t="s">
        <v>61</v>
      </c>
      <c r="E187" s="4" t="s">
        <v>518</v>
      </c>
      <c r="F187" s="4">
        <v>286</v>
      </c>
      <c r="G187" t="s">
        <v>1478</v>
      </c>
    </row>
    <row r="188" spans="1:7" x14ac:dyDescent="0.25">
      <c r="A188" s="4"/>
      <c r="B188" s="4" t="s">
        <v>279</v>
      </c>
      <c r="C188" s="4"/>
      <c r="D188" s="4" t="s">
        <v>61</v>
      </c>
      <c r="E188" s="4" t="s">
        <v>520</v>
      </c>
      <c r="F188" s="4">
        <v>284</v>
      </c>
      <c r="G188" t="s">
        <v>1479</v>
      </c>
    </row>
    <row r="189" spans="1:7" x14ac:dyDescent="0.25">
      <c r="A189" s="4"/>
      <c r="B189" s="4" t="s">
        <v>279</v>
      </c>
      <c r="C189" s="4"/>
      <c r="D189" s="4" t="s">
        <v>61</v>
      </c>
      <c r="E189" s="4" t="s">
        <v>521</v>
      </c>
      <c r="F189" s="4">
        <v>285</v>
      </c>
      <c r="G189" t="s">
        <v>1480</v>
      </c>
    </row>
    <row r="190" spans="1:7" x14ac:dyDescent="0.25">
      <c r="A190" s="4"/>
      <c r="B190" s="4" t="s">
        <v>279</v>
      </c>
      <c r="C190" s="4"/>
      <c r="D190" s="4" t="s">
        <v>61</v>
      </c>
      <c r="E190" s="4" t="s">
        <v>522</v>
      </c>
      <c r="F190" s="4">
        <v>272</v>
      </c>
      <c r="G190" t="s">
        <v>1481</v>
      </c>
    </row>
    <row r="191" spans="1:7" x14ac:dyDescent="0.25">
      <c r="A191" s="4"/>
      <c r="B191" s="4" t="s">
        <v>279</v>
      </c>
      <c r="C191" s="4"/>
      <c r="D191" s="4" t="s">
        <v>61</v>
      </c>
      <c r="E191" s="4" t="s">
        <v>62</v>
      </c>
      <c r="F191" s="4">
        <v>271</v>
      </c>
      <c r="G191" t="s">
        <v>1482</v>
      </c>
    </row>
    <row r="192" spans="1:7" x14ac:dyDescent="0.25">
      <c r="A192" s="4"/>
      <c r="B192" s="4" t="s">
        <v>279</v>
      </c>
      <c r="C192" s="4"/>
      <c r="D192" s="4" t="s">
        <v>61</v>
      </c>
      <c r="E192" s="4"/>
      <c r="F192" s="4">
        <v>272</v>
      </c>
      <c r="G192" t="s">
        <v>1483</v>
      </c>
    </row>
    <row r="193" spans="1:7" x14ac:dyDescent="0.25">
      <c r="A193" s="4"/>
      <c r="B193" s="4" t="s">
        <v>279</v>
      </c>
      <c r="C193" s="4"/>
      <c r="D193" s="4" t="s">
        <v>61</v>
      </c>
      <c r="E193" s="4"/>
      <c r="F193" s="4">
        <v>273</v>
      </c>
      <c r="G193" t="s">
        <v>1484</v>
      </c>
    </row>
    <row r="194" spans="1:7" x14ac:dyDescent="0.25">
      <c r="A194" s="4"/>
      <c r="B194" s="4" t="s">
        <v>279</v>
      </c>
      <c r="C194" s="4"/>
      <c r="D194" s="4" t="s">
        <v>61</v>
      </c>
      <c r="E194" s="4"/>
      <c r="F194" s="4">
        <v>274</v>
      </c>
      <c r="G194" t="s">
        <v>1485</v>
      </c>
    </row>
    <row r="195" spans="1:7" x14ac:dyDescent="0.25">
      <c r="A195" s="4"/>
      <c r="B195" s="4" t="s">
        <v>279</v>
      </c>
      <c r="C195" s="4"/>
      <c r="D195" s="4" t="s">
        <v>61</v>
      </c>
      <c r="E195" s="4"/>
      <c r="F195" s="4">
        <v>275</v>
      </c>
      <c r="G195" t="s">
        <v>1486</v>
      </c>
    </row>
    <row r="196" spans="1:7" x14ac:dyDescent="0.25">
      <c r="A196" s="4"/>
      <c r="B196" s="4" t="s">
        <v>279</v>
      </c>
      <c r="C196" s="4"/>
      <c r="D196" s="4" t="s">
        <v>61</v>
      </c>
      <c r="E196" s="4"/>
      <c r="F196" s="4">
        <v>278</v>
      </c>
      <c r="G196" t="s">
        <v>1487</v>
      </c>
    </row>
    <row r="197" spans="1:7" x14ac:dyDescent="0.25">
      <c r="A197" s="4"/>
      <c r="B197" s="4" t="s">
        <v>279</v>
      </c>
      <c r="C197" s="4"/>
      <c r="D197" s="4" t="s">
        <v>61</v>
      </c>
      <c r="E197" s="4"/>
      <c r="F197" s="4">
        <v>279</v>
      </c>
      <c r="G197" t="s">
        <v>1488</v>
      </c>
    </row>
    <row r="198" spans="1:7" x14ac:dyDescent="0.25">
      <c r="A198" s="4"/>
      <c r="B198" s="4" t="s">
        <v>279</v>
      </c>
      <c r="C198" s="4"/>
      <c r="D198" s="4" t="s">
        <v>61</v>
      </c>
      <c r="E198" s="4"/>
      <c r="F198" s="4">
        <v>281</v>
      </c>
      <c r="G198" t="s">
        <v>1489</v>
      </c>
    </row>
    <row r="199" spans="1:7" x14ac:dyDescent="0.25">
      <c r="A199" s="4"/>
      <c r="B199" s="4" t="s">
        <v>279</v>
      </c>
      <c r="C199" s="4"/>
      <c r="D199" s="4" t="s">
        <v>61</v>
      </c>
      <c r="E199" s="4"/>
      <c r="F199" s="4">
        <v>282</v>
      </c>
      <c r="G199" t="s">
        <v>1490</v>
      </c>
    </row>
    <row r="200" spans="1:7" x14ac:dyDescent="0.25">
      <c r="A200" s="4"/>
      <c r="B200" s="4" t="s">
        <v>279</v>
      </c>
      <c r="C200" s="4"/>
      <c r="D200" s="4" t="s">
        <v>61</v>
      </c>
      <c r="E200" s="4"/>
      <c r="F200" s="4">
        <v>283</v>
      </c>
      <c r="G200" t="s">
        <v>559</v>
      </c>
    </row>
    <row r="201" spans="1:7" x14ac:dyDescent="0.25">
      <c r="A201" s="4"/>
      <c r="B201" s="4" t="s">
        <v>279</v>
      </c>
      <c r="C201" s="4"/>
      <c r="D201" s="4" t="s">
        <v>61</v>
      </c>
      <c r="E201" s="4" t="s">
        <v>526</v>
      </c>
      <c r="F201" s="4">
        <v>287</v>
      </c>
      <c r="G201" t="s">
        <v>565</v>
      </c>
    </row>
    <row r="202" spans="1:7" x14ac:dyDescent="0.25">
      <c r="A202" s="4"/>
      <c r="B202" s="4" t="s">
        <v>279</v>
      </c>
      <c r="C202" s="4"/>
      <c r="D202" s="4" t="s">
        <v>61</v>
      </c>
      <c r="E202" s="4" t="s">
        <v>528</v>
      </c>
      <c r="F202" s="4">
        <v>288</v>
      </c>
      <c r="G202" t="s">
        <v>565</v>
      </c>
    </row>
    <row r="203" spans="1:7" x14ac:dyDescent="0.25">
      <c r="A203" s="4"/>
      <c r="B203" s="4" t="s">
        <v>279</v>
      </c>
      <c r="C203" s="4" t="s">
        <v>86</v>
      </c>
      <c r="D203" s="4" t="s">
        <v>529</v>
      </c>
      <c r="E203" s="4" t="s">
        <v>530</v>
      </c>
      <c r="F203" s="4">
        <v>577</v>
      </c>
      <c r="G203" t="s">
        <v>565</v>
      </c>
    </row>
    <row r="204" spans="1:7" x14ac:dyDescent="0.25">
      <c r="A204" s="4"/>
      <c r="B204" s="4" t="s">
        <v>279</v>
      </c>
      <c r="C204" s="4" t="s">
        <v>532</v>
      </c>
      <c r="D204" s="4" t="s">
        <v>61</v>
      </c>
      <c r="E204" s="4" t="s">
        <v>533</v>
      </c>
      <c r="F204" s="4">
        <v>602</v>
      </c>
      <c r="G204" t="s">
        <v>1491</v>
      </c>
    </row>
    <row r="205" spans="1:7" x14ac:dyDescent="0.25">
      <c r="A205" s="4"/>
      <c r="B205" s="4" t="s">
        <v>279</v>
      </c>
      <c r="C205" s="4"/>
      <c r="D205" s="4" t="s">
        <v>61</v>
      </c>
      <c r="E205" s="4" t="s">
        <v>468</v>
      </c>
      <c r="F205" s="4">
        <v>587</v>
      </c>
      <c r="G205" t="s">
        <v>571</v>
      </c>
    </row>
    <row r="206" spans="1:7" x14ac:dyDescent="0.25">
      <c r="A206" s="4"/>
      <c r="B206" s="4" t="s">
        <v>279</v>
      </c>
      <c r="C206" s="4"/>
      <c r="D206" s="4" t="s">
        <v>61</v>
      </c>
      <c r="E206" s="4" t="s">
        <v>62</v>
      </c>
      <c r="F206" s="4">
        <v>602</v>
      </c>
      <c r="G206" t="s">
        <v>573</v>
      </c>
    </row>
    <row r="207" spans="1:7" x14ac:dyDescent="0.25">
      <c r="A207" s="4"/>
      <c r="B207" s="4" t="s">
        <v>279</v>
      </c>
      <c r="C207" s="4"/>
      <c r="D207" s="4" t="s">
        <v>61</v>
      </c>
      <c r="E207" s="4"/>
      <c r="F207" s="4">
        <v>603</v>
      </c>
      <c r="G207" t="s">
        <v>1470</v>
      </c>
    </row>
    <row r="208" spans="1:7" x14ac:dyDescent="0.25">
      <c r="A208" s="4"/>
      <c r="B208" s="4" t="s">
        <v>279</v>
      </c>
      <c r="C208" s="4" t="s">
        <v>535</v>
      </c>
      <c r="D208" s="4" t="s">
        <v>536</v>
      </c>
      <c r="E208" s="4" t="s">
        <v>537</v>
      </c>
      <c r="F208" s="4">
        <v>583</v>
      </c>
      <c r="G208" t="s">
        <v>1471</v>
      </c>
    </row>
    <row r="209" spans="1:7" x14ac:dyDescent="0.25">
      <c r="A209" s="4"/>
      <c r="B209" s="4" t="s">
        <v>279</v>
      </c>
      <c r="C209" s="4" t="s">
        <v>290</v>
      </c>
      <c r="D209" s="4" t="s">
        <v>61</v>
      </c>
      <c r="E209" s="4" t="s">
        <v>481</v>
      </c>
      <c r="F209" s="4">
        <v>243</v>
      </c>
      <c r="G209" t="s">
        <v>1472</v>
      </c>
    </row>
    <row r="210" spans="1:7" x14ac:dyDescent="0.25">
      <c r="A210" s="4"/>
      <c r="B210" s="4" t="s">
        <v>279</v>
      </c>
      <c r="C210" s="4"/>
      <c r="D210" s="4" t="s">
        <v>61</v>
      </c>
      <c r="E210" s="4"/>
      <c r="F210" s="4">
        <v>244</v>
      </c>
      <c r="G210" t="s">
        <v>1474</v>
      </c>
    </row>
    <row r="211" spans="1:7" x14ac:dyDescent="0.25">
      <c r="A211" s="4"/>
      <c r="B211" s="4" t="s">
        <v>279</v>
      </c>
      <c r="C211" s="4"/>
      <c r="D211" s="4" t="s">
        <v>61</v>
      </c>
      <c r="E211" s="4"/>
      <c r="F211" s="4">
        <v>245</v>
      </c>
      <c r="G211" t="s">
        <v>1475</v>
      </c>
    </row>
    <row r="212" spans="1:7" x14ac:dyDescent="0.25">
      <c r="A212" s="4"/>
      <c r="B212" s="4" t="s">
        <v>279</v>
      </c>
      <c r="C212" s="4"/>
      <c r="D212" s="4" t="s">
        <v>61</v>
      </c>
      <c r="E212" s="4"/>
      <c r="F212" s="4">
        <v>246</v>
      </c>
      <c r="G212" t="s">
        <v>1476</v>
      </c>
    </row>
    <row r="213" spans="1:7" x14ac:dyDescent="0.25">
      <c r="A213" s="4"/>
      <c r="B213" s="4" t="s">
        <v>279</v>
      </c>
      <c r="C213" s="4"/>
      <c r="D213" s="4" t="s">
        <v>61</v>
      </c>
      <c r="E213" s="4"/>
      <c r="F213" s="4">
        <v>247</v>
      </c>
      <c r="G213" t="s">
        <v>1477</v>
      </c>
    </row>
    <row r="214" spans="1:7" x14ac:dyDescent="0.25">
      <c r="A214" s="4"/>
      <c r="B214" s="4" t="s">
        <v>279</v>
      </c>
      <c r="C214" s="4"/>
      <c r="D214" s="4" t="s">
        <v>61</v>
      </c>
      <c r="E214" s="4"/>
      <c r="F214" s="4">
        <v>248</v>
      </c>
      <c r="G214" t="s">
        <v>1478</v>
      </c>
    </row>
    <row r="215" spans="1:7" x14ac:dyDescent="0.25">
      <c r="A215" s="4"/>
      <c r="B215" s="4" t="s">
        <v>279</v>
      </c>
      <c r="C215" s="4"/>
      <c r="D215" s="4" t="s">
        <v>61</v>
      </c>
      <c r="E215" s="4"/>
      <c r="F215" s="4">
        <v>249</v>
      </c>
      <c r="G215" t="s">
        <v>1492</v>
      </c>
    </row>
    <row r="216" spans="1:7" x14ac:dyDescent="0.25">
      <c r="A216" s="4"/>
      <c r="B216" s="4" t="s">
        <v>279</v>
      </c>
      <c r="C216" s="4"/>
      <c r="D216" s="4" t="s">
        <v>61</v>
      </c>
      <c r="E216" s="4"/>
      <c r="F216" s="4">
        <v>250</v>
      </c>
      <c r="G216" t="s">
        <v>1493</v>
      </c>
    </row>
    <row r="217" spans="1:7" x14ac:dyDescent="0.25">
      <c r="A217" s="4"/>
      <c r="B217" s="4" t="s">
        <v>279</v>
      </c>
      <c r="C217" s="4"/>
      <c r="D217" s="4" t="s">
        <v>61</v>
      </c>
      <c r="E217" s="4"/>
      <c r="F217" s="4">
        <v>251</v>
      </c>
      <c r="G217" t="s">
        <v>1479</v>
      </c>
    </row>
    <row r="218" spans="1:7" x14ac:dyDescent="0.25">
      <c r="A218" s="4"/>
      <c r="B218" s="4" t="s">
        <v>279</v>
      </c>
      <c r="C218" s="4"/>
      <c r="D218" s="4" t="s">
        <v>61</v>
      </c>
      <c r="E218" s="4"/>
      <c r="F218" s="4">
        <v>303</v>
      </c>
      <c r="G218" t="s">
        <v>1487</v>
      </c>
    </row>
    <row r="219" spans="1:7" x14ac:dyDescent="0.25">
      <c r="A219" s="4"/>
      <c r="B219" s="4" t="s">
        <v>279</v>
      </c>
      <c r="C219" s="4"/>
      <c r="D219" s="4" t="s">
        <v>61</v>
      </c>
      <c r="E219" s="4"/>
      <c r="F219" s="4">
        <v>304</v>
      </c>
      <c r="G219" t="s">
        <v>1488</v>
      </c>
    </row>
    <row r="220" spans="1:7" x14ac:dyDescent="0.25">
      <c r="A220" s="4"/>
      <c r="B220" s="4" t="s">
        <v>279</v>
      </c>
      <c r="C220" s="4"/>
      <c r="D220" s="4" t="s">
        <v>61</v>
      </c>
      <c r="E220" s="4"/>
      <c r="F220" s="4">
        <v>305</v>
      </c>
      <c r="G220" t="s">
        <v>1494</v>
      </c>
    </row>
    <row r="221" spans="1:7" x14ac:dyDescent="0.25">
      <c r="A221" s="4"/>
      <c r="B221" s="4" t="s">
        <v>279</v>
      </c>
      <c r="C221" s="4"/>
      <c r="D221" s="4" t="s">
        <v>61</v>
      </c>
      <c r="E221" s="4"/>
      <c r="F221" s="4">
        <v>306</v>
      </c>
      <c r="G221" t="s">
        <v>1495</v>
      </c>
    </row>
    <row r="222" spans="1:7" x14ac:dyDescent="0.25">
      <c r="A222" s="4"/>
      <c r="B222" s="4" t="s">
        <v>279</v>
      </c>
      <c r="C222" s="4"/>
      <c r="D222" s="4" t="s">
        <v>61</v>
      </c>
      <c r="E222" s="4"/>
      <c r="F222" s="4">
        <v>307</v>
      </c>
      <c r="G222" t="s">
        <v>1496</v>
      </c>
    </row>
    <row r="223" spans="1:7" x14ac:dyDescent="0.25">
      <c r="A223" s="4"/>
      <c r="B223" s="4" t="s">
        <v>279</v>
      </c>
      <c r="C223" s="4"/>
      <c r="D223" s="4" t="s">
        <v>61</v>
      </c>
      <c r="E223" s="4"/>
      <c r="F223" s="4">
        <v>308</v>
      </c>
      <c r="G223" t="s">
        <v>1497</v>
      </c>
    </row>
    <row r="224" spans="1:7" x14ac:dyDescent="0.25">
      <c r="A224" s="4"/>
      <c r="B224" s="4" t="s">
        <v>279</v>
      </c>
      <c r="C224" s="4"/>
      <c r="D224" s="4" t="s">
        <v>61</v>
      </c>
      <c r="E224" s="4"/>
      <c r="F224" s="4">
        <v>309</v>
      </c>
      <c r="G224" t="s">
        <v>1498</v>
      </c>
    </row>
    <row r="225" spans="1:7" x14ac:dyDescent="0.25">
      <c r="A225" s="4"/>
      <c r="B225" s="4" t="s">
        <v>279</v>
      </c>
      <c r="C225" s="4"/>
      <c r="D225" s="4" t="s">
        <v>61</v>
      </c>
      <c r="E225" s="4"/>
      <c r="F225" s="4">
        <v>310</v>
      </c>
      <c r="G225" t="s">
        <v>1499</v>
      </c>
    </row>
    <row r="226" spans="1:7" x14ac:dyDescent="0.25">
      <c r="A226" s="4"/>
      <c r="B226" s="4" t="s">
        <v>279</v>
      </c>
      <c r="C226" s="4"/>
      <c r="D226" s="4" t="s">
        <v>61</v>
      </c>
      <c r="E226" s="4"/>
      <c r="F226" s="4">
        <v>344</v>
      </c>
      <c r="G226" t="s">
        <v>1491</v>
      </c>
    </row>
    <row r="227" spans="1:7" x14ac:dyDescent="0.25">
      <c r="A227" s="4"/>
      <c r="B227" s="4" t="s">
        <v>279</v>
      </c>
      <c r="C227" s="4"/>
      <c r="D227" s="4" t="s">
        <v>61</v>
      </c>
      <c r="E227" s="4"/>
      <c r="F227" s="4">
        <v>346</v>
      </c>
      <c r="G227" t="s">
        <v>1491</v>
      </c>
    </row>
    <row r="228" spans="1:7" x14ac:dyDescent="0.25">
      <c r="A228" s="4"/>
      <c r="B228" s="4" t="s">
        <v>279</v>
      </c>
      <c r="C228" s="4"/>
      <c r="D228" s="4" t="s">
        <v>61</v>
      </c>
      <c r="E228" s="4" t="s">
        <v>558</v>
      </c>
      <c r="F228" s="4">
        <v>298</v>
      </c>
      <c r="G228" t="s">
        <v>1500</v>
      </c>
    </row>
    <row r="229" spans="1:7" x14ac:dyDescent="0.25">
      <c r="A229" s="4"/>
      <c r="B229" s="4" t="s">
        <v>279</v>
      </c>
      <c r="C229" s="4"/>
      <c r="D229" s="4" t="s">
        <v>61</v>
      </c>
      <c r="E229" s="4" t="s">
        <v>560</v>
      </c>
      <c r="F229" s="4">
        <v>246</v>
      </c>
      <c r="G229" t="s">
        <v>1501</v>
      </c>
    </row>
    <row r="230" spans="1:7" x14ac:dyDescent="0.25">
      <c r="A230" s="4"/>
      <c r="B230" s="4" t="s">
        <v>279</v>
      </c>
      <c r="C230" s="4"/>
      <c r="D230" s="4" t="s">
        <v>61</v>
      </c>
      <c r="E230" s="4" t="s">
        <v>561</v>
      </c>
      <c r="F230" s="4">
        <v>301</v>
      </c>
      <c r="G230" t="s">
        <v>1502</v>
      </c>
    </row>
    <row r="231" spans="1:7" x14ac:dyDescent="0.25">
      <c r="A231" s="4"/>
      <c r="B231" s="4" t="s">
        <v>279</v>
      </c>
      <c r="C231" s="4"/>
      <c r="D231" s="4" t="s">
        <v>61</v>
      </c>
      <c r="E231" s="4" t="s">
        <v>563</v>
      </c>
      <c r="F231" s="4">
        <v>313</v>
      </c>
      <c r="G231" t="s">
        <v>1503</v>
      </c>
    </row>
    <row r="232" spans="1:7" x14ac:dyDescent="0.25">
      <c r="A232" s="4"/>
      <c r="B232" s="4" t="s">
        <v>279</v>
      </c>
      <c r="C232" s="4"/>
      <c r="D232" s="4" t="s">
        <v>61</v>
      </c>
      <c r="E232" s="4" t="s">
        <v>564</v>
      </c>
      <c r="F232" s="4">
        <v>311</v>
      </c>
      <c r="G232" t="s">
        <v>1504</v>
      </c>
    </row>
    <row r="233" spans="1:7" x14ac:dyDescent="0.25">
      <c r="A233" s="4"/>
      <c r="B233" s="4" t="s">
        <v>279</v>
      </c>
      <c r="C233" s="4"/>
      <c r="D233" s="4" t="s">
        <v>61</v>
      </c>
      <c r="E233" s="4" t="s">
        <v>566</v>
      </c>
      <c r="F233" s="4" t="s">
        <v>303</v>
      </c>
      <c r="G233" t="s">
        <v>1505</v>
      </c>
    </row>
    <row r="234" spans="1:7" x14ac:dyDescent="0.25">
      <c r="A234" s="4"/>
      <c r="B234" s="4" t="s">
        <v>279</v>
      </c>
      <c r="C234" s="4"/>
      <c r="D234" s="4" t="s">
        <v>61</v>
      </c>
      <c r="E234" s="4" t="s">
        <v>567</v>
      </c>
      <c r="F234" s="4">
        <v>311</v>
      </c>
      <c r="G234" t="s">
        <v>1506</v>
      </c>
    </row>
    <row r="235" spans="1:7" x14ac:dyDescent="0.25">
      <c r="A235" s="4"/>
      <c r="B235" s="4" t="s">
        <v>279</v>
      </c>
      <c r="C235" s="4"/>
      <c r="D235" s="4" t="s">
        <v>61</v>
      </c>
      <c r="E235" s="4" t="s">
        <v>568</v>
      </c>
      <c r="F235" s="4">
        <v>590</v>
      </c>
      <c r="G235" t="s">
        <v>1507</v>
      </c>
    </row>
    <row r="236" spans="1:7" x14ac:dyDescent="0.25">
      <c r="A236" s="4"/>
      <c r="B236" s="4" t="s">
        <v>279</v>
      </c>
      <c r="C236" s="4"/>
      <c r="D236" s="4" t="s">
        <v>61</v>
      </c>
      <c r="E236" s="4" t="s">
        <v>570</v>
      </c>
      <c r="F236" s="4">
        <v>627</v>
      </c>
      <c r="G236" t="s">
        <v>1491</v>
      </c>
    </row>
    <row r="237" spans="1:7" x14ac:dyDescent="0.25">
      <c r="A237" s="4"/>
      <c r="B237" s="4" t="s">
        <v>279</v>
      </c>
      <c r="C237" s="4"/>
      <c r="D237" s="4" t="s">
        <v>61</v>
      </c>
      <c r="E237" s="4" t="s">
        <v>572</v>
      </c>
      <c r="F237" s="4">
        <v>300</v>
      </c>
      <c r="G237" t="s">
        <v>1491</v>
      </c>
    </row>
    <row r="238" spans="1:7" x14ac:dyDescent="0.25">
      <c r="A238" s="4"/>
      <c r="B238" s="4" t="s">
        <v>279</v>
      </c>
      <c r="C238" s="4"/>
      <c r="D238" s="4" t="s">
        <v>61</v>
      </c>
      <c r="E238" s="4" t="s">
        <v>62</v>
      </c>
      <c r="F238" s="4">
        <v>243</v>
      </c>
      <c r="G238" t="s">
        <v>1491</v>
      </c>
    </row>
    <row r="239" spans="1:7" x14ac:dyDescent="0.25">
      <c r="A239" s="4"/>
      <c r="B239" s="4" t="s">
        <v>279</v>
      </c>
      <c r="C239" s="4"/>
      <c r="D239" s="4" t="s">
        <v>61</v>
      </c>
      <c r="E239" s="4"/>
      <c r="F239" s="4">
        <v>244</v>
      </c>
      <c r="G239" t="s">
        <v>1508</v>
      </c>
    </row>
    <row r="240" spans="1:7" x14ac:dyDescent="0.25">
      <c r="A240" s="4"/>
      <c r="B240" s="4" t="s">
        <v>279</v>
      </c>
      <c r="C240" s="4"/>
      <c r="D240" s="4" t="s">
        <v>61</v>
      </c>
      <c r="E240" s="4"/>
      <c r="F240" s="4">
        <v>245</v>
      </c>
      <c r="G240" t="s">
        <v>1509</v>
      </c>
    </row>
    <row r="241" spans="1:7" x14ac:dyDescent="0.25">
      <c r="A241" s="4"/>
      <c r="B241" s="4" t="s">
        <v>279</v>
      </c>
      <c r="C241" s="4"/>
      <c r="D241" s="4" t="s">
        <v>61</v>
      </c>
      <c r="E241" s="4"/>
      <c r="F241" s="4">
        <v>247</v>
      </c>
      <c r="G241" t="s">
        <v>1510</v>
      </c>
    </row>
    <row r="242" spans="1:7" x14ac:dyDescent="0.25">
      <c r="A242" s="4"/>
      <c r="B242" s="4" t="s">
        <v>279</v>
      </c>
      <c r="C242" s="4"/>
      <c r="D242" s="4" t="s">
        <v>61</v>
      </c>
      <c r="E242" s="4"/>
      <c r="F242" s="4">
        <v>248</v>
      </c>
      <c r="G242" t="s">
        <v>1511</v>
      </c>
    </row>
    <row r="243" spans="1:7" x14ac:dyDescent="0.25">
      <c r="A243" s="4"/>
      <c r="B243" s="4" t="s">
        <v>279</v>
      </c>
      <c r="C243" s="4"/>
      <c r="D243" s="4" t="s">
        <v>61</v>
      </c>
      <c r="E243" s="4"/>
      <c r="F243" s="4">
        <v>249</v>
      </c>
      <c r="G243" t="s">
        <v>1512</v>
      </c>
    </row>
    <row r="244" spans="1:7" x14ac:dyDescent="0.25">
      <c r="A244" s="4"/>
      <c r="B244" s="4" t="s">
        <v>279</v>
      </c>
      <c r="C244" s="4"/>
      <c r="D244" s="4" t="s">
        <v>61</v>
      </c>
      <c r="E244" s="4"/>
      <c r="F244" s="4">
        <v>250</v>
      </c>
      <c r="G244" t="s">
        <v>1511</v>
      </c>
    </row>
    <row r="245" spans="1:7" x14ac:dyDescent="0.25">
      <c r="A245" s="4"/>
      <c r="B245" s="4" t="s">
        <v>279</v>
      </c>
      <c r="C245" s="4"/>
      <c r="D245" s="4" t="s">
        <v>61</v>
      </c>
      <c r="E245" s="4"/>
      <c r="F245" s="4">
        <v>251</v>
      </c>
      <c r="G245" t="s">
        <v>1513</v>
      </c>
    </row>
    <row r="246" spans="1:7" x14ac:dyDescent="0.25">
      <c r="A246" s="4"/>
      <c r="B246" s="4" t="s">
        <v>279</v>
      </c>
      <c r="C246" s="4"/>
      <c r="D246" s="4" t="s">
        <v>61</v>
      </c>
      <c r="E246" s="4"/>
      <c r="F246" s="4">
        <v>298</v>
      </c>
      <c r="G246" t="s">
        <v>1514</v>
      </c>
    </row>
    <row r="247" spans="1:7" x14ac:dyDescent="0.25">
      <c r="A247" s="4"/>
      <c r="B247" s="4" t="s">
        <v>279</v>
      </c>
      <c r="C247" s="4"/>
      <c r="D247" s="4" t="s">
        <v>61</v>
      </c>
      <c r="E247" s="4"/>
      <c r="F247" s="4">
        <v>302</v>
      </c>
      <c r="G247" t="s">
        <v>1515</v>
      </c>
    </row>
    <row r="248" spans="1:7" x14ac:dyDescent="0.25">
      <c r="A248" s="4"/>
      <c r="B248" s="4" t="s">
        <v>279</v>
      </c>
      <c r="C248" s="4"/>
      <c r="D248" s="4" t="s">
        <v>61</v>
      </c>
      <c r="E248" s="4"/>
      <c r="F248" s="4">
        <v>303</v>
      </c>
      <c r="G248" t="s">
        <v>1516</v>
      </c>
    </row>
    <row r="249" spans="1:7" x14ac:dyDescent="0.25">
      <c r="A249" s="4"/>
      <c r="B249" s="4" t="s">
        <v>279</v>
      </c>
      <c r="C249" s="4"/>
      <c r="D249" s="4" t="s">
        <v>61</v>
      </c>
      <c r="E249" s="4"/>
      <c r="F249" s="4">
        <v>344</v>
      </c>
      <c r="G249" t="s">
        <v>1517</v>
      </c>
    </row>
    <row r="250" spans="1:7" x14ac:dyDescent="0.25">
      <c r="A250" s="4"/>
      <c r="B250" s="4" t="s">
        <v>279</v>
      </c>
      <c r="C250" s="4"/>
      <c r="D250" s="4" t="s">
        <v>61</v>
      </c>
      <c r="E250" s="4"/>
      <c r="F250" s="4">
        <v>346</v>
      </c>
      <c r="G250" t="s">
        <v>1518</v>
      </c>
    </row>
    <row r="251" spans="1:7" x14ac:dyDescent="0.25">
      <c r="A251" s="4"/>
      <c r="B251" s="4" t="s">
        <v>279</v>
      </c>
      <c r="C251" s="4"/>
      <c r="D251" s="4" t="s">
        <v>61</v>
      </c>
      <c r="E251" s="4"/>
      <c r="F251" s="4">
        <v>591</v>
      </c>
      <c r="G251" t="s">
        <v>1519</v>
      </c>
    </row>
    <row r="252" spans="1:7" x14ac:dyDescent="0.25">
      <c r="A252" s="4"/>
      <c r="B252" s="4" t="s">
        <v>279</v>
      </c>
      <c r="C252" s="4"/>
      <c r="D252" s="4" t="s">
        <v>61</v>
      </c>
      <c r="E252" s="4"/>
      <c r="F252" s="4">
        <v>592</v>
      </c>
      <c r="G252" t="s">
        <v>1520</v>
      </c>
    </row>
    <row r="253" spans="1:7" x14ac:dyDescent="0.25">
      <c r="A253" s="4"/>
      <c r="B253" s="4" t="s">
        <v>279</v>
      </c>
      <c r="C253" s="4"/>
      <c r="D253" s="4" t="s">
        <v>61</v>
      </c>
      <c r="E253" s="4"/>
      <c r="F253" s="4">
        <v>593</v>
      </c>
      <c r="G253" t="s">
        <v>1521</v>
      </c>
    </row>
    <row r="254" spans="1:7" x14ac:dyDescent="0.25">
      <c r="A254" s="4"/>
      <c r="B254" s="4" t="s">
        <v>279</v>
      </c>
      <c r="C254" s="4"/>
      <c r="D254" s="4" t="s">
        <v>61</v>
      </c>
      <c r="E254" s="4"/>
      <c r="F254" s="4">
        <v>594</v>
      </c>
      <c r="G254" t="s">
        <v>1522</v>
      </c>
    </row>
    <row r="255" spans="1:7" x14ac:dyDescent="0.25">
      <c r="A255" s="4"/>
      <c r="B255" s="4" t="s">
        <v>279</v>
      </c>
      <c r="C255" s="4"/>
      <c r="D255" s="4" t="s">
        <v>61</v>
      </c>
      <c r="E255" s="4"/>
      <c r="F255" s="4">
        <v>595</v>
      </c>
      <c r="G255" t="s">
        <v>1523</v>
      </c>
    </row>
    <row r="256" spans="1:7" x14ac:dyDescent="0.25">
      <c r="A256" s="4"/>
      <c r="B256" s="4" t="s">
        <v>279</v>
      </c>
      <c r="C256" s="4"/>
      <c r="D256" s="4" t="s">
        <v>61</v>
      </c>
      <c r="E256" s="4"/>
      <c r="F256" s="4">
        <v>596</v>
      </c>
      <c r="G256" t="s">
        <v>1524</v>
      </c>
    </row>
    <row r="257" spans="1:7" x14ac:dyDescent="0.25">
      <c r="A257" s="4"/>
      <c r="B257" s="4" t="s">
        <v>279</v>
      </c>
      <c r="C257" s="4"/>
      <c r="D257" s="4" t="s">
        <v>61</v>
      </c>
      <c r="E257" s="4" t="s">
        <v>575</v>
      </c>
      <c r="F257" s="4" t="s">
        <v>303</v>
      </c>
      <c r="G257" t="s">
        <v>1525</v>
      </c>
    </row>
    <row r="258" spans="1:7" x14ac:dyDescent="0.25">
      <c r="A258" s="4"/>
      <c r="B258" s="4" t="s">
        <v>279</v>
      </c>
      <c r="C258" s="4"/>
      <c r="D258" s="4" t="s">
        <v>61</v>
      </c>
      <c r="E258" s="4" t="s">
        <v>576</v>
      </c>
      <c r="F258" s="4" t="s">
        <v>303</v>
      </c>
      <c r="G258" t="s">
        <v>508</v>
      </c>
    </row>
    <row r="259" spans="1:7" x14ac:dyDescent="0.25">
      <c r="A259" s="4"/>
      <c r="B259" s="4" t="s">
        <v>279</v>
      </c>
      <c r="C259" s="4" t="s">
        <v>346</v>
      </c>
      <c r="D259" s="4" t="s">
        <v>577</v>
      </c>
      <c r="E259" s="4" t="s">
        <v>578</v>
      </c>
      <c r="F259" s="4">
        <v>380</v>
      </c>
      <c r="G259" t="s">
        <v>1526</v>
      </c>
    </row>
    <row r="260" spans="1:7" x14ac:dyDescent="0.25">
      <c r="A260" s="4"/>
      <c r="B260" s="4" t="s">
        <v>279</v>
      </c>
      <c r="C260" s="4"/>
      <c r="D260" s="4" t="s">
        <v>61</v>
      </c>
      <c r="E260" s="4" t="s">
        <v>580</v>
      </c>
      <c r="F260" s="4">
        <v>385</v>
      </c>
      <c r="G260" t="s">
        <v>1527</v>
      </c>
    </row>
    <row r="261" spans="1:7" x14ac:dyDescent="0.25">
      <c r="A261" s="4"/>
      <c r="B261" s="4" t="s">
        <v>279</v>
      </c>
      <c r="C261" s="4"/>
      <c r="D261" s="4" t="s">
        <v>61</v>
      </c>
      <c r="E261" s="4" t="s">
        <v>62</v>
      </c>
      <c r="F261" s="4">
        <v>351</v>
      </c>
      <c r="G261" t="s">
        <v>1528</v>
      </c>
    </row>
    <row r="262" spans="1:7" x14ac:dyDescent="0.25">
      <c r="A262" s="4"/>
      <c r="B262" s="4" t="s">
        <v>279</v>
      </c>
      <c r="C262" s="4"/>
      <c r="D262" s="4" t="s">
        <v>61</v>
      </c>
      <c r="E262" s="4"/>
      <c r="F262" s="4">
        <v>384</v>
      </c>
      <c r="G262" t="s">
        <v>1529</v>
      </c>
    </row>
    <row r="263" spans="1:7" x14ac:dyDescent="0.25">
      <c r="A263" s="4"/>
      <c r="B263" s="4" t="s">
        <v>279</v>
      </c>
      <c r="C263" s="4"/>
      <c r="D263" s="4" t="s">
        <v>61</v>
      </c>
      <c r="E263" s="4"/>
      <c r="F263" s="4">
        <v>588</v>
      </c>
      <c r="G263" t="s">
        <v>1530</v>
      </c>
    </row>
    <row r="264" spans="1:7" x14ac:dyDescent="0.25">
      <c r="A264" s="4"/>
      <c r="B264" s="4" t="s">
        <v>279</v>
      </c>
      <c r="C264" s="4"/>
      <c r="D264" s="4" t="s">
        <v>61</v>
      </c>
      <c r="E264" s="4"/>
      <c r="F264" s="4">
        <v>589</v>
      </c>
      <c r="G264" t="s">
        <v>1531</v>
      </c>
    </row>
    <row r="265" spans="1:7" x14ac:dyDescent="0.25">
      <c r="A265" s="4"/>
      <c r="B265" s="4" t="s">
        <v>279</v>
      </c>
      <c r="C265" s="4"/>
      <c r="D265" s="4" t="s">
        <v>61</v>
      </c>
      <c r="E265" s="4"/>
      <c r="F265" s="4">
        <v>597</v>
      </c>
      <c r="G265" t="s">
        <v>1532</v>
      </c>
    </row>
    <row r="266" spans="1:7" x14ac:dyDescent="0.25">
      <c r="A266" s="4"/>
      <c r="B266" s="4" t="s">
        <v>279</v>
      </c>
      <c r="C266" s="4"/>
      <c r="D266" s="4" t="s">
        <v>61</v>
      </c>
      <c r="E266" s="4"/>
      <c r="F266" s="4">
        <v>598</v>
      </c>
      <c r="G266" t="s">
        <v>1533</v>
      </c>
    </row>
    <row r="267" spans="1:7" x14ac:dyDescent="0.25">
      <c r="A267" s="4"/>
      <c r="B267" s="4" t="s">
        <v>279</v>
      </c>
      <c r="C267" s="4"/>
      <c r="D267" s="4" t="s">
        <v>61</v>
      </c>
      <c r="E267" s="4" t="s">
        <v>585</v>
      </c>
      <c r="F267" s="4" t="s">
        <v>303</v>
      </c>
      <c r="G267" t="s">
        <v>1534</v>
      </c>
    </row>
    <row r="268" spans="1:7" x14ac:dyDescent="0.25">
      <c r="A268" s="4"/>
      <c r="B268" s="4" t="s">
        <v>279</v>
      </c>
      <c r="C268" s="4"/>
      <c r="D268" s="4" t="s">
        <v>61</v>
      </c>
      <c r="E268" s="4" t="s">
        <v>586</v>
      </c>
      <c r="F268" s="4" t="s">
        <v>303</v>
      </c>
      <c r="G268" t="s">
        <v>1535</v>
      </c>
    </row>
    <row r="269" spans="1:7" x14ac:dyDescent="0.25">
      <c r="A269" s="4"/>
      <c r="B269" s="4" t="s">
        <v>279</v>
      </c>
      <c r="C269" s="4"/>
      <c r="D269" s="4" t="s">
        <v>61</v>
      </c>
      <c r="E269" s="4" t="s">
        <v>587</v>
      </c>
      <c r="F269" s="4" t="s">
        <v>303</v>
      </c>
      <c r="G269" t="s">
        <v>1536</v>
      </c>
    </row>
    <row r="270" spans="1:7" x14ac:dyDescent="0.25">
      <c r="A270" s="4"/>
      <c r="B270" s="4" t="s">
        <v>279</v>
      </c>
      <c r="C270" s="4"/>
      <c r="D270" s="4" t="s">
        <v>588</v>
      </c>
      <c r="E270" s="4" t="s">
        <v>589</v>
      </c>
      <c r="F270" s="4">
        <v>383</v>
      </c>
      <c r="G270" t="s">
        <v>1537</v>
      </c>
    </row>
    <row r="271" spans="1:7" x14ac:dyDescent="0.25">
      <c r="A271" s="4"/>
      <c r="B271" s="4" t="s">
        <v>279</v>
      </c>
      <c r="C271" s="4"/>
      <c r="D271" s="4" t="s">
        <v>591</v>
      </c>
      <c r="E271" s="4" t="s">
        <v>592</v>
      </c>
      <c r="F271" s="4">
        <v>629</v>
      </c>
      <c r="G271" t="s">
        <v>629</v>
      </c>
    </row>
    <row r="272" spans="1:7" x14ac:dyDescent="0.25">
      <c r="A272" s="4"/>
      <c r="B272" s="4" t="s">
        <v>279</v>
      </c>
      <c r="C272" s="4" t="s">
        <v>594</v>
      </c>
      <c r="D272" s="4" t="s">
        <v>61</v>
      </c>
      <c r="E272" s="4" t="s">
        <v>468</v>
      </c>
      <c r="F272" s="4">
        <v>605</v>
      </c>
      <c r="G272" t="s">
        <v>629</v>
      </c>
    </row>
    <row r="273" spans="1:7" x14ac:dyDescent="0.25">
      <c r="A273" s="4"/>
      <c r="B273" s="4" t="s">
        <v>279</v>
      </c>
      <c r="C273" s="4"/>
      <c r="D273" s="4" t="s">
        <v>61</v>
      </c>
      <c r="E273" s="4"/>
      <c r="F273" s="4">
        <v>606</v>
      </c>
      <c r="G273" t="s">
        <v>1538</v>
      </c>
    </row>
    <row r="274" spans="1:7" x14ac:dyDescent="0.25">
      <c r="A274" s="4"/>
      <c r="B274" s="4" t="s">
        <v>279</v>
      </c>
      <c r="C274" s="4"/>
      <c r="D274" s="4" t="s">
        <v>61</v>
      </c>
      <c r="E274" s="4" t="s">
        <v>597</v>
      </c>
      <c r="F274" s="4">
        <v>604</v>
      </c>
      <c r="G274" t="s">
        <v>629</v>
      </c>
    </row>
    <row r="275" spans="1:7" x14ac:dyDescent="0.25">
      <c r="A275" s="4"/>
      <c r="B275" s="4" t="s">
        <v>279</v>
      </c>
      <c r="C275" s="4"/>
      <c r="D275" s="4" t="s">
        <v>61</v>
      </c>
      <c r="E275" s="4" t="s">
        <v>599</v>
      </c>
      <c r="F275" s="4">
        <v>606</v>
      </c>
      <c r="G275" t="s">
        <v>508</v>
      </c>
    </row>
    <row r="276" spans="1:7" x14ac:dyDescent="0.25">
      <c r="A276" s="4"/>
      <c r="B276" s="4" t="s">
        <v>279</v>
      </c>
      <c r="C276" s="4" t="s">
        <v>601</v>
      </c>
      <c r="D276" s="4" t="s">
        <v>61</v>
      </c>
      <c r="E276" s="4" t="s">
        <v>602</v>
      </c>
      <c r="F276" s="4">
        <v>491</v>
      </c>
      <c r="G276" t="s">
        <v>635</v>
      </c>
    </row>
    <row r="277" spans="1:7" x14ac:dyDescent="0.25">
      <c r="A277" s="4"/>
      <c r="B277" s="4" t="s">
        <v>279</v>
      </c>
      <c r="C277" s="4"/>
      <c r="D277" s="4" t="s">
        <v>61</v>
      </c>
      <c r="E277" s="4" t="s">
        <v>604</v>
      </c>
      <c r="F277" s="4">
        <v>490</v>
      </c>
      <c r="G277" t="s">
        <v>614</v>
      </c>
    </row>
    <row r="278" spans="1:7" x14ac:dyDescent="0.25">
      <c r="A278" s="4"/>
      <c r="B278" s="4" t="s">
        <v>279</v>
      </c>
      <c r="C278" s="4"/>
      <c r="D278" s="4" t="s">
        <v>61</v>
      </c>
      <c r="E278" s="4" t="s">
        <v>481</v>
      </c>
      <c r="F278" s="4">
        <v>451</v>
      </c>
      <c r="G278" t="s">
        <v>638</v>
      </c>
    </row>
    <row r="279" spans="1:7" x14ac:dyDescent="0.25">
      <c r="A279" s="4"/>
      <c r="B279" s="4" t="s">
        <v>279</v>
      </c>
      <c r="C279" s="4"/>
      <c r="D279" s="4" t="s">
        <v>61</v>
      </c>
      <c r="E279" s="4"/>
      <c r="F279" s="4">
        <v>452</v>
      </c>
      <c r="G279" t="s">
        <v>616</v>
      </c>
    </row>
    <row r="280" spans="1:7" x14ac:dyDescent="0.25">
      <c r="A280" s="4"/>
      <c r="B280" s="4" t="s">
        <v>279</v>
      </c>
      <c r="C280" s="4"/>
      <c r="D280" s="4" t="s">
        <v>61</v>
      </c>
      <c r="E280" s="4"/>
      <c r="F280" s="4">
        <v>453</v>
      </c>
      <c r="G280" t="s">
        <v>1539</v>
      </c>
    </row>
    <row r="281" spans="1:7" x14ac:dyDescent="0.25">
      <c r="A281" s="4"/>
      <c r="B281" s="4" t="s">
        <v>279</v>
      </c>
      <c r="C281" s="4"/>
      <c r="D281" s="4" t="s">
        <v>61</v>
      </c>
      <c r="E281" s="4"/>
      <c r="F281" s="4">
        <v>454</v>
      </c>
      <c r="G281" t="s">
        <v>1540</v>
      </c>
    </row>
    <row r="282" spans="1:7" x14ac:dyDescent="0.25">
      <c r="A282" s="4"/>
      <c r="B282" s="4" t="s">
        <v>279</v>
      </c>
      <c r="C282" s="4"/>
      <c r="D282" s="4" t="s">
        <v>61</v>
      </c>
      <c r="E282" s="4"/>
      <c r="F282" s="4">
        <v>455</v>
      </c>
      <c r="G282" t="s">
        <v>1523</v>
      </c>
    </row>
    <row r="283" spans="1:7" x14ac:dyDescent="0.25">
      <c r="A283" s="4"/>
      <c r="B283" s="4" t="s">
        <v>279</v>
      </c>
      <c r="C283" s="4"/>
      <c r="D283" s="4" t="s">
        <v>61</v>
      </c>
      <c r="E283" s="4"/>
      <c r="F283" s="4">
        <v>456</v>
      </c>
      <c r="G283" t="s">
        <v>1524</v>
      </c>
    </row>
    <row r="284" spans="1:7" x14ac:dyDescent="0.25">
      <c r="A284" s="4"/>
      <c r="B284" s="4" t="s">
        <v>279</v>
      </c>
      <c r="C284" s="4"/>
      <c r="D284" s="4" t="s">
        <v>61</v>
      </c>
      <c r="E284" s="4"/>
      <c r="F284" s="4">
        <v>457</v>
      </c>
      <c r="G284" t="s">
        <v>1525</v>
      </c>
    </row>
    <row r="285" spans="1:7" x14ac:dyDescent="0.25">
      <c r="A285" s="4"/>
      <c r="B285" s="4" t="s">
        <v>279</v>
      </c>
      <c r="C285" s="4"/>
      <c r="D285" s="4" t="s">
        <v>61</v>
      </c>
      <c r="E285" s="4"/>
      <c r="F285" s="4">
        <v>458</v>
      </c>
      <c r="G285" t="s">
        <v>508</v>
      </c>
    </row>
    <row r="286" spans="1:7" x14ac:dyDescent="0.25">
      <c r="A286" s="4"/>
      <c r="B286" s="4" t="s">
        <v>279</v>
      </c>
      <c r="C286" s="4"/>
      <c r="D286" s="4" t="s">
        <v>61</v>
      </c>
      <c r="E286" s="4"/>
      <c r="F286" s="4">
        <v>478</v>
      </c>
      <c r="G286" t="s">
        <v>1526</v>
      </c>
    </row>
    <row r="287" spans="1:7" x14ac:dyDescent="0.25">
      <c r="A287" s="4"/>
      <c r="B287" s="4" t="s">
        <v>279</v>
      </c>
      <c r="C287" s="4"/>
      <c r="D287" s="4" t="s">
        <v>61</v>
      </c>
      <c r="E287" s="4"/>
      <c r="F287" s="4">
        <v>479</v>
      </c>
      <c r="G287" t="s">
        <v>1527</v>
      </c>
    </row>
    <row r="288" spans="1:7" x14ac:dyDescent="0.25">
      <c r="A288" s="4"/>
      <c r="B288" s="4" t="s">
        <v>279</v>
      </c>
      <c r="C288" s="4"/>
      <c r="D288" s="4" t="s">
        <v>61</v>
      </c>
      <c r="E288" s="4"/>
      <c r="F288" s="4">
        <v>481</v>
      </c>
      <c r="G288" t="s">
        <v>1528</v>
      </c>
    </row>
    <row r="289" spans="1:7" x14ac:dyDescent="0.25">
      <c r="A289" s="4"/>
      <c r="B289" s="4" t="s">
        <v>279</v>
      </c>
      <c r="C289" s="4"/>
      <c r="D289" s="4" t="s">
        <v>61</v>
      </c>
      <c r="E289" s="4"/>
      <c r="F289" s="4">
        <v>482</v>
      </c>
      <c r="G289" t="s">
        <v>1529</v>
      </c>
    </row>
    <row r="290" spans="1:7" x14ac:dyDescent="0.25">
      <c r="A290" s="4"/>
      <c r="B290" s="4" t="s">
        <v>279</v>
      </c>
      <c r="C290" s="4"/>
      <c r="D290" s="4" t="s">
        <v>61</v>
      </c>
      <c r="E290" s="4"/>
      <c r="F290" s="4">
        <v>483</v>
      </c>
      <c r="G290" t="s">
        <v>1530</v>
      </c>
    </row>
    <row r="291" spans="1:7" x14ac:dyDescent="0.25">
      <c r="A291" s="4"/>
      <c r="B291" s="4" t="s">
        <v>279</v>
      </c>
      <c r="C291" s="4"/>
      <c r="D291" s="4" t="s">
        <v>61</v>
      </c>
      <c r="E291" s="4"/>
      <c r="F291" s="4">
        <v>484</v>
      </c>
      <c r="G291" t="s">
        <v>1514</v>
      </c>
    </row>
    <row r="292" spans="1:7" x14ac:dyDescent="0.25">
      <c r="A292" s="4"/>
      <c r="B292" s="4" t="s">
        <v>279</v>
      </c>
      <c r="C292" s="4"/>
      <c r="D292" s="4" t="s">
        <v>61</v>
      </c>
      <c r="E292" s="4"/>
      <c r="F292" s="4">
        <v>485</v>
      </c>
      <c r="G292" t="s">
        <v>1531</v>
      </c>
    </row>
    <row r="293" spans="1:7" x14ac:dyDescent="0.25">
      <c r="A293" s="4"/>
      <c r="B293" s="4" t="s">
        <v>279</v>
      </c>
      <c r="C293" s="4"/>
      <c r="D293" s="4" t="s">
        <v>61</v>
      </c>
      <c r="E293" s="4"/>
      <c r="F293" s="4">
        <v>486</v>
      </c>
      <c r="G293" t="s">
        <v>1532</v>
      </c>
    </row>
    <row r="294" spans="1:7" x14ac:dyDescent="0.25">
      <c r="A294" s="4"/>
      <c r="B294" s="4" t="s">
        <v>279</v>
      </c>
      <c r="C294" s="4"/>
      <c r="D294" s="4" t="s">
        <v>61</v>
      </c>
      <c r="E294" s="4"/>
      <c r="F294" s="4">
        <v>488</v>
      </c>
      <c r="G294" t="s">
        <v>1533</v>
      </c>
    </row>
    <row r="295" spans="1:7" x14ac:dyDescent="0.25">
      <c r="A295" s="4"/>
      <c r="B295" s="4" t="s">
        <v>279</v>
      </c>
      <c r="C295" s="4"/>
      <c r="D295" s="4" t="s">
        <v>61</v>
      </c>
      <c r="E295" s="4"/>
      <c r="F295" s="4">
        <v>492</v>
      </c>
      <c r="G295" t="s">
        <v>1534</v>
      </c>
    </row>
    <row r="296" spans="1:7" x14ac:dyDescent="0.25">
      <c r="A296" s="4"/>
      <c r="B296" s="4" t="s">
        <v>279</v>
      </c>
      <c r="C296" s="4"/>
      <c r="D296" s="4" t="s">
        <v>61</v>
      </c>
      <c r="E296" s="4"/>
      <c r="F296" s="4">
        <v>493</v>
      </c>
      <c r="G296" t="s">
        <v>1535</v>
      </c>
    </row>
    <row r="297" spans="1:7" x14ac:dyDescent="0.25">
      <c r="A297" s="4"/>
      <c r="B297" s="4" t="s">
        <v>279</v>
      </c>
      <c r="C297" s="4"/>
      <c r="D297" s="4" t="s">
        <v>61</v>
      </c>
      <c r="E297" s="4"/>
      <c r="F297" s="4">
        <v>494</v>
      </c>
      <c r="G297" t="s">
        <v>1536</v>
      </c>
    </row>
    <row r="298" spans="1:7" x14ac:dyDescent="0.25">
      <c r="A298" s="4"/>
      <c r="B298" s="4" t="s">
        <v>279</v>
      </c>
      <c r="C298" s="4"/>
      <c r="D298" s="4" t="s">
        <v>61</v>
      </c>
      <c r="E298" s="4"/>
      <c r="F298" s="4">
        <v>496</v>
      </c>
      <c r="G298" t="s">
        <v>1541</v>
      </c>
    </row>
    <row r="299" spans="1:7" x14ac:dyDescent="0.25">
      <c r="A299" s="4"/>
      <c r="B299" s="4" t="s">
        <v>279</v>
      </c>
      <c r="C299" s="4"/>
      <c r="D299" s="4" t="s">
        <v>61</v>
      </c>
      <c r="E299" s="4"/>
      <c r="F299" s="4">
        <v>497</v>
      </c>
      <c r="G299" t="s">
        <v>1542</v>
      </c>
    </row>
    <row r="300" spans="1:7" x14ac:dyDescent="0.25">
      <c r="A300" s="4"/>
      <c r="B300" s="4" t="s">
        <v>279</v>
      </c>
      <c r="C300" s="4"/>
      <c r="D300" s="4" t="s">
        <v>61</v>
      </c>
      <c r="E300" s="4"/>
      <c r="F300" s="4">
        <v>498</v>
      </c>
      <c r="G300" t="s">
        <v>1543</v>
      </c>
    </row>
    <row r="301" spans="1:7" x14ac:dyDescent="0.25">
      <c r="A301" s="4"/>
      <c r="B301" s="4" t="s">
        <v>279</v>
      </c>
      <c r="C301" s="4"/>
      <c r="D301" s="4" t="s">
        <v>61</v>
      </c>
      <c r="E301" s="4"/>
      <c r="F301" s="4">
        <v>510</v>
      </c>
      <c r="G301" t="s">
        <v>1544</v>
      </c>
    </row>
    <row r="302" spans="1:7" x14ac:dyDescent="0.25">
      <c r="A302" s="4"/>
      <c r="B302" s="4" t="s">
        <v>279</v>
      </c>
      <c r="C302" s="4"/>
      <c r="D302" s="4" t="s">
        <v>61</v>
      </c>
      <c r="E302" s="4" t="s">
        <v>628</v>
      </c>
      <c r="F302" s="4">
        <v>502</v>
      </c>
      <c r="G302" t="s">
        <v>1545</v>
      </c>
    </row>
    <row r="303" spans="1:7" x14ac:dyDescent="0.25">
      <c r="A303" s="4"/>
      <c r="B303" s="4" t="s">
        <v>279</v>
      </c>
      <c r="C303" s="4"/>
      <c r="D303" s="4" t="s">
        <v>61</v>
      </c>
      <c r="E303" s="4" t="s">
        <v>630</v>
      </c>
      <c r="F303" s="4">
        <v>503</v>
      </c>
      <c r="G303" t="s">
        <v>1546</v>
      </c>
    </row>
    <row r="304" spans="1:7" x14ac:dyDescent="0.25">
      <c r="A304" s="4"/>
      <c r="B304" s="4" t="s">
        <v>279</v>
      </c>
      <c r="C304" s="4"/>
      <c r="D304" s="4" t="s">
        <v>61</v>
      </c>
      <c r="E304" s="4" t="s">
        <v>631</v>
      </c>
      <c r="F304" s="4">
        <v>480</v>
      </c>
      <c r="G304" t="s">
        <v>622</v>
      </c>
    </row>
    <row r="305" spans="1:6" x14ac:dyDescent="0.25">
      <c r="A305" s="4"/>
      <c r="B305" s="4" t="s">
        <v>279</v>
      </c>
      <c r="C305" s="4"/>
      <c r="D305" s="4" t="s">
        <v>61</v>
      </c>
      <c r="E305" s="4" t="s">
        <v>632</v>
      </c>
      <c r="F305" s="4">
        <v>503</v>
      </c>
    </row>
    <row r="306" spans="1:6" x14ac:dyDescent="0.25">
      <c r="A306" s="4"/>
      <c r="B306" s="4" t="s">
        <v>279</v>
      </c>
      <c r="C306" s="4"/>
      <c r="D306" s="4" t="s">
        <v>61</v>
      </c>
      <c r="E306" s="4" t="s">
        <v>633</v>
      </c>
      <c r="F306" s="4">
        <v>482</v>
      </c>
    </row>
    <row r="307" spans="1:6" x14ac:dyDescent="0.25">
      <c r="A307" s="4"/>
      <c r="B307" s="4" t="s">
        <v>279</v>
      </c>
      <c r="C307" s="4"/>
      <c r="D307" s="4" t="s">
        <v>61</v>
      </c>
      <c r="E307" s="4" t="s">
        <v>634</v>
      </c>
      <c r="F307" s="4">
        <v>506</v>
      </c>
    </row>
    <row r="308" spans="1:6" x14ac:dyDescent="0.25">
      <c r="A308" s="4"/>
      <c r="B308" s="4" t="s">
        <v>279</v>
      </c>
      <c r="C308" s="4"/>
      <c r="D308" s="4" t="s">
        <v>61</v>
      </c>
      <c r="E308" s="4" t="s">
        <v>636</v>
      </c>
      <c r="F308" s="4">
        <v>487</v>
      </c>
    </row>
    <row r="309" spans="1:6" x14ac:dyDescent="0.25">
      <c r="A309" s="4"/>
      <c r="B309" s="4" t="s">
        <v>279</v>
      </c>
      <c r="C309" s="4"/>
      <c r="D309" s="4" t="s">
        <v>61</v>
      </c>
      <c r="E309" s="4" t="s">
        <v>637</v>
      </c>
      <c r="F309" s="4">
        <v>508</v>
      </c>
    </row>
    <row r="310" spans="1:6" x14ac:dyDescent="0.25">
      <c r="A310" s="4"/>
      <c r="B310" s="4" t="s">
        <v>279</v>
      </c>
      <c r="C310" s="4"/>
      <c r="D310" s="4" t="s">
        <v>61</v>
      </c>
      <c r="E310" s="4" t="s">
        <v>639</v>
      </c>
      <c r="F310" s="4">
        <v>489</v>
      </c>
    </row>
    <row r="311" spans="1:6" x14ac:dyDescent="0.25">
      <c r="A311" s="4"/>
      <c r="B311" s="4" t="s">
        <v>279</v>
      </c>
      <c r="C311" s="4"/>
      <c r="D311" s="4" t="s">
        <v>61</v>
      </c>
      <c r="E311" s="4" t="s">
        <v>468</v>
      </c>
      <c r="F311" s="4">
        <v>580</v>
      </c>
    </row>
    <row r="312" spans="1:6" x14ac:dyDescent="0.25">
      <c r="A312" s="4"/>
      <c r="B312" s="4" t="s">
        <v>279</v>
      </c>
      <c r="C312" s="4"/>
      <c r="D312" s="4" t="s">
        <v>61</v>
      </c>
      <c r="E312" s="4"/>
      <c r="F312" s="4">
        <v>601</v>
      </c>
    </row>
    <row r="313" spans="1:6" x14ac:dyDescent="0.25">
      <c r="A313" s="4"/>
      <c r="B313" s="4" t="s">
        <v>279</v>
      </c>
      <c r="C313" s="4"/>
      <c r="D313" s="4" t="s">
        <v>61</v>
      </c>
      <c r="E313" s="4" t="s">
        <v>62</v>
      </c>
      <c r="F313" s="4">
        <v>478</v>
      </c>
    </row>
    <row r="314" spans="1:6" x14ac:dyDescent="0.25">
      <c r="A314" s="4"/>
      <c r="B314" s="4" t="s">
        <v>279</v>
      </c>
      <c r="C314" s="4"/>
      <c r="D314" s="4" t="s">
        <v>61</v>
      </c>
      <c r="E314" s="4"/>
      <c r="F314" s="4">
        <v>479</v>
      </c>
    </row>
    <row r="315" spans="1:6" x14ac:dyDescent="0.25">
      <c r="A315" s="4"/>
      <c r="B315" s="4" t="s">
        <v>279</v>
      </c>
      <c r="C315" s="4"/>
      <c r="D315" s="4" t="s">
        <v>61</v>
      </c>
      <c r="E315" s="4"/>
      <c r="F315" s="4">
        <v>481</v>
      </c>
    </row>
    <row r="316" spans="1:6" x14ac:dyDescent="0.25">
      <c r="A316" s="4"/>
      <c r="B316" s="4" t="s">
        <v>279</v>
      </c>
      <c r="C316" s="4"/>
      <c r="D316" s="4" t="s">
        <v>61</v>
      </c>
      <c r="E316" s="4"/>
      <c r="F316" s="4">
        <v>482</v>
      </c>
    </row>
    <row r="317" spans="1:6" x14ac:dyDescent="0.25">
      <c r="A317" s="4"/>
      <c r="B317" s="4" t="s">
        <v>279</v>
      </c>
      <c r="C317" s="4"/>
      <c r="D317" s="4" t="s">
        <v>61</v>
      </c>
      <c r="E317" s="4"/>
      <c r="F317" s="4">
        <v>483</v>
      </c>
    </row>
    <row r="318" spans="1:6" x14ac:dyDescent="0.25">
      <c r="A318" s="4"/>
      <c r="B318" s="4" t="s">
        <v>279</v>
      </c>
      <c r="C318" s="4"/>
      <c r="D318" s="4" t="s">
        <v>61</v>
      </c>
      <c r="E318" s="4"/>
      <c r="F318" s="4">
        <v>484</v>
      </c>
    </row>
    <row r="319" spans="1:6" x14ac:dyDescent="0.25">
      <c r="A319" s="4"/>
      <c r="B319" s="4" t="s">
        <v>279</v>
      </c>
      <c r="C319" s="4"/>
      <c r="D319" s="4" t="s">
        <v>61</v>
      </c>
      <c r="E319" s="4"/>
      <c r="F319" s="4">
        <v>485</v>
      </c>
    </row>
    <row r="320" spans="1:6" x14ac:dyDescent="0.25">
      <c r="A320" s="4"/>
      <c r="B320" s="4" t="s">
        <v>279</v>
      </c>
      <c r="C320" s="4"/>
      <c r="D320" s="4" t="s">
        <v>61</v>
      </c>
      <c r="E320" s="4"/>
      <c r="F320" s="4">
        <v>486</v>
      </c>
    </row>
    <row r="321" spans="1:6" x14ac:dyDescent="0.25">
      <c r="A321" s="4"/>
      <c r="B321" s="4" t="s">
        <v>279</v>
      </c>
      <c r="C321" s="4"/>
      <c r="D321" s="4" t="s">
        <v>61</v>
      </c>
      <c r="E321" s="4"/>
      <c r="F321" s="4">
        <v>488</v>
      </c>
    </row>
    <row r="322" spans="1:6" x14ac:dyDescent="0.25">
      <c r="A322" s="4"/>
      <c r="B322" s="4" t="s">
        <v>279</v>
      </c>
      <c r="C322" s="4"/>
      <c r="D322" s="4" t="s">
        <v>61</v>
      </c>
      <c r="E322" s="4"/>
      <c r="F322" s="4">
        <v>490</v>
      </c>
    </row>
    <row r="323" spans="1:6" x14ac:dyDescent="0.25">
      <c r="A323" s="4"/>
      <c r="B323" s="4" t="s">
        <v>279</v>
      </c>
      <c r="C323" s="4"/>
      <c r="D323" s="4" t="s">
        <v>61</v>
      </c>
      <c r="E323" s="4"/>
      <c r="F323" s="4">
        <v>492</v>
      </c>
    </row>
    <row r="324" spans="1:6" x14ac:dyDescent="0.25">
      <c r="A324" s="4"/>
      <c r="B324" s="4" t="s">
        <v>279</v>
      </c>
      <c r="C324" s="4"/>
      <c r="D324" s="4" t="s">
        <v>61</v>
      </c>
      <c r="E324" s="4"/>
      <c r="F324" s="4">
        <v>493</v>
      </c>
    </row>
    <row r="325" spans="1:6" x14ac:dyDescent="0.25">
      <c r="A325" s="4"/>
      <c r="B325" s="4" t="s">
        <v>279</v>
      </c>
      <c r="C325" s="4"/>
      <c r="D325" s="4" t="s">
        <v>61</v>
      </c>
      <c r="E325" s="4"/>
      <c r="F325" s="4">
        <v>494</v>
      </c>
    </row>
    <row r="326" spans="1:6" x14ac:dyDescent="0.25">
      <c r="A326" s="4"/>
      <c r="B326" s="4" t="s">
        <v>279</v>
      </c>
      <c r="C326" s="4"/>
      <c r="D326" s="4" t="s">
        <v>61</v>
      </c>
      <c r="E326" s="4"/>
      <c r="F326" s="4">
        <v>496</v>
      </c>
    </row>
    <row r="327" spans="1:6" x14ac:dyDescent="0.25">
      <c r="A327" s="4"/>
      <c r="B327" s="4" t="s">
        <v>279</v>
      </c>
      <c r="C327" s="4"/>
      <c r="D327" s="4" t="s">
        <v>61</v>
      </c>
      <c r="E327" s="4"/>
      <c r="F327" s="4">
        <v>497</v>
      </c>
    </row>
    <row r="328" spans="1:6" x14ac:dyDescent="0.25">
      <c r="A328" s="4"/>
      <c r="B328" s="4" t="s">
        <v>279</v>
      </c>
      <c r="C328" s="4"/>
      <c r="D328" s="4" t="s">
        <v>61</v>
      </c>
      <c r="E328" s="4"/>
      <c r="F328" s="4">
        <v>498</v>
      </c>
    </row>
    <row r="329" spans="1:6" x14ac:dyDescent="0.25">
      <c r="A329" s="4"/>
      <c r="B329" s="4" t="s">
        <v>279</v>
      </c>
      <c r="C329" s="4"/>
      <c r="D329" s="4" t="s">
        <v>61</v>
      </c>
      <c r="E329" s="4"/>
      <c r="F329" s="4">
        <v>500</v>
      </c>
    </row>
    <row r="330" spans="1:6" x14ac:dyDescent="0.25">
      <c r="A330" s="4"/>
      <c r="B330" s="4" t="s">
        <v>279</v>
      </c>
      <c r="C330" s="4"/>
      <c r="D330" s="4" t="s">
        <v>61</v>
      </c>
      <c r="E330" s="4"/>
      <c r="F330" s="4">
        <v>502</v>
      </c>
    </row>
    <row r="331" spans="1:6" x14ac:dyDescent="0.25">
      <c r="A331" s="4"/>
      <c r="B331" s="4" t="s">
        <v>279</v>
      </c>
      <c r="C331" s="4"/>
      <c r="D331" s="4" t="s">
        <v>61</v>
      </c>
      <c r="E331" s="4"/>
      <c r="F331" s="4">
        <v>504</v>
      </c>
    </row>
    <row r="332" spans="1:6" x14ac:dyDescent="0.25">
      <c r="A332" s="4"/>
      <c r="B332" s="4" t="s">
        <v>279</v>
      </c>
      <c r="C332" s="4"/>
      <c r="D332" s="4" t="s">
        <v>61</v>
      </c>
      <c r="E332" s="4"/>
      <c r="F332" s="4">
        <v>505</v>
      </c>
    </row>
    <row r="333" spans="1:6" x14ac:dyDescent="0.25">
      <c r="A333" s="4"/>
      <c r="B333" s="4" t="s">
        <v>279</v>
      </c>
      <c r="C333" s="4"/>
      <c r="D333" s="4" t="s">
        <v>61</v>
      </c>
      <c r="E333" s="4"/>
      <c r="F333" s="4">
        <v>507</v>
      </c>
    </row>
    <row r="334" spans="1:6" x14ac:dyDescent="0.25">
      <c r="A334" s="4"/>
      <c r="B334" s="4" t="s">
        <v>279</v>
      </c>
      <c r="C334" s="4"/>
      <c r="D334" s="4" t="s">
        <v>61</v>
      </c>
      <c r="E334" s="4"/>
      <c r="F334" s="4">
        <v>509</v>
      </c>
    </row>
    <row r="335" spans="1:6" x14ac:dyDescent="0.25">
      <c r="A335" s="4"/>
      <c r="B335" s="4" t="s">
        <v>279</v>
      </c>
      <c r="C335" s="4"/>
      <c r="D335" s="4" t="s">
        <v>61</v>
      </c>
      <c r="E335" s="4" t="s">
        <v>642</v>
      </c>
      <c r="F335" s="4">
        <v>495</v>
      </c>
    </row>
    <row r="336" spans="1:6" x14ac:dyDescent="0.25">
      <c r="A336" s="4"/>
      <c r="B336" s="4" t="s">
        <v>279</v>
      </c>
      <c r="C336" s="4"/>
      <c r="D336" s="4" t="s">
        <v>601</v>
      </c>
      <c r="E336" s="4" t="s">
        <v>601</v>
      </c>
      <c r="F336" s="4" t="s">
        <v>303</v>
      </c>
    </row>
    <row r="337" spans="1:6" x14ac:dyDescent="0.25">
      <c r="A337" s="4" t="s">
        <v>280</v>
      </c>
      <c r="B337" s="4" t="s">
        <v>43</v>
      </c>
      <c r="C337" s="4" t="s">
        <v>644</v>
      </c>
      <c r="D337" s="4" t="s">
        <v>645</v>
      </c>
      <c r="E337" s="4" t="s">
        <v>646</v>
      </c>
      <c r="F337" s="4" t="s">
        <v>303</v>
      </c>
    </row>
    <row r="338" spans="1:6" x14ac:dyDescent="0.25">
      <c r="A338" s="4"/>
      <c r="B338" s="4" t="s">
        <v>280</v>
      </c>
      <c r="C338" s="4" t="s">
        <v>305</v>
      </c>
      <c r="D338" s="4" t="s">
        <v>647</v>
      </c>
      <c r="E338" s="4" t="s">
        <v>648</v>
      </c>
      <c r="F338" s="4">
        <v>466</v>
      </c>
    </row>
    <row r="339" spans="1:6" x14ac:dyDescent="0.25">
      <c r="A339" s="4"/>
      <c r="B339" s="4" t="s">
        <v>280</v>
      </c>
      <c r="C339" s="4"/>
      <c r="D339" s="4" t="s">
        <v>649</v>
      </c>
      <c r="E339" s="4" t="s">
        <v>650</v>
      </c>
      <c r="F339" s="4">
        <v>467</v>
      </c>
    </row>
    <row r="340" spans="1:6" x14ac:dyDescent="0.25">
      <c r="A340" s="4"/>
      <c r="B340" s="4" t="s">
        <v>280</v>
      </c>
      <c r="C340" s="4"/>
      <c r="D340" s="4" t="s">
        <v>652</v>
      </c>
      <c r="E340" s="4" t="s">
        <v>653</v>
      </c>
      <c r="F340" s="4">
        <v>466</v>
      </c>
    </row>
    <row r="341" spans="1:6" x14ac:dyDescent="0.25">
      <c r="A341" s="4"/>
      <c r="B341" s="4" t="s">
        <v>280</v>
      </c>
      <c r="C341" s="4"/>
      <c r="D341" s="4" t="s">
        <v>654</v>
      </c>
      <c r="E341" s="4" t="s">
        <v>655</v>
      </c>
      <c r="F341" s="4">
        <v>468</v>
      </c>
    </row>
    <row r="342" spans="1:6" x14ac:dyDescent="0.25">
      <c r="A342" s="4"/>
      <c r="B342" s="4" t="s">
        <v>280</v>
      </c>
      <c r="C342" s="4"/>
      <c r="D342" s="4" t="s">
        <v>654</v>
      </c>
      <c r="E342" s="4" t="s">
        <v>657</v>
      </c>
      <c r="F342" s="4">
        <v>468</v>
      </c>
    </row>
    <row r="343" spans="1:6" x14ac:dyDescent="0.25">
      <c r="A343" s="4"/>
      <c r="B343" s="4" t="s">
        <v>280</v>
      </c>
      <c r="C343" s="4"/>
      <c r="D343" s="4" t="s">
        <v>658</v>
      </c>
      <c r="E343" s="4" t="s">
        <v>659</v>
      </c>
      <c r="F343" s="4">
        <v>469</v>
      </c>
    </row>
    <row r="344" spans="1:6" x14ac:dyDescent="0.25">
      <c r="A344" s="4"/>
      <c r="B344" s="4" t="s">
        <v>280</v>
      </c>
      <c r="C344" s="4"/>
      <c r="D344" s="4" t="s">
        <v>658</v>
      </c>
      <c r="E344" s="4" t="s">
        <v>661</v>
      </c>
      <c r="F344" s="4">
        <v>469</v>
      </c>
    </row>
    <row r="345" spans="1:6" x14ac:dyDescent="0.25">
      <c r="A345" s="4"/>
      <c r="B345" s="4" t="s">
        <v>280</v>
      </c>
      <c r="C345" s="4"/>
      <c r="D345" s="4" t="s">
        <v>662</v>
      </c>
      <c r="E345" s="4" t="s">
        <v>663</v>
      </c>
      <c r="F345" s="4">
        <v>470</v>
      </c>
    </row>
    <row r="346" spans="1:6" x14ac:dyDescent="0.25">
      <c r="A346" s="4"/>
      <c r="B346" s="4" t="s">
        <v>280</v>
      </c>
      <c r="C346" s="4"/>
      <c r="D346" s="4" t="s">
        <v>662</v>
      </c>
      <c r="E346" s="4" t="s">
        <v>665</v>
      </c>
      <c r="F346" s="4">
        <v>470</v>
      </c>
    </row>
    <row r="347" spans="1:6" x14ac:dyDescent="0.25">
      <c r="A347" s="4"/>
      <c r="B347" s="4" t="s">
        <v>280</v>
      </c>
      <c r="C347" s="4"/>
      <c r="D347" s="4" t="s">
        <v>666</v>
      </c>
      <c r="E347" s="4" t="s">
        <v>667</v>
      </c>
      <c r="F347" s="4">
        <v>471</v>
      </c>
    </row>
    <row r="348" spans="1:6" x14ac:dyDescent="0.25">
      <c r="A348" s="4"/>
      <c r="B348" s="4" t="s">
        <v>280</v>
      </c>
      <c r="C348" s="4"/>
      <c r="D348" s="4" t="s">
        <v>666</v>
      </c>
      <c r="E348" s="4" t="s">
        <v>669</v>
      </c>
      <c r="F348" s="4">
        <v>471</v>
      </c>
    </row>
    <row r="349" spans="1:6" x14ac:dyDescent="0.25">
      <c r="A349" s="4"/>
      <c r="B349" s="4" t="s">
        <v>280</v>
      </c>
      <c r="C349" s="4"/>
      <c r="D349" s="4" t="s">
        <v>670</v>
      </c>
      <c r="E349" s="4" t="s">
        <v>671</v>
      </c>
      <c r="F349" s="4">
        <v>253</v>
      </c>
    </row>
    <row r="350" spans="1:6" x14ac:dyDescent="0.25">
      <c r="A350" s="4"/>
      <c r="B350" s="4" t="s">
        <v>280</v>
      </c>
      <c r="C350" s="4"/>
      <c r="D350" s="4" t="s">
        <v>670</v>
      </c>
      <c r="E350" s="4" t="s">
        <v>673</v>
      </c>
      <c r="F350" s="4">
        <v>253</v>
      </c>
    </row>
    <row r="351" spans="1:6" x14ac:dyDescent="0.25">
      <c r="A351" s="4"/>
      <c r="B351" s="4" t="s">
        <v>280</v>
      </c>
      <c r="C351" s="4"/>
      <c r="D351" s="4" t="s">
        <v>674</v>
      </c>
      <c r="E351" s="4" t="s">
        <v>675</v>
      </c>
      <c r="F351" s="4">
        <v>472</v>
      </c>
    </row>
    <row r="352" spans="1:6" x14ac:dyDescent="0.25">
      <c r="A352" s="4"/>
      <c r="B352" s="4" t="s">
        <v>280</v>
      </c>
      <c r="C352" s="4"/>
      <c r="D352" s="4" t="s">
        <v>674</v>
      </c>
      <c r="E352" s="4" t="s">
        <v>677</v>
      </c>
      <c r="F352" s="4">
        <v>472</v>
      </c>
    </row>
    <row r="353" spans="1:6" x14ac:dyDescent="0.25">
      <c r="A353" s="4"/>
      <c r="B353" s="4" t="s">
        <v>280</v>
      </c>
      <c r="C353" s="4"/>
      <c r="D353" s="4" t="s">
        <v>678</v>
      </c>
      <c r="E353" s="4" t="s">
        <v>679</v>
      </c>
      <c r="F353" s="4">
        <v>465</v>
      </c>
    </row>
    <row r="354" spans="1:6" x14ac:dyDescent="0.25">
      <c r="A354" s="4"/>
      <c r="B354" s="4" t="s">
        <v>280</v>
      </c>
      <c r="C354" s="4"/>
      <c r="D354" s="4" t="s">
        <v>681</v>
      </c>
      <c r="E354" s="4" t="s">
        <v>682</v>
      </c>
      <c r="F354" s="4">
        <v>465</v>
      </c>
    </row>
    <row r="355" spans="1:6" x14ac:dyDescent="0.25">
      <c r="A355" s="4"/>
      <c r="B355" s="4" t="s">
        <v>280</v>
      </c>
      <c r="C355" s="4"/>
      <c r="D355" s="4" t="s">
        <v>684</v>
      </c>
      <c r="E355" s="4" t="s">
        <v>685</v>
      </c>
      <c r="F355" s="4">
        <v>465</v>
      </c>
    </row>
    <row r="356" spans="1:6" x14ac:dyDescent="0.25">
      <c r="A356" s="4"/>
      <c r="B356" s="4" t="s">
        <v>280</v>
      </c>
      <c r="C356" s="4"/>
      <c r="D356" s="4" t="s">
        <v>687</v>
      </c>
      <c r="E356" s="4" t="s">
        <v>688</v>
      </c>
      <c r="F356" s="4">
        <v>465</v>
      </c>
    </row>
    <row r="357" spans="1:6" x14ac:dyDescent="0.25">
      <c r="A357" s="4"/>
      <c r="B357" s="4" t="s">
        <v>280</v>
      </c>
      <c r="C357" s="4"/>
      <c r="D357" s="4" t="s">
        <v>690</v>
      </c>
      <c r="E357" s="4" t="s">
        <v>691</v>
      </c>
      <c r="F357" s="4">
        <v>465</v>
      </c>
    </row>
    <row r="358" spans="1:6" x14ac:dyDescent="0.25">
      <c r="A358" s="4"/>
      <c r="B358" s="4" t="s">
        <v>280</v>
      </c>
      <c r="C358" s="4"/>
      <c r="D358" s="4" t="s">
        <v>693</v>
      </c>
      <c r="E358" s="4" t="s">
        <v>694</v>
      </c>
      <c r="F358" s="4">
        <v>465</v>
      </c>
    </row>
    <row r="359" spans="1:6" x14ac:dyDescent="0.25">
      <c r="A359" s="4"/>
      <c r="B359" s="4" t="s">
        <v>280</v>
      </c>
      <c r="C359" s="4"/>
      <c r="D359" s="4" t="s">
        <v>696</v>
      </c>
      <c r="E359" s="4" t="s">
        <v>697</v>
      </c>
      <c r="F359" s="4">
        <v>467</v>
      </c>
    </row>
    <row r="360" spans="1:6" x14ac:dyDescent="0.25">
      <c r="A360" s="4"/>
      <c r="B360" s="4" t="s">
        <v>280</v>
      </c>
      <c r="C360" s="4"/>
      <c r="D360" s="4" t="s">
        <v>699</v>
      </c>
      <c r="E360" s="4" t="s">
        <v>700</v>
      </c>
      <c r="F360" s="4">
        <v>463</v>
      </c>
    </row>
    <row r="361" spans="1:6" x14ac:dyDescent="0.25">
      <c r="A361" s="4"/>
      <c r="B361" s="4" t="s">
        <v>280</v>
      </c>
      <c r="C361" s="4"/>
      <c r="D361" s="4" t="s">
        <v>702</v>
      </c>
      <c r="E361" s="4" t="s">
        <v>703</v>
      </c>
      <c r="F361" s="4">
        <v>467</v>
      </c>
    </row>
    <row r="362" spans="1:6" x14ac:dyDescent="0.25">
      <c r="A362" s="4"/>
      <c r="B362" s="4" t="s">
        <v>280</v>
      </c>
      <c r="C362" s="4"/>
      <c r="D362" s="4" t="s">
        <v>705</v>
      </c>
      <c r="E362" s="4" t="s">
        <v>706</v>
      </c>
      <c r="F362" s="4">
        <v>463</v>
      </c>
    </row>
    <row r="363" spans="1:6" x14ac:dyDescent="0.25">
      <c r="A363" s="4"/>
      <c r="B363" s="4" t="s">
        <v>280</v>
      </c>
      <c r="C363" s="4"/>
      <c r="D363" s="4" t="s">
        <v>708</v>
      </c>
      <c r="E363" s="4" t="s">
        <v>709</v>
      </c>
      <c r="F363" s="4">
        <v>467</v>
      </c>
    </row>
    <row r="364" spans="1:6" x14ac:dyDescent="0.25">
      <c r="A364" s="4"/>
      <c r="B364" s="4" t="s">
        <v>280</v>
      </c>
      <c r="C364" s="4"/>
      <c r="D364" s="4" t="s">
        <v>711</v>
      </c>
      <c r="E364" s="4" t="s">
        <v>712</v>
      </c>
      <c r="F364" s="4">
        <v>463</v>
      </c>
    </row>
    <row r="365" spans="1:6" x14ac:dyDescent="0.25">
      <c r="A365" s="4"/>
      <c r="B365" s="4" t="s">
        <v>280</v>
      </c>
      <c r="C365" s="4"/>
      <c r="D365" s="4" t="s">
        <v>714</v>
      </c>
      <c r="E365" s="4" t="s">
        <v>715</v>
      </c>
      <c r="F365" s="4">
        <v>467</v>
      </c>
    </row>
    <row r="366" spans="1:6" x14ac:dyDescent="0.25">
      <c r="A366" s="4"/>
      <c r="B366" s="4" t="s">
        <v>280</v>
      </c>
      <c r="C366" s="4"/>
      <c r="D366" s="4" t="s">
        <v>717</v>
      </c>
      <c r="E366" s="4" t="s">
        <v>718</v>
      </c>
      <c r="F366" s="4">
        <v>463</v>
      </c>
    </row>
    <row r="367" spans="1:6" x14ac:dyDescent="0.25">
      <c r="A367" s="4"/>
      <c r="B367" s="4" t="s">
        <v>280</v>
      </c>
      <c r="C367" s="4"/>
      <c r="D367" s="4" t="s">
        <v>720</v>
      </c>
      <c r="E367" s="4" t="s">
        <v>721</v>
      </c>
      <c r="F367" s="4">
        <v>467</v>
      </c>
    </row>
    <row r="368" spans="1:6" x14ac:dyDescent="0.25">
      <c r="A368" s="4"/>
      <c r="B368" s="4" t="s">
        <v>280</v>
      </c>
      <c r="C368" s="4"/>
      <c r="D368" s="4" t="s">
        <v>723</v>
      </c>
      <c r="E368" s="4" t="s">
        <v>724</v>
      </c>
      <c r="F368" s="4">
        <v>463</v>
      </c>
    </row>
    <row r="369" spans="1:6" x14ac:dyDescent="0.25">
      <c r="A369" s="4"/>
      <c r="B369" s="4" t="s">
        <v>280</v>
      </c>
      <c r="C369" s="4"/>
      <c r="D369" s="4" t="s">
        <v>726</v>
      </c>
      <c r="E369" s="4" t="s">
        <v>727</v>
      </c>
      <c r="F369" s="4">
        <v>467</v>
      </c>
    </row>
    <row r="370" spans="1:6" x14ac:dyDescent="0.25">
      <c r="A370" s="4"/>
      <c r="B370" s="4" t="s">
        <v>280</v>
      </c>
      <c r="C370" s="4"/>
      <c r="D370" s="4" t="s">
        <v>729</v>
      </c>
      <c r="E370" s="4" t="s">
        <v>730</v>
      </c>
      <c r="F370" s="4">
        <v>463</v>
      </c>
    </row>
    <row r="371" spans="1:6" x14ac:dyDescent="0.25">
      <c r="A371" s="4"/>
      <c r="B371" s="4" t="s">
        <v>280</v>
      </c>
      <c r="C371" s="4"/>
      <c r="D371" s="4" t="s">
        <v>732</v>
      </c>
      <c r="E371" s="4" t="s">
        <v>733</v>
      </c>
      <c r="F371" s="4">
        <v>254</v>
      </c>
    </row>
    <row r="372" spans="1:6" x14ac:dyDescent="0.25">
      <c r="A372" s="4"/>
      <c r="B372" s="4" t="s">
        <v>280</v>
      </c>
      <c r="C372" s="4"/>
      <c r="D372" s="4" t="s">
        <v>732</v>
      </c>
      <c r="E372" s="4"/>
      <c r="F372" s="4">
        <v>467</v>
      </c>
    </row>
    <row r="373" spans="1:6" x14ac:dyDescent="0.25">
      <c r="A373" s="4"/>
      <c r="B373" s="4" t="s">
        <v>280</v>
      </c>
      <c r="C373" s="4"/>
      <c r="D373" s="4" t="s">
        <v>735</v>
      </c>
      <c r="E373" s="4" t="s">
        <v>736</v>
      </c>
      <c r="F373" s="4">
        <v>467</v>
      </c>
    </row>
    <row r="374" spans="1:6" x14ac:dyDescent="0.25">
      <c r="A374" s="4"/>
      <c r="B374" s="4" t="s">
        <v>280</v>
      </c>
      <c r="C374" s="4"/>
      <c r="D374" s="4" t="s">
        <v>735</v>
      </c>
      <c r="E374" s="4" t="s">
        <v>738</v>
      </c>
      <c r="F374" s="4">
        <v>254</v>
      </c>
    </row>
    <row r="375" spans="1:6" x14ac:dyDescent="0.25">
      <c r="A375" s="4"/>
      <c r="B375" s="4" t="s">
        <v>280</v>
      </c>
      <c r="C375" s="4"/>
      <c r="D375" s="4" t="s">
        <v>739</v>
      </c>
      <c r="E375" s="4" t="s">
        <v>740</v>
      </c>
      <c r="F375" s="4">
        <v>467</v>
      </c>
    </row>
    <row r="376" spans="1:6" x14ac:dyDescent="0.25">
      <c r="A376" s="4"/>
      <c r="B376" s="4" t="s">
        <v>280</v>
      </c>
      <c r="C376" s="4"/>
      <c r="D376" s="4" t="s">
        <v>739</v>
      </c>
      <c r="E376" s="4" t="s">
        <v>742</v>
      </c>
      <c r="F376" s="4">
        <v>254</v>
      </c>
    </row>
    <row r="377" spans="1:6" x14ac:dyDescent="0.25">
      <c r="A377" s="4"/>
      <c r="B377" s="4" t="s">
        <v>280</v>
      </c>
      <c r="C377" s="4"/>
      <c r="D377" s="4" t="s">
        <v>743</v>
      </c>
      <c r="E377" s="4" t="s">
        <v>744</v>
      </c>
      <c r="F377" s="4">
        <v>467</v>
      </c>
    </row>
    <row r="378" spans="1:6" x14ac:dyDescent="0.25">
      <c r="A378" s="4"/>
      <c r="B378" s="4" t="s">
        <v>280</v>
      </c>
      <c r="C378" s="4"/>
      <c r="D378" s="4" t="s">
        <v>743</v>
      </c>
      <c r="E378" s="4" t="s">
        <v>746</v>
      </c>
      <c r="F378" s="4">
        <v>254</v>
      </c>
    </row>
    <row r="379" spans="1:6" x14ac:dyDescent="0.25">
      <c r="A379" s="4"/>
      <c r="B379" s="4" t="s">
        <v>280</v>
      </c>
      <c r="C379" s="4"/>
      <c r="D379" s="4" t="s">
        <v>747</v>
      </c>
      <c r="E379" s="4" t="s">
        <v>748</v>
      </c>
      <c r="F379" s="4">
        <v>467</v>
      </c>
    </row>
    <row r="380" spans="1:6" x14ac:dyDescent="0.25">
      <c r="A380" s="4"/>
      <c r="B380" s="4" t="s">
        <v>280</v>
      </c>
      <c r="C380" s="4"/>
      <c r="D380" s="4" t="s">
        <v>747</v>
      </c>
      <c r="E380" s="4" t="s">
        <v>750</v>
      </c>
      <c r="F380" s="4">
        <v>254</v>
      </c>
    </row>
    <row r="381" spans="1:6" x14ac:dyDescent="0.25">
      <c r="A381" s="4"/>
      <c r="B381" s="4" t="s">
        <v>280</v>
      </c>
      <c r="C381" s="4"/>
      <c r="D381" s="4" t="s">
        <v>751</v>
      </c>
      <c r="E381" s="4" t="s">
        <v>752</v>
      </c>
      <c r="F381" s="4">
        <v>467</v>
      </c>
    </row>
    <row r="382" spans="1:6" x14ac:dyDescent="0.25">
      <c r="A382" s="4"/>
      <c r="B382" s="4" t="s">
        <v>280</v>
      </c>
      <c r="C382" s="4"/>
      <c r="D382" s="4" t="s">
        <v>751</v>
      </c>
      <c r="E382" s="4" t="s">
        <v>754</v>
      </c>
      <c r="F382" s="4">
        <v>254</v>
      </c>
    </row>
    <row r="383" spans="1:6" x14ac:dyDescent="0.25">
      <c r="A383" s="4"/>
      <c r="B383" s="4" t="s">
        <v>280</v>
      </c>
      <c r="C383" s="4"/>
      <c r="D383" s="4" t="s">
        <v>755</v>
      </c>
      <c r="E383" s="4" t="s">
        <v>756</v>
      </c>
      <c r="F383" s="4">
        <v>464</v>
      </c>
    </row>
    <row r="384" spans="1:6" x14ac:dyDescent="0.25">
      <c r="A384" s="4"/>
      <c r="B384" s="4" t="s">
        <v>280</v>
      </c>
      <c r="C384" s="4"/>
      <c r="D384" s="4" t="s">
        <v>755</v>
      </c>
      <c r="E384" s="4" t="s">
        <v>758</v>
      </c>
      <c r="F384" s="4">
        <v>464</v>
      </c>
    </row>
    <row r="385" spans="1:6" x14ac:dyDescent="0.25">
      <c r="A385" s="4"/>
      <c r="B385" s="4" t="s">
        <v>280</v>
      </c>
      <c r="C385" s="4"/>
      <c r="D385" s="4" t="s">
        <v>759</v>
      </c>
      <c r="E385" s="4" t="s">
        <v>760</v>
      </c>
      <c r="F385" s="4">
        <v>254</v>
      </c>
    </row>
    <row r="386" spans="1:6" x14ac:dyDescent="0.25">
      <c r="A386" s="4"/>
      <c r="B386" s="4" t="s">
        <v>280</v>
      </c>
      <c r="C386" s="4" t="s">
        <v>762</v>
      </c>
      <c r="D386" s="4" t="s">
        <v>61</v>
      </c>
      <c r="E386" s="4" t="s">
        <v>763</v>
      </c>
      <c r="F386" s="4">
        <v>436</v>
      </c>
    </row>
    <row r="387" spans="1:6" x14ac:dyDescent="0.25">
      <c r="A387" s="4"/>
      <c r="B387" s="4" t="s">
        <v>280</v>
      </c>
      <c r="C387" s="4"/>
      <c r="D387" s="4" t="s">
        <v>61</v>
      </c>
      <c r="E387" s="4" t="s">
        <v>765</v>
      </c>
      <c r="F387" s="4">
        <v>446</v>
      </c>
    </row>
    <row r="388" spans="1:6" x14ac:dyDescent="0.25">
      <c r="A388" s="4"/>
      <c r="B388" s="4" t="s">
        <v>280</v>
      </c>
      <c r="C388" s="4"/>
      <c r="D388" s="4" t="s">
        <v>767</v>
      </c>
      <c r="E388" s="4" t="s">
        <v>768</v>
      </c>
      <c r="F388" s="4">
        <v>437</v>
      </c>
    </row>
    <row r="389" spans="1:6" x14ac:dyDescent="0.25">
      <c r="A389" s="4"/>
      <c r="B389" s="4" t="s">
        <v>280</v>
      </c>
      <c r="C389" s="4" t="s">
        <v>119</v>
      </c>
      <c r="D389" s="4" t="s">
        <v>770</v>
      </c>
      <c r="E389" s="4" t="s">
        <v>771</v>
      </c>
      <c r="F389" s="4">
        <v>426</v>
      </c>
    </row>
    <row r="390" spans="1:6" x14ac:dyDescent="0.25">
      <c r="A390" s="4"/>
      <c r="B390" s="4" t="s">
        <v>280</v>
      </c>
      <c r="C390" s="4"/>
      <c r="D390" s="4" t="s">
        <v>773</v>
      </c>
      <c r="E390" s="4" t="s">
        <v>774</v>
      </c>
      <c r="F390" s="4">
        <v>427</v>
      </c>
    </row>
    <row r="391" spans="1:6" x14ac:dyDescent="0.25">
      <c r="A391" s="4"/>
      <c r="B391" s="4" t="s">
        <v>280</v>
      </c>
      <c r="C391" s="4"/>
      <c r="D391" s="4" t="s">
        <v>61</v>
      </c>
      <c r="E391" s="4" t="s">
        <v>62</v>
      </c>
      <c r="F391" s="4">
        <v>425</v>
      </c>
    </row>
    <row r="392" spans="1:6" x14ac:dyDescent="0.25">
      <c r="A392" s="4"/>
      <c r="B392" s="4" t="s">
        <v>280</v>
      </c>
      <c r="C392" s="4"/>
      <c r="D392" s="4" t="s">
        <v>777</v>
      </c>
      <c r="E392" s="4" t="s">
        <v>778</v>
      </c>
      <c r="F392" s="4">
        <v>429</v>
      </c>
    </row>
    <row r="393" spans="1:6" x14ac:dyDescent="0.25">
      <c r="A393" s="4" t="s">
        <v>50</v>
      </c>
      <c r="B393" s="4" t="s">
        <v>50</v>
      </c>
      <c r="C393" s="4" t="s">
        <v>86</v>
      </c>
      <c r="D393" s="4" t="s">
        <v>281</v>
      </c>
      <c r="E393" s="4" t="s">
        <v>282</v>
      </c>
      <c r="F393" s="4">
        <v>636</v>
      </c>
    </row>
    <row r="394" spans="1:6" x14ac:dyDescent="0.25">
      <c r="A394" s="4"/>
      <c r="B394" s="4" t="s">
        <v>50</v>
      </c>
      <c r="C394" s="4"/>
      <c r="D394" s="4" t="s">
        <v>281</v>
      </c>
      <c r="E394" s="4" t="s">
        <v>283</v>
      </c>
      <c r="F394" s="4">
        <v>444</v>
      </c>
    </row>
    <row r="395" spans="1:6" x14ac:dyDescent="0.25">
      <c r="A395" s="4"/>
      <c r="B395" s="4" t="s">
        <v>50</v>
      </c>
      <c r="C395" s="4"/>
      <c r="D395" s="4" t="s">
        <v>281</v>
      </c>
      <c r="E395" s="4" t="s">
        <v>284</v>
      </c>
      <c r="F395" s="4">
        <v>444</v>
      </c>
    </row>
    <row r="396" spans="1:6" x14ac:dyDescent="0.25">
      <c r="A396" s="4"/>
      <c r="B396" s="4" t="s">
        <v>50</v>
      </c>
      <c r="C396" s="4"/>
      <c r="D396" s="4" t="s">
        <v>281</v>
      </c>
      <c r="E396" s="4"/>
      <c r="F396" s="4" t="s">
        <v>303</v>
      </c>
    </row>
    <row r="397" spans="1:6" x14ac:dyDescent="0.25">
      <c r="A397" s="4"/>
      <c r="B397" s="4" t="s">
        <v>50</v>
      </c>
      <c r="C397" s="4"/>
      <c r="D397" s="4" t="s">
        <v>781</v>
      </c>
      <c r="E397" s="4" t="s">
        <v>782</v>
      </c>
      <c r="F397" s="4" t="s">
        <v>303</v>
      </c>
    </row>
    <row r="398" spans="1:6" x14ac:dyDescent="0.25">
      <c r="A398" s="4"/>
      <c r="B398" s="4" t="s">
        <v>50</v>
      </c>
      <c r="C398" s="4"/>
      <c r="D398" s="4" t="s">
        <v>783</v>
      </c>
      <c r="E398" s="4" t="s">
        <v>784</v>
      </c>
      <c r="F398" s="4" t="s">
        <v>303</v>
      </c>
    </row>
    <row r="399" spans="1:6" x14ac:dyDescent="0.25">
      <c r="A399" s="4"/>
      <c r="B399" s="4" t="s">
        <v>50</v>
      </c>
      <c r="C399" s="4"/>
      <c r="D399" s="4" t="s">
        <v>785</v>
      </c>
      <c r="E399" s="4" t="s">
        <v>786</v>
      </c>
      <c r="F399" s="4" t="s">
        <v>303</v>
      </c>
    </row>
    <row r="400" spans="1:6" x14ac:dyDescent="0.25">
      <c r="A400" s="4"/>
      <c r="B400" s="4" t="s">
        <v>50</v>
      </c>
      <c r="C400" s="4"/>
      <c r="D400" s="4" t="s">
        <v>785</v>
      </c>
      <c r="E400" s="4" t="s">
        <v>787</v>
      </c>
      <c r="F400" s="4" t="s">
        <v>303</v>
      </c>
    </row>
    <row r="401" spans="1:6" x14ac:dyDescent="0.25">
      <c r="A401" s="4"/>
      <c r="B401" s="4" t="s">
        <v>50</v>
      </c>
      <c r="C401" s="4"/>
      <c r="D401" s="4" t="s">
        <v>788</v>
      </c>
      <c r="E401" s="4" t="s">
        <v>789</v>
      </c>
      <c r="F401" s="4" t="s">
        <v>303</v>
      </c>
    </row>
    <row r="402" spans="1:6" x14ac:dyDescent="0.25">
      <c r="A402" s="4"/>
      <c r="B402" s="4" t="s">
        <v>50</v>
      </c>
      <c r="C402" s="4"/>
      <c r="D402" s="4" t="s">
        <v>790</v>
      </c>
      <c r="E402" s="4" t="s">
        <v>791</v>
      </c>
      <c r="F402" s="4" t="s">
        <v>303</v>
      </c>
    </row>
    <row r="403" spans="1:6" x14ac:dyDescent="0.25">
      <c r="A403" s="4"/>
      <c r="B403" s="4" t="s">
        <v>50</v>
      </c>
      <c r="C403" s="4"/>
      <c r="D403" s="4" t="s">
        <v>792</v>
      </c>
      <c r="E403" s="4" t="s">
        <v>793</v>
      </c>
      <c r="F403" s="4" t="s">
        <v>303</v>
      </c>
    </row>
    <row r="404" spans="1:6" x14ac:dyDescent="0.25">
      <c r="A404" s="4"/>
      <c r="B404" s="4" t="s">
        <v>50</v>
      </c>
      <c r="C404" s="4"/>
      <c r="D404" s="4" t="s">
        <v>794</v>
      </c>
      <c r="E404" s="4" t="s">
        <v>795</v>
      </c>
      <c r="F404" s="4" t="s">
        <v>303</v>
      </c>
    </row>
    <row r="405" spans="1:6" x14ac:dyDescent="0.25">
      <c r="A405" s="4"/>
      <c r="B405" s="4" t="s">
        <v>50</v>
      </c>
      <c r="C405" s="4"/>
      <c r="D405" s="4" t="s">
        <v>796</v>
      </c>
      <c r="E405" s="4" t="s">
        <v>797</v>
      </c>
      <c r="F405" s="4" t="s">
        <v>303</v>
      </c>
    </row>
    <row r="406" spans="1:6" x14ac:dyDescent="0.25">
      <c r="A406" s="4"/>
      <c r="B406" s="4" t="s">
        <v>50</v>
      </c>
      <c r="C406" s="4"/>
      <c r="D406" s="4" t="s">
        <v>798</v>
      </c>
      <c r="E406" s="4" t="s">
        <v>799</v>
      </c>
      <c r="F406" s="4" t="s">
        <v>303</v>
      </c>
    </row>
    <row r="407" spans="1:6" x14ac:dyDescent="0.25">
      <c r="A407" s="4"/>
      <c r="B407" s="4" t="s">
        <v>50</v>
      </c>
      <c r="C407" s="4"/>
      <c r="D407" s="4" t="s">
        <v>800</v>
      </c>
      <c r="E407" s="4" t="s">
        <v>801</v>
      </c>
      <c r="F407" s="4" t="s">
        <v>303</v>
      </c>
    </row>
    <row r="408" spans="1:6" x14ac:dyDescent="0.25">
      <c r="A408" s="4"/>
      <c r="B408" s="4" t="s">
        <v>50</v>
      </c>
      <c r="C408" s="4"/>
      <c r="D408" s="4" t="s">
        <v>802</v>
      </c>
      <c r="E408" s="4" t="s">
        <v>803</v>
      </c>
      <c r="F408" s="4" t="s">
        <v>303</v>
      </c>
    </row>
    <row r="409" spans="1:6" x14ac:dyDescent="0.25">
      <c r="A409" s="4"/>
      <c r="B409" s="4" t="s">
        <v>50</v>
      </c>
      <c r="C409" s="4"/>
      <c r="D409" s="4" t="s">
        <v>804</v>
      </c>
      <c r="E409" s="4" t="s">
        <v>805</v>
      </c>
      <c r="F409" s="4" t="s">
        <v>303</v>
      </c>
    </row>
    <row r="410" spans="1:6" x14ac:dyDescent="0.25">
      <c r="A410" s="4"/>
      <c r="B410" s="4" t="s">
        <v>50</v>
      </c>
      <c r="C410" s="4"/>
      <c r="D410" s="4" t="s">
        <v>806</v>
      </c>
      <c r="E410" s="4" t="s">
        <v>807</v>
      </c>
      <c r="F410" s="4" t="s">
        <v>303</v>
      </c>
    </row>
    <row r="411" spans="1:6" x14ac:dyDescent="0.25">
      <c r="A411" s="4"/>
      <c r="B411" s="4" t="s">
        <v>50</v>
      </c>
      <c r="C411" s="4"/>
      <c r="D411" s="4" t="s">
        <v>808</v>
      </c>
      <c r="E411" s="4" t="s">
        <v>809</v>
      </c>
      <c r="F411" s="4" t="s">
        <v>303</v>
      </c>
    </row>
    <row r="412" spans="1:6" x14ac:dyDescent="0.25">
      <c r="A412" s="4"/>
      <c r="B412" s="4" t="s">
        <v>50</v>
      </c>
      <c r="C412" s="4"/>
      <c r="D412" s="4" t="s">
        <v>810</v>
      </c>
      <c r="E412" s="4" t="s">
        <v>811</v>
      </c>
      <c r="F412" s="4" t="s">
        <v>303</v>
      </c>
    </row>
    <row r="413" spans="1:6" x14ac:dyDescent="0.25">
      <c r="A413" s="4"/>
      <c r="B413" s="4" t="s">
        <v>50</v>
      </c>
      <c r="C413" s="4"/>
      <c r="D413" s="4" t="s">
        <v>812</v>
      </c>
      <c r="E413" s="4" t="s">
        <v>813</v>
      </c>
      <c r="F413" s="4" t="s">
        <v>303</v>
      </c>
    </row>
    <row r="414" spans="1:6" x14ac:dyDescent="0.25">
      <c r="A414" s="4"/>
      <c r="B414" s="4" t="s">
        <v>50</v>
      </c>
      <c r="C414" s="4"/>
      <c r="D414" s="4" t="s">
        <v>814</v>
      </c>
      <c r="E414" s="4" t="s">
        <v>815</v>
      </c>
      <c r="F414" s="4" t="s">
        <v>303</v>
      </c>
    </row>
    <row r="415" spans="1:6" x14ac:dyDescent="0.25">
      <c r="A415" s="4"/>
      <c r="B415" s="4" t="s">
        <v>50</v>
      </c>
      <c r="C415" s="4"/>
      <c r="D415" s="4" t="s">
        <v>816</v>
      </c>
      <c r="E415" s="4" t="s">
        <v>817</v>
      </c>
      <c r="F415" s="4" t="s">
        <v>303</v>
      </c>
    </row>
    <row r="416" spans="1:6" x14ac:dyDescent="0.25">
      <c r="A416" s="4"/>
      <c r="B416" s="4" t="s">
        <v>50</v>
      </c>
      <c r="C416" s="4"/>
      <c r="D416" s="4" t="s">
        <v>818</v>
      </c>
      <c r="E416" s="4" t="s">
        <v>819</v>
      </c>
      <c r="F416" s="4" t="s">
        <v>303</v>
      </c>
    </row>
    <row r="417" spans="1:6" x14ac:dyDescent="0.25">
      <c r="A417" s="4"/>
      <c r="B417" s="4" t="s">
        <v>50</v>
      </c>
      <c r="C417" s="4"/>
      <c r="D417" s="4" t="s">
        <v>820</v>
      </c>
      <c r="E417" s="4" t="s">
        <v>821</v>
      </c>
      <c r="F417" s="4" t="s">
        <v>303</v>
      </c>
    </row>
    <row r="418" spans="1:6" x14ac:dyDescent="0.25">
      <c r="A418" s="4"/>
      <c r="B418" s="4" t="s">
        <v>50</v>
      </c>
      <c r="C418" s="4"/>
      <c r="D418" s="4" t="s">
        <v>822</v>
      </c>
      <c r="E418" s="4" t="s">
        <v>823</v>
      </c>
      <c r="F418" s="4" t="s">
        <v>303</v>
      </c>
    </row>
    <row r="419" spans="1:6" x14ac:dyDescent="0.25">
      <c r="A419" s="4"/>
      <c r="B419" s="4" t="s">
        <v>50</v>
      </c>
      <c r="C419" s="4"/>
      <c r="D419" s="4" t="s">
        <v>824</v>
      </c>
      <c r="E419" s="4" t="s">
        <v>825</v>
      </c>
      <c r="F419" s="4" t="s">
        <v>303</v>
      </c>
    </row>
    <row r="420" spans="1:6" x14ac:dyDescent="0.25">
      <c r="A420" s="4"/>
      <c r="B420" s="4" t="s">
        <v>50</v>
      </c>
      <c r="C420" s="4"/>
      <c r="D420" s="4" t="s">
        <v>826</v>
      </c>
      <c r="E420" s="4" t="s">
        <v>827</v>
      </c>
      <c r="F420" s="4" t="s">
        <v>303</v>
      </c>
    </row>
    <row r="421" spans="1:6" x14ac:dyDescent="0.25">
      <c r="A421" s="4"/>
      <c r="B421" s="4" t="s">
        <v>50</v>
      </c>
      <c r="C421" s="4"/>
      <c r="D421" s="4" t="s">
        <v>828</v>
      </c>
      <c r="E421" s="4" t="s">
        <v>829</v>
      </c>
      <c r="F421" s="4" t="s">
        <v>303</v>
      </c>
    </row>
    <row r="422" spans="1:6" x14ac:dyDescent="0.25">
      <c r="A422" s="4"/>
      <c r="B422" s="4" t="s">
        <v>50</v>
      </c>
      <c r="C422" s="4"/>
      <c r="D422" s="4" t="s">
        <v>830</v>
      </c>
      <c r="E422" s="4" t="s">
        <v>831</v>
      </c>
      <c r="F422" s="4" t="s">
        <v>303</v>
      </c>
    </row>
    <row r="423" spans="1:6" x14ac:dyDescent="0.25">
      <c r="A423" s="4"/>
      <c r="B423" s="4" t="s">
        <v>50</v>
      </c>
      <c r="C423" s="4"/>
      <c r="D423" s="4" t="s">
        <v>832</v>
      </c>
      <c r="E423" s="4" t="s">
        <v>833</v>
      </c>
      <c r="F423" s="4" t="s">
        <v>303</v>
      </c>
    </row>
    <row r="424" spans="1:6" x14ac:dyDescent="0.25">
      <c r="A424" s="4"/>
      <c r="B424" s="4" t="s">
        <v>50</v>
      </c>
      <c r="C424" s="4"/>
      <c r="D424" s="4" t="s">
        <v>834</v>
      </c>
      <c r="E424" s="4" t="s">
        <v>835</v>
      </c>
      <c r="F424" s="4" t="s">
        <v>303</v>
      </c>
    </row>
    <row r="425" spans="1:6" x14ac:dyDescent="0.25">
      <c r="A425" s="4"/>
      <c r="B425" s="4" t="s">
        <v>50</v>
      </c>
      <c r="C425" s="4"/>
      <c r="D425" s="4" t="s">
        <v>836</v>
      </c>
      <c r="E425" s="4" t="s">
        <v>837</v>
      </c>
      <c r="F425" s="4" t="s">
        <v>303</v>
      </c>
    </row>
    <row r="426" spans="1:6" x14ac:dyDescent="0.25">
      <c r="A426" s="4" t="s">
        <v>285</v>
      </c>
      <c r="B426" s="4" t="s">
        <v>285</v>
      </c>
      <c r="C426" s="4" t="s">
        <v>86</v>
      </c>
      <c r="D426" s="4" t="s">
        <v>845</v>
      </c>
      <c r="E426" s="4" t="s">
        <v>846</v>
      </c>
      <c r="F426" s="4">
        <v>440</v>
      </c>
    </row>
    <row r="427" spans="1:6" x14ac:dyDescent="0.25">
      <c r="A427" s="4"/>
      <c r="B427" s="4" t="s">
        <v>285</v>
      </c>
      <c r="C427" s="4"/>
      <c r="D427" s="4" t="s">
        <v>845</v>
      </c>
      <c r="E427" s="4"/>
      <c r="F427" s="4" t="s">
        <v>303</v>
      </c>
    </row>
    <row r="428" spans="1:6" x14ac:dyDescent="0.25">
      <c r="A428" s="4"/>
      <c r="B428" s="4" t="s">
        <v>285</v>
      </c>
      <c r="C428" s="4"/>
      <c r="D428" s="4" t="s">
        <v>845</v>
      </c>
      <c r="E428" s="4" t="s">
        <v>848</v>
      </c>
      <c r="F428" s="4">
        <v>635</v>
      </c>
    </row>
    <row r="429" spans="1:6" x14ac:dyDescent="0.25">
      <c r="A429" s="4"/>
      <c r="B429" s="4" t="s">
        <v>285</v>
      </c>
      <c r="C429" s="4"/>
      <c r="D429" s="4" t="s">
        <v>845</v>
      </c>
      <c r="E429" s="4" t="s">
        <v>849</v>
      </c>
      <c r="F429" s="4">
        <v>440</v>
      </c>
    </row>
    <row r="430" spans="1:6" x14ac:dyDescent="0.25">
      <c r="A430" s="4"/>
      <c r="B430" s="4" t="s">
        <v>285</v>
      </c>
      <c r="C430" s="4"/>
      <c r="D430" s="4" t="s">
        <v>850</v>
      </c>
      <c r="E430" s="4" t="s">
        <v>851</v>
      </c>
      <c r="F430" s="4">
        <v>442</v>
      </c>
    </row>
    <row r="431" spans="1:6" x14ac:dyDescent="0.25">
      <c r="A431" s="4" t="s">
        <v>838</v>
      </c>
      <c r="B431" s="4" t="s">
        <v>838</v>
      </c>
      <c r="C431" s="4" t="s">
        <v>839</v>
      </c>
      <c r="D431" s="4" t="s">
        <v>840</v>
      </c>
      <c r="E431" s="4" t="s">
        <v>840</v>
      </c>
      <c r="F431" s="4">
        <v>674</v>
      </c>
    </row>
    <row r="432" spans="1:6" x14ac:dyDescent="0.25">
      <c r="A432" s="4"/>
      <c r="B432" s="4" t="s">
        <v>838</v>
      </c>
      <c r="C432" s="4"/>
      <c r="D432" s="4" t="s">
        <v>842</v>
      </c>
      <c r="E432" s="4" t="s">
        <v>843</v>
      </c>
      <c r="F432" s="4">
        <v>674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Mapping Categories</vt:lpstr>
      <vt:lpstr>Hoja3</vt:lpstr>
      <vt:lpstr>MAPPING</vt:lpstr>
      <vt:lpstr>MASTER CPC</vt:lpstr>
      <vt:lpstr>Hoja1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Hernan Falbo Alvarez</cp:lastModifiedBy>
  <cp:revision/>
  <dcterms:created xsi:type="dcterms:W3CDTF">2018-01-08T08:27:55Z</dcterms:created>
  <dcterms:modified xsi:type="dcterms:W3CDTF">2025-05-08T17:17:48Z</dcterms:modified>
  <cp:category/>
  <cp:contentStatus/>
</cp:coreProperties>
</file>